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C:\Users\Ercan Çömen\Desktop\"/>
    </mc:Choice>
  </mc:AlternateContent>
  <xr:revisionPtr revIDLastSave="0" documentId="8_{99CB24C0-F7A1-40F8-816A-3493636337A4}" xr6:coauthVersionLast="47" xr6:coauthVersionMax="47" xr10:uidLastSave="{00000000-0000-0000-0000-000000000000}"/>
  <bookViews>
    <workbookView xWindow="-110" yWindow="-110" windowWidth="25820" windowHeight="15500" tabRatio="792" activeTab="1" xr2:uid="{67A3E748-74D4-45E9-8022-36B63E4B6FA6}"/>
  </bookViews>
  <sheets>
    <sheet name="R.H." sheetId="150" r:id="rId1"/>
    <sheet name="SÜRELER" sheetId="3" r:id="rId2"/>
    <sheet name="ASAKAİ" sheetId="181" r:id="rId3"/>
    <sheet name="Sayfa2" sheetId="195" state="hidden" r:id="rId4"/>
    <sheet name="1" sheetId="198" r:id="rId5"/>
    <sheet name="2" sheetId="312" r:id="rId6"/>
    <sheet name="3" sheetId="313" r:id="rId7"/>
    <sheet name="4" sheetId="314" r:id="rId8"/>
    <sheet name="5" sheetId="315" r:id="rId9"/>
    <sheet name="6" sheetId="316" r:id="rId10"/>
    <sheet name="7" sheetId="317" r:id="rId11"/>
    <sheet name="8" sheetId="318" r:id="rId12"/>
    <sheet name="9" sheetId="319" r:id="rId13"/>
    <sheet name="10" sheetId="320" r:id="rId14"/>
    <sheet name="11" sheetId="321" r:id="rId15"/>
    <sheet name="12" sheetId="322" r:id="rId16"/>
    <sheet name="13" sheetId="323" r:id="rId17"/>
    <sheet name="14" sheetId="324" r:id="rId18"/>
    <sheet name="15" sheetId="325" r:id="rId19"/>
    <sheet name="16" sheetId="326" r:id="rId20"/>
    <sheet name="17" sheetId="327" r:id="rId21"/>
    <sheet name="18" sheetId="328" r:id="rId22"/>
    <sheet name="19" sheetId="329" r:id="rId23"/>
    <sheet name="20" sheetId="330" r:id="rId24"/>
    <sheet name="21" sheetId="331" r:id="rId25"/>
    <sheet name="22" sheetId="332" r:id="rId26"/>
    <sheet name="23" sheetId="333" r:id="rId27"/>
    <sheet name="24" sheetId="334" r:id="rId28"/>
    <sheet name="25" sheetId="335" r:id="rId29"/>
    <sheet name="26" sheetId="336" r:id="rId30"/>
    <sheet name="27" sheetId="337" r:id="rId31"/>
    <sheet name="28" sheetId="338" r:id="rId32"/>
    <sheet name="29" sheetId="339" r:id="rId33"/>
    <sheet name="30" sheetId="340" r:id="rId34"/>
    <sheet name="31" sheetId="341" r:id="rId35"/>
  </sheets>
  <definedNames>
    <definedName name="_xlnm._FilterDatabase" localSheetId="1" hidden="1">SÜRELER!$A$1:$F$3672</definedName>
    <definedName name="Camkapama" localSheetId="4">#REF!</definedName>
    <definedName name="Camkapama" localSheetId="13">#REF!</definedName>
    <definedName name="Camkapama" localSheetId="14">#REF!</definedName>
    <definedName name="Camkapama" localSheetId="15">#REF!</definedName>
    <definedName name="Camkapama" localSheetId="16">#REF!</definedName>
    <definedName name="Camkapama" localSheetId="17">#REF!</definedName>
    <definedName name="Camkapama" localSheetId="18">#REF!</definedName>
    <definedName name="Camkapama" localSheetId="19">#REF!</definedName>
    <definedName name="Camkapama" localSheetId="20">#REF!</definedName>
    <definedName name="Camkapama" localSheetId="21">#REF!</definedName>
    <definedName name="Camkapama" localSheetId="22">#REF!</definedName>
    <definedName name="Camkapama" localSheetId="5">#REF!</definedName>
    <definedName name="Camkapama" localSheetId="23">#REF!</definedName>
    <definedName name="Camkapama" localSheetId="24">#REF!</definedName>
    <definedName name="Camkapama" localSheetId="25">#REF!</definedName>
    <definedName name="Camkapama" localSheetId="26">#REF!</definedName>
    <definedName name="Camkapama" localSheetId="27">#REF!</definedName>
    <definedName name="Camkapama" localSheetId="28">#REF!</definedName>
    <definedName name="Camkapama" localSheetId="29">#REF!</definedName>
    <definedName name="Camkapama" localSheetId="30">#REF!</definedName>
    <definedName name="Camkapama" localSheetId="31">#REF!</definedName>
    <definedName name="Camkapama" localSheetId="32">#REF!</definedName>
    <definedName name="Camkapama" localSheetId="6">#REF!</definedName>
    <definedName name="Camkapama" localSheetId="33">#REF!</definedName>
    <definedName name="Camkapama" localSheetId="34">#REF!</definedName>
    <definedName name="Camkapama" localSheetId="7">#REF!</definedName>
    <definedName name="Camkapama" localSheetId="8">#REF!</definedName>
    <definedName name="Camkapama" localSheetId="9">#REF!</definedName>
    <definedName name="Camkapama" localSheetId="10">#REF!</definedName>
    <definedName name="Camkapama" localSheetId="11">#REF!</definedName>
    <definedName name="Camkapama" localSheetId="12">#REF!</definedName>
    <definedName name="Excel_BuiltIn_Print_Area_1_1" localSheetId="4">#REF!</definedName>
    <definedName name="Excel_BuiltIn_Print_Area_1_1" localSheetId="13">#REF!</definedName>
    <definedName name="Excel_BuiltIn_Print_Area_1_1" localSheetId="14">#REF!</definedName>
    <definedName name="Excel_BuiltIn_Print_Area_1_1" localSheetId="15">#REF!</definedName>
    <definedName name="Excel_BuiltIn_Print_Area_1_1" localSheetId="16">#REF!</definedName>
    <definedName name="Excel_BuiltIn_Print_Area_1_1" localSheetId="17">#REF!</definedName>
    <definedName name="Excel_BuiltIn_Print_Area_1_1" localSheetId="18">#REF!</definedName>
    <definedName name="Excel_BuiltIn_Print_Area_1_1" localSheetId="19">#REF!</definedName>
    <definedName name="Excel_BuiltIn_Print_Area_1_1" localSheetId="20">#REF!</definedName>
    <definedName name="Excel_BuiltIn_Print_Area_1_1" localSheetId="21">#REF!</definedName>
    <definedName name="Excel_BuiltIn_Print_Area_1_1" localSheetId="22">#REF!</definedName>
    <definedName name="Excel_BuiltIn_Print_Area_1_1" localSheetId="5">#REF!</definedName>
    <definedName name="Excel_BuiltIn_Print_Area_1_1" localSheetId="23">#REF!</definedName>
    <definedName name="Excel_BuiltIn_Print_Area_1_1" localSheetId="24">#REF!</definedName>
    <definedName name="Excel_BuiltIn_Print_Area_1_1" localSheetId="25">#REF!</definedName>
    <definedName name="Excel_BuiltIn_Print_Area_1_1" localSheetId="26">#REF!</definedName>
    <definedName name="Excel_BuiltIn_Print_Area_1_1" localSheetId="27">#REF!</definedName>
    <definedName name="Excel_BuiltIn_Print_Area_1_1" localSheetId="28">#REF!</definedName>
    <definedName name="Excel_BuiltIn_Print_Area_1_1" localSheetId="29">#REF!</definedName>
    <definedName name="Excel_BuiltIn_Print_Area_1_1" localSheetId="30">#REF!</definedName>
    <definedName name="Excel_BuiltIn_Print_Area_1_1" localSheetId="31">#REF!</definedName>
    <definedName name="Excel_BuiltIn_Print_Area_1_1" localSheetId="32">#REF!</definedName>
    <definedName name="Excel_BuiltIn_Print_Area_1_1" localSheetId="6">#REF!</definedName>
    <definedName name="Excel_BuiltIn_Print_Area_1_1" localSheetId="33">#REF!</definedName>
    <definedName name="Excel_BuiltIn_Print_Area_1_1" localSheetId="34">#REF!</definedName>
    <definedName name="Excel_BuiltIn_Print_Area_1_1" localSheetId="7">#REF!</definedName>
    <definedName name="Excel_BuiltIn_Print_Area_1_1" localSheetId="8">#REF!</definedName>
    <definedName name="Excel_BuiltIn_Print_Area_1_1" localSheetId="9">#REF!</definedName>
    <definedName name="Excel_BuiltIn_Print_Area_1_1" localSheetId="10">#REF!</definedName>
    <definedName name="Excel_BuiltIn_Print_Area_1_1" localSheetId="11">#REF!</definedName>
    <definedName name="Excel_BuiltIn_Print_Area_1_1" localSheetId="12">#REF!</definedName>
    <definedName name="Excel_BuiltIn_Print_Area_1_1_1" localSheetId="4">#REF!</definedName>
    <definedName name="Excel_BuiltIn_Print_Area_1_1_1" localSheetId="13">#REF!</definedName>
    <definedName name="Excel_BuiltIn_Print_Area_1_1_1" localSheetId="14">#REF!</definedName>
    <definedName name="Excel_BuiltIn_Print_Area_1_1_1" localSheetId="15">#REF!</definedName>
    <definedName name="Excel_BuiltIn_Print_Area_1_1_1" localSheetId="16">#REF!</definedName>
    <definedName name="Excel_BuiltIn_Print_Area_1_1_1" localSheetId="17">#REF!</definedName>
    <definedName name="Excel_BuiltIn_Print_Area_1_1_1" localSheetId="18">#REF!</definedName>
    <definedName name="Excel_BuiltIn_Print_Area_1_1_1" localSheetId="19">#REF!</definedName>
    <definedName name="Excel_BuiltIn_Print_Area_1_1_1" localSheetId="20">#REF!</definedName>
    <definedName name="Excel_BuiltIn_Print_Area_1_1_1" localSheetId="21">#REF!</definedName>
    <definedName name="Excel_BuiltIn_Print_Area_1_1_1" localSheetId="22">#REF!</definedName>
    <definedName name="Excel_BuiltIn_Print_Area_1_1_1" localSheetId="5">#REF!</definedName>
    <definedName name="Excel_BuiltIn_Print_Area_1_1_1" localSheetId="23">#REF!</definedName>
    <definedName name="Excel_BuiltIn_Print_Area_1_1_1" localSheetId="24">#REF!</definedName>
    <definedName name="Excel_BuiltIn_Print_Area_1_1_1" localSheetId="25">#REF!</definedName>
    <definedName name="Excel_BuiltIn_Print_Area_1_1_1" localSheetId="26">#REF!</definedName>
    <definedName name="Excel_BuiltIn_Print_Area_1_1_1" localSheetId="27">#REF!</definedName>
    <definedName name="Excel_BuiltIn_Print_Area_1_1_1" localSheetId="28">#REF!</definedName>
    <definedName name="Excel_BuiltIn_Print_Area_1_1_1" localSheetId="29">#REF!</definedName>
    <definedName name="Excel_BuiltIn_Print_Area_1_1_1" localSheetId="30">#REF!</definedName>
    <definedName name="Excel_BuiltIn_Print_Area_1_1_1" localSheetId="31">#REF!</definedName>
    <definedName name="Excel_BuiltIn_Print_Area_1_1_1" localSheetId="32">#REF!</definedName>
    <definedName name="Excel_BuiltIn_Print_Area_1_1_1" localSheetId="6">#REF!</definedName>
    <definedName name="Excel_BuiltIn_Print_Area_1_1_1" localSheetId="33">#REF!</definedName>
    <definedName name="Excel_BuiltIn_Print_Area_1_1_1" localSheetId="34">#REF!</definedName>
    <definedName name="Excel_BuiltIn_Print_Area_1_1_1" localSheetId="7">#REF!</definedName>
    <definedName name="Excel_BuiltIn_Print_Area_1_1_1" localSheetId="8">#REF!</definedName>
    <definedName name="Excel_BuiltIn_Print_Area_1_1_1" localSheetId="9">#REF!</definedName>
    <definedName name="Excel_BuiltIn_Print_Area_1_1_1" localSheetId="10">#REF!</definedName>
    <definedName name="Excel_BuiltIn_Print_Area_1_1_1" localSheetId="11">#REF!</definedName>
    <definedName name="Excel_BuiltIn_Print_Area_1_1_1" localSheetId="12">#REF!</definedName>
    <definedName name="Excel_BuiltIn_Print_Area_1_1_1_1" localSheetId="4">#REF!</definedName>
    <definedName name="Excel_BuiltIn_Print_Area_1_1_1_1" localSheetId="13">#REF!</definedName>
    <definedName name="Excel_BuiltIn_Print_Area_1_1_1_1" localSheetId="14">#REF!</definedName>
    <definedName name="Excel_BuiltIn_Print_Area_1_1_1_1" localSheetId="15">#REF!</definedName>
    <definedName name="Excel_BuiltIn_Print_Area_1_1_1_1" localSheetId="16">#REF!</definedName>
    <definedName name="Excel_BuiltIn_Print_Area_1_1_1_1" localSheetId="17">#REF!</definedName>
    <definedName name="Excel_BuiltIn_Print_Area_1_1_1_1" localSheetId="18">#REF!</definedName>
    <definedName name="Excel_BuiltIn_Print_Area_1_1_1_1" localSheetId="19">#REF!</definedName>
    <definedName name="Excel_BuiltIn_Print_Area_1_1_1_1" localSheetId="20">#REF!</definedName>
    <definedName name="Excel_BuiltIn_Print_Area_1_1_1_1" localSheetId="21">#REF!</definedName>
    <definedName name="Excel_BuiltIn_Print_Area_1_1_1_1" localSheetId="22">#REF!</definedName>
    <definedName name="Excel_BuiltIn_Print_Area_1_1_1_1" localSheetId="5">#REF!</definedName>
    <definedName name="Excel_BuiltIn_Print_Area_1_1_1_1" localSheetId="23">#REF!</definedName>
    <definedName name="Excel_BuiltIn_Print_Area_1_1_1_1" localSheetId="24">#REF!</definedName>
    <definedName name="Excel_BuiltIn_Print_Area_1_1_1_1" localSheetId="25">#REF!</definedName>
    <definedName name="Excel_BuiltIn_Print_Area_1_1_1_1" localSheetId="26">#REF!</definedName>
    <definedName name="Excel_BuiltIn_Print_Area_1_1_1_1" localSheetId="27">#REF!</definedName>
    <definedName name="Excel_BuiltIn_Print_Area_1_1_1_1" localSheetId="28">#REF!</definedName>
    <definedName name="Excel_BuiltIn_Print_Area_1_1_1_1" localSheetId="29">#REF!</definedName>
    <definedName name="Excel_BuiltIn_Print_Area_1_1_1_1" localSheetId="30">#REF!</definedName>
    <definedName name="Excel_BuiltIn_Print_Area_1_1_1_1" localSheetId="31">#REF!</definedName>
    <definedName name="Excel_BuiltIn_Print_Area_1_1_1_1" localSheetId="32">#REF!</definedName>
    <definedName name="Excel_BuiltIn_Print_Area_1_1_1_1" localSheetId="6">#REF!</definedName>
    <definedName name="Excel_BuiltIn_Print_Area_1_1_1_1" localSheetId="33">#REF!</definedName>
    <definedName name="Excel_BuiltIn_Print_Area_1_1_1_1" localSheetId="34">#REF!</definedName>
    <definedName name="Excel_BuiltIn_Print_Area_1_1_1_1" localSheetId="7">#REF!</definedName>
    <definedName name="Excel_BuiltIn_Print_Area_1_1_1_1" localSheetId="8">#REF!</definedName>
    <definedName name="Excel_BuiltIn_Print_Area_1_1_1_1" localSheetId="9">#REF!</definedName>
    <definedName name="Excel_BuiltIn_Print_Area_1_1_1_1" localSheetId="10">#REF!</definedName>
    <definedName name="Excel_BuiltIn_Print_Area_1_1_1_1" localSheetId="11">#REF!</definedName>
    <definedName name="Excel_BuiltIn_Print_Area_1_1_1_1" localSheetId="12">#REF!</definedName>
    <definedName name="Excel_BuiltIn_Print_Area_1_1_1_1_1" localSheetId="4">#REF!</definedName>
    <definedName name="Excel_BuiltIn_Print_Area_1_1_1_1_1" localSheetId="13">#REF!</definedName>
    <definedName name="Excel_BuiltIn_Print_Area_1_1_1_1_1" localSheetId="14">#REF!</definedName>
    <definedName name="Excel_BuiltIn_Print_Area_1_1_1_1_1" localSheetId="15">#REF!</definedName>
    <definedName name="Excel_BuiltIn_Print_Area_1_1_1_1_1" localSheetId="16">#REF!</definedName>
    <definedName name="Excel_BuiltIn_Print_Area_1_1_1_1_1" localSheetId="17">#REF!</definedName>
    <definedName name="Excel_BuiltIn_Print_Area_1_1_1_1_1" localSheetId="18">#REF!</definedName>
    <definedName name="Excel_BuiltIn_Print_Area_1_1_1_1_1" localSheetId="19">#REF!</definedName>
    <definedName name="Excel_BuiltIn_Print_Area_1_1_1_1_1" localSheetId="20">#REF!</definedName>
    <definedName name="Excel_BuiltIn_Print_Area_1_1_1_1_1" localSheetId="21">#REF!</definedName>
    <definedName name="Excel_BuiltIn_Print_Area_1_1_1_1_1" localSheetId="22">#REF!</definedName>
    <definedName name="Excel_BuiltIn_Print_Area_1_1_1_1_1" localSheetId="5">#REF!</definedName>
    <definedName name="Excel_BuiltIn_Print_Area_1_1_1_1_1" localSheetId="23">#REF!</definedName>
    <definedName name="Excel_BuiltIn_Print_Area_1_1_1_1_1" localSheetId="24">#REF!</definedName>
    <definedName name="Excel_BuiltIn_Print_Area_1_1_1_1_1" localSheetId="25">#REF!</definedName>
    <definedName name="Excel_BuiltIn_Print_Area_1_1_1_1_1" localSheetId="26">#REF!</definedName>
    <definedName name="Excel_BuiltIn_Print_Area_1_1_1_1_1" localSheetId="27">#REF!</definedName>
    <definedName name="Excel_BuiltIn_Print_Area_1_1_1_1_1" localSheetId="28">#REF!</definedName>
    <definedName name="Excel_BuiltIn_Print_Area_1_1_1_1_1" localSheetId="29">#REF!</definedName>
    <definedName name="Excel_BuiltIn_Print_Area_1_1_1_1_1" localSheetId="30">#REF!</definedName>
    <definedName name="Excel_BuiltIn_Print_Area_1_1_1_1_1" localSheetId="31">#REF!</definedName>
    <definedName name="Excel_BuiltIn_Print_Area_1_1_1_1_1" localSheetId="32">#REF!</definedName>
    <definedName name="Excel_BuiltIn_Print_Area_1_1_1_1_1" localSheetId="6">#REF!</definedName>
    <definedName name="Excel_BuiltIn_Print_Area_1_1_1_1_1" localSheetId="33">#REF!</definedName>
    <definedName name="Excel_BuiltIn_Print_Area_1_1_1_1_1" localSheetId="34">#REF!</definedName>
    <definedName name="Excel_BuiltIn_Print_Area_1_1_1_1_1" localSheetId="7">#REF!</definedName>
    <definedName name="Excel_BuiltIn_Print_Area_1_1_1_1_1" localSheetId="8">#REF!</definedName>
    <definedName name="Excel_BuiltIn_Print_Area_1_1_1_1_1" localSheetId="9">#REF!</definedName>
    <definedName name="Excel_BuiltIn_Print_Area_1_1_1_1_1" localSheetId="10">#REF!</definedName>
    <definedName name="Excel_BuiltIn_Print_Area_1_1_1_1_1" localSheetId="11">#REF!</definedName>
    <definedName name="Excel_BuiltIn_Print_Area_1_1_1_1_1" localSheetId="12">#REF!</definedName>
    <definedName name="Excel_BuiltIn_Print_Area_1_1_1_1_1_1" localSheetId="4">#REF!</definedName>
    <definedName name="Excel_BuiltIn_Print_Area_1_1_1_1_1_1" localSheetId="13">#REF!</definedName>
    <definedName name="Excel_BuiltIn_Print_Area_1_1_1_1_1_1" localSheetId="14">#REF!</definedName>
    <definedName name="Excel_BuiltIn_Print_Area_1_1_1_1_1_1" localSheetId="15">#REF!</definedName>
    <definedName name="Excel_BuiltIn_Print_Area_1_1_1_1_1_1" localSheetId="16">#REF!</definedName>
    <definedName name="Excel_BuiltIn_Print_Area_1_1_1_1_1_1" localSheetId="17">#REF!</definedName>
    <definedName name="Excel_BuiltIn_Print_Area_1_1_1_1_1_1" localSheetId="18">#REF!</definedName>
    <definedName name="Excel_BuiltIn_Print_Area_1_1_1_1_1_1" localSheetId="19">#REF!</definedName>
    <definedName name="Excel_BuiltIn_Print_Area_1_1_1_1_1_1" localSheetId="20">#REF!</definedName>
    <definedName name="Excel_BuiltIn_Print_Area_1_1_1_1_1_1" localSheetId="21">#REF!</definedName>
    <definedName name="Excel_BuiltIn_Print_Area_1_1_1_1_1_1" localSheetId="22">#REF!</definedName>
    <definedName name="Excel_BuiltIn_Print_Area_1_1_1_1_1_1" localSheetId="5">#REF!</definedName>
    <definedName name="Excel_BuiltIn_Print_Area_1_1_1_1_1_1" localSheetId="23">#REF!</definedName>
    <definedName name="Excel_BuiltIn_Print_Area_1_1_1_1_1_1" localSheetId="24">#REF!</definedName>
    <definedName name="Excel_BuiltIn_Print_Area_1_1_1_1_1_1" localSheetId="25">#REF!</definedName>
    <definedName name="Excel_BuiltIn_Print_Area_1_1_1_1_1_1" localSheetId="26">#REF!</definedName>
    <definedName name="Excel_BuiltIn_Print_Area_1_1_1_1_1_1" localSheetId="27">#REF!</definedName>
    <definedName name="Excel_BuiltIn_Print_Area_1_1_1_1_1_1" localSheetId="28">#REF!</definedName>
    <definedName name="Excel_BuiltIn_Print_Area_1_1_1_1_1_1" localSheetId="29">#REF!</definedName>
    <definedName name="Excel_BuiltIn_Print_Area_1_1_1_1_1_1" localSheetId="30">#REF!</definedName>
    <definedName name="Excel_BuiltIn_Print_Area_1_1_1_1_1_1" localSheetId="31">#REF!</definedName>
    <definedName name="Excel_BuiltIn_Print_Area_1_1_1_1_1_1" localSheetId="32">#REF!</definedName>
    <definedName name="Excel_BuiltIn_Print_Area_1_1_1_1_1_1" localSheetId="6">#REF!</definedName>
    <definedName name="Excel_BuiltIn_Print_Area_1_1_1_1_1_1" localSheetId="33">#REF!</definedName>
    <definedName name="Excel_BuiltIn_Print_Area_1_1_1_1_1_1" localSheetId="34">#REF!</definedName>
    <definedName name="Excel_BuiltIn_Print_Area_1_1_1_1_1_1" localSheetId="7">#REF!</definedName>
    <definedName name="Excel_BuiltIn_Print_Area_1_1_1_1_1_1" localSheetId="8">#REF!</definedName>
    <definedName name="Excel_BuiltIn_Print_Area_1_1_1_1_1_1" localSheetId="9">#REF!</definedName>
    <definedName name="Excel_BuiltIn_Print_Area_1_1_1_1_1_1" localSheetId="10">#REF!</definedName>
    <definedName name="Excel_BuiltIn_Print_Area_1_1_1_1_1_1" localSheetId="11">#REF!</definedName>
    <definedName name="Excel_BuiltIn_Print_Area_1_1_1_1_1_1" localSheetId="12">#REF!</definedName>
    <definedName name="Excel_BuiltIn_Print_Area_1_1_1_1_1_1_1" localSheetId="4">#REF!</definedName>
    <definedName name="Excel_BuiltIn_Print_Area_1_1_1_1_1_1_1" localSheetId="13">#REF!</definedName>
    <definedName name="Excel_BuiltIn_Print_Area_1_1_1_1_1_1_1" localSheetId="14">#REF!</definedName>
    <definedName name="Excel_BuiltIn_Print_Area_1_1_1_1_1_1_1" localSheetId="15">#REF!</definedName>
    <definedName name="Excel_BuiltIn_Print_Area_1_1_1_1_1_1_1" localSheetId="16">#REF!</definedName>
    <definedName name="Excel_BuiltIn_Print_Area_1_1_1_1_1_1_1" localSheetId="17">#REF!</definedName>
    <definedName name="Excel_BuiltIn_Print_Area_1_1_1_1_1_1_1" localSheetId="18">#REF!</definedName>
    <definedName name="Excel_BuiltIn_Print_Area_1_1_1_1_1_1_1" localSheetId="19">#REF!</definedName>
    <definedName name="Excel_BuiltIn_Print_Area_1_1_1_1_1_1_1" localSheetId="20">#REF!</definedName>
    <definedName name="Excel_BuiltIn_Print_Area_1_1_1_1_1_1_1" localSheetId="21">#REF!</definedName>
    <definedName name="Excel_BuiltIn_Print_Area_1_1_1_1_1_1_1" localSheetId="22">#REF!</definedName>
    <definedName name="Excel_BuiltIn_Print_Area_1_1_1_1_1_1_1" localSheetId="5">#REF!</definedName>
    <definedName name="Excel_BuiltIn_Print_Area_1_1_1_1_1_1_1" localSheetId="23">#REF!</definedName>
    <definedName name="Excel_BuiltIn_Print_Area_1_1_1_1_1_1_1" localSheetId="24">#REF!</definedName>
    <definedName name="Excel_BuiltIn_Print_Area_1_1_1_1_1_1_1" localSheetId="25">#REF!</definedName>
    <definedName name="Excel_BuiltIn_Print_Area_1_1_1_1_1_1_1" localSheetId="26">#REF!</definedName>
    <definedName name="Excel_BuiltIn_Print_Area_1_1_1_1_1_1_1" localSheetId="27">#REF!</definedName>
    <definedName name="Excel_BuiltIn_Print_Area_1_1_1_1_1_1_1" localSheetId="28">#REF!</definedName>
    <definedName name="Excel_BuiltIn_Print_Area_1_1_1_1_1_1_1" localSheetId="29">#REF!</definedName>
    <definedName name="Excel_BuiltIn_Print_Area_1_1_1_1_1_1_1" localSheetId="30">#REF!</definedName>
    <definedName name="Excel_BuiltIn_Print_Area_1_1_1_1_1_1_1" localSheetId="31">#REF!</definedName>
    <definedName name="Excel_BuiltIn_Print_Area_1_1_1_1_1_1_1" localSheetId="32">#REF!</definedName>
    <definedName name="Excel_BuiltIn_Print_Area_1_1_1_1_1_1_1" localSheetId="6">#REF!</definedName>
    <definedName name="Excel_BuiltIn_Print_Area_1_1_1_1_1_1_1" localSheetId="33">#REF!</definedName>
    <definedName name="Excel_BuiltIn_Print_Area_1_1_1_1_1_1_1" localSheetId="34">#REF!</definedName>
    <definedName name="Excel_BuiltIn_Print_Area_1_1_1_1_1_1_1" localSheetId="7">#REF!</definedName>
    <definedName name="Excel_BuiltIn_Print_Area_1_1_1_1_1_1_1" localSheetId="8">#REF!</definedName>
    <definedName name="Excel_BuiltIn_Print_Area_1_1_1_1_1_1_1" localSheetId="9">#REF!</definedName>
    <definedName name="Excel_BuiltIn_Print_Area_1_1_1_1_1_1_1" localSheetId="10">#REF!</definedName>
    <definedName name="Excel_BuiltIn_Print_Area_1_1_1_1_1_1_1" localSheetId="11">#REF!</definedName>
    <definedName name="Excel_BuiltIn_Print_Area_1_1_1_1_1_1_1" localSheetId="12">#REF!</definedName>
    <definedName name="Excel_BuiltIn_Print_Area_1_1_1_1_1_1_1_1" localSheetId="4">#REF!</definedName>
    <definedName name="Excel_BuiltIn_Print_Area_1_1_1_1_1_1_1_1" localSheetId="13">#REF!</definedName>
    <definedName name="Excel_BuiltIn_Print_Area_1_1_1_1_1_1_1_1" localSheetId="14">#REF!</definedName>
    <definedName name="Excel_BuiltIn_Print_Area_1_1_1_1_1_1_1_1" localSheetId="15">#REF!</definedName>
    <definedName name="Excel_BuiltIn_Print_Area_1_1_1_1_1_1_1_1" localSheetId="16">#REF!</definedName>
    <definedName name="Excel_BuiltIn_Print_Area_1_1_1_1_1_1_1_1" localSheetId="17">#REF!</definedName>
    <definedName name="Excel_BuiltIn_Print_Area_1_1_1_1_1_1_1_1" localSheetId="18">#REF!</definedName>
    <definedName name="Excel_BuiltIn_Print_Area_1_1_1_1_1_1_1_1" localSheetId="19">#REF!</definedName>
    <definedName name="Excel_BuiltIn_Print_Area_1_1_1_1_1_1_1_1" localSheetId="20">#REF!</definedName>
    <definedName name="Excel_BuiltIn_Print_Area_1_1_1_1_1_1_1_1" localSheetId="21">#REF!</definedName>
    <definedName name="Excel_BuiltIn_Print_Area_1_1_1_1_1_1_1_1" localSheetId="22">#REF!</definedName>
    <definedName name="Excel_BuiltIn_Print_Area_1_1_1_1_1_1_1_1" localSheetId="5">#REF!</definedName>
    <definedName name="Excel_BuiltIn_Print_Area_1_1_1_1_1_1_1_1" localSheetId="23">#REF!</definedName>
    <definedName name="Excel_BuiltIn_Print_Area_1_1_1_1_1_1_1_1" localSheetId="24">#REF!</definedName>
    <definedName name="Excel_BuiltIn_Print_Area_1_1_1_1_1_1_1_1" localSheetId="25">#REF!</definedName>
    <definedName name="Excel_BuiltIn_Print_Area_1_1_1_1_1_1_1_1" localSheetId="26">#REF!</definedName>
    <definedName name="Excel_BuiltIn_Print_Area_1_1_1_1_1_1_1_1" localSheetId="27">#REF!</definedName>
    <definedName name="Excel_BuiltIn_Print_Area_1_1_1_1_1_1_1_1" localSheetId="28">#REF!</definedName>
    <definedName name="Excel_BuiltIn_Print_Area_1_1_1_1_1_1_1_1" localSheetId="29">#REF!</definedName>
    <definedName name="Excel_BuiltIn_Print_Area_1_1_1_1_1_1_1_1" localSheetId="30">#REF!</definedName>
    <definedName name="Excel_BuiltIn_Print_Area_1_1_1_1_1_1_1_1" localSheetId="31">#REF!</definedName>
    <definedName name="Excel_BuiltIn_Print_Area_1_1_1_1_1_1_1_1" localSheetId="32">#REF!</definedName>
    <definedName name="Excel_BuiltIn_Print_Area_1_1_1_1_1_1_1_1" localSheetId="6">#REF!</definedName>
    <definedName name="Excel_BuiltIn_Print_Area_1_1_1_1_1_1_1_1" localSheetId="33">#REF!</definedName>
    <definedName name="Excel_BuiltIn_Print_Area_1_1_1_1_1_1_1_1" localSheetId="34">#REF!</definedName>
    <definedName name="Excel_BuiltIn_Print_Area_1_1_1_1_1_1_1_1" localSheetId="7">#REF!</definedName>
    <definedName name="Excel_BuiltIn_Print_Area_1_1_1_1_1_1_1_1" localSheetId="8">#REF!</definedName>
    <definedName name="Excel_BuiltIn_Print_Area_1_1_1_1_1_1_1_1" localSheetId="9">#REF!</definedName>
    <definedName name="Excel_BuiltIn_Print_Area_1_1_1_1_1_1_1_1" localSheetId="10">#REF!</definedName>
    <definedName name="Excel_BuiltIn_Print_Area_1_1_1_1_1_1_1_1" localSheetId="11">#REF!</definedName>
    <definedName name="Excel_BuiltIn_Print_Area_1_1_1_1_1_1_1_1" localSheetId="12">#REF!</definedName>
    <definedName name="Excel_BuiltIn_Print_Area_1_1_1_1_1_1_1_1_1" localSheetId="4">#REF!</definedName>
    <definedName name="Excel_BuiltIn_Print_Area_1_1_1_1_1_1_1_1_1" localSheetId="13">#REF!</definedName>
    <definedName name="Excel_BuiltIn_Print_Area_1_1_1_1_1_1_1_1_1" localSheetId="14">#REF!</definedName>
    <definedName name="Excel_BuiltIn_Print_Area_1_1_1_1_1_1_1_1_1" localSheetId="15">#REF!</definedName>
    <definedName name="Excel_BuiltIn_Print_Area_1_1_1_1_1_1_1_1_1" localSheetId="16">#REF!</definedName>
    <definedName name="Excel_BuiltIn_Print_Area_1_1_1_1_1_1_1_1_1" localSheetId="17">#REF!</definedName>
    <definedName name="Excel_BuiltIn_Print_Area_1_1_1_1_1_1_1_1_1" localSheetId="18">#REF!</definedName>
    <definedName name="Excel_BuiltIn_Print_Area_1_1_1_1_1_1_1_1_1" localSheetId="19">#REF!</definedName>
    <definedName name="Excel_BuiltIn_Print_Area_1_1_1_1_1_1_1_1_1" localSheetId="20">#REF!</definedName>
    <definedName name="Excel_BuiltIn_Print_Area_1_1_1_1_1_1_1_1_1" localSheetId="21">#REF!</definedName>
    <definedName name="Excel_BuiltIn_Print_Area_1_1_1_1_1_1_1_1_1" localSheetId="22">#REF!</definedName>
    <definedName name="Excel_BuiltIn_Print_Area_1_1_1_1_1_1_1_1_1" localSheetId="5">#REF!</definedName>
    <definedName name="Excel_BuiltIn_Print_Area_1_1_1_1_1_1_1_1_1" localSheetId="23">#REF!</definedName>
    <definedName name="Excel_BuiltIn_Print_Area_1_1_1_1_1_1_1_1_1" localSheetId="24">#REF!</definedName>
    <definedName name="Excel_BuiltIn_Print_Area_1_1_1_1_1_1_1_1_1" localSheetId="25">#REF!</definedName>
    <definedName name="Excel_BuiltIn_Print_Area_1_1_1_1_1_1_1_1_1" localSheetId="26">#REF!</definedName>
    <definedName name="Excel_BuiltIn_Print_Area_1_1_1_1_1_1_1_1_1" localSheetId="27">#REF!</definedName>
    <definedName name="Excel_BuiltIn_Print_Area_1_1_1_1_1_1_1_1_1" localSheetId="28">#REF!</definedName>
    <definedName name="Excel_BuiltIn_Print_Area_1_1_1_1_1_1_1_1_1" localSheetId="29">#REF!</definedName>
    <definedName name="Excel_BuiltIn_Print_Area_1_1_1_1_1_1_1_1_1" localSheetId="30">#REF!</definedName>
    <definedName name="Excel_BuiltIn_Print_Area_1_1_1_1_1_1_1_1_1" localSheetId="31">#REF!</definedName>
    <definedName name="Excel_BuiltIn_Print_Area_1_1_1_1_1_1_1_1_1" localSheetId="32">#REF!</definedName>
    <definedName name="Excel_BuiltIn_Print_Area_1_1_1_1_1_1_1_1_1" localSheetId="6">#REF!</definedName>
    <definedName name="Excel_BuiltIn_Print_Area_1_1_1_1_1_1_1_1_1" localSheetId="33">#REF!</definedName>
    <definedName name="Excel_BuiltIn_Print_Area_1_1_1_1_1_1_1_1_1" localSheetId="34">#REF!</definedName>
    <definedName name="Excel_BuiltIn_Print_Area_1_1_1_1_1_1_1_1_1" localSheetId="7">#REF!</definedName>
    <definedName name="Excel_BuiltIn_Print_Area_1_1_1_1_1_1_1_1_1" localSheetId="8">#REF!</definedName>
    <definedName name="Excel_BuiltIn_Print_Area_1_1_1_1_1_1_1_1_1" localSheetId="9">#REF!</definedName>
    <definedName name="Excel_BuiltIn_Print_Area_1_1_1_1_1_1_1_1_1" localSheetId="10">#REF!</definedName>
    <definedName name="Excel_BuiltIn_Print_Area_1_1_1_1_1_1_1_1_1" localSheetId="11">#REF!</definedName>
    <definedName name="Excel_BuiltIn_Print_Area_1_1_1_1_1_1_1_1_1" localSheetId="12">#REF!</definedName>
    <definedName name="Excel_BuiltIn_Print_Area_1_1_1_1_1_1_1_1_1_1" localSheetId="4">#REF!</definedName>
    <definedName name="Excel_BuiltIn_Print_Area_1_1_1_1_1_1_1_1_1_1" localSheetId="13">#REF!</definedName>
    <definedName name="Excel_BuiltIn_Print_Area_1_1_1_1_1_1_1_1_1_1" localSheetId="14">#REF!</definedName>
    <definedName name="Excel_BuiltIn_Print_Area_1_1_1_1_1_1_1_1_1_1" localSheetId="15">#REF!</definedName>
    <definedName name="Excel_BuiltIn_Print_Area_1_1_1_1_1_1_1_1_1_1" localSheetId="16">#REF!</definedName>
    <definedName name="Excel_BuiltIn_Print_Area_1_1_1_1_1_1_1_1_1_1" localSheetId="17">#REF!</definedName>
    <definedName name="Excel_BuiltIn_Print_Area_1_1_1_1_1_1_1_1_1_1" localSheetId="18">#REF!</definedName>
    <definedName name="Excel_BuiltIn_Print_Area_1_1_1_1_1_1_1_1_1_1" localSheetId="19">#REF!</definedName>
    <definedName name="Excel_BuiltIn_Print_Area_1_1_1_1_1_1_1_1_1_1" localSheetId="20">#REF!</definedName>
    <definedName name="Excel_BuiltIn_Print_Area_1_1_1_1_1_1_1_1_1_1" localSheetId="21">#REF!</definedName>
    <definedName name="Excel_BuiltIn_Print_Area_1_1_1_1_1_1_1_1_1_1" localSheetId="22">#REF!</definedName>
    <definedName name="Excel_BuiltIn_Print_Area_1_1_1_1_1_1_1_1_1_1" localSheetId="5">#REF!</definedName>
    <definedName name="Excel_BuiltIn_Print_Area_1_1_1_1_1_1_1_1_1_1" localSheetId="23">#REF!</definedName>
    <definedName name="Excel_BuiltIn_Print_Area_1_1_1_1_1_1_1_1_1_1" localSheetId="24">#REF!</definedName>
    <definedName name="Excel_BuiltIn_Print_Area_1_1_1_1_1_1_1_1_1_1" localSheetId="25">#REF!</definedName>
    <definedName name="Excel_BuiltIn_Print_Area_1_1_1_1_1_1_1_1_1_1" localSheetId="26">#REF!</definedName>
    <definedName name="Excel_BuiltIn_Print_Area_1_1_1_1_1_1_1_1_1_1" localSheetId="27">#REF!</definedName>
    <definedName name="Excel_BuiltIn_Print_Area_1_1_1_1_1_1_1_1_1_1" localSheetId="28">#REF!</definedName>
    <definedName name="Excel_BuiltIn_Print_Area_1_1_1_1_1_1_1_1_1_1" localSheetId="29">#REF!</definedName>
    <definedName name="Excel_BuiltIn_Print_Area_1_1_1_1_1_1_1_1_1_1" localSheetId="30">#REF!</definedName>
    <definedName name="Excel_BuiltIn_Print_Area_1_1_1_1_1_1_1_1_1_1" localSheetId="31">#REF!</definedName>
    <definedName name="Excel_BuiltIn_Print_Area_1_1_1_1_1_1_1_1_1_1" localSheetId="32">#REF!</definedName>
    <definedName name="Excel_BuiltIn_Print_Area_1_1_1_1_1_1_1_1_1_1" localSheetId="6">#REF!</definedName>
    <definedName name="Excel_BuiltIn_Print_Area_1_1_1_1_1_1_1_1_1_1" localSheetId="33">#REF!</definedName>
    <definedName name="Excel_BuiltIn_Print_Area_1_1_1_1_1_1_1_1_1_1" localSheetId="34">#REF!</definedName>
    <definedName name="Excel_BuiltIn_Print_Area_1_1_1_1_1_1_1_1_1_1" localSheetId="7">#REF!</definedName>
    <definedName name="Excel_BuiltIn_Print_Area_1_1_1_1_1_1_1_1_1_1" localSheetId="8">#REF!</definedName>
    <definedName name="Excel_BuiltIn_Print_Area_1_1_1_1_1_1_1_1_1_1" localSheetId="9">#REF!</definedName>
    <definedName name="Excel_BuiltIn_Print_Area_1_1_1_1_1_1_1_1_1_1" localSheetId="10">#REF!</definedName>
    <definedName name="Excel_BuiltIn_Print_Area_1_1_1_1_1_1_1_1_1_1" localSheetId="11">#REF!</definedName>
    <definedName name="Excel_BuiltIn_Print_Area_1_1_1_1_1_1_1_1_1_1" localSheetId="12">#REF!</definedName>
    <definedName name="Excel_BuiltIn_Print_Area_1_1_1_1_1_1_1_1_1_1_1" localSheetId="4">#REF!</definedName>
    <definedName name="Excel_BuiltIn_Print_Area_1_1_1_1_1_1_1_1_1_1_1" localSheetId="13">#REF!</definedName>
    <definedName name="Excel_BuiltIn_Print_Area_1_1_1_1_1_1_1_1_1_1_1" localSheetId="14">#REF!</definedName>
    <definedName name="Excel_BuiltIn_Print_Area_1_1_1_1_1_1_1_1_1_1_1" localSheetId="15">#REF!</definedName>
    <definedName name="Excel_BuiltIn_Print_Area_1_1_1_1_1_1_1_1_1_1_1" localSheetId="16">#REF!</definedName>
    <definedName name="Excel_BuiltIn_Print_Area_1_1_1_1_1_1_1_1_1_1_1" localSheetId="17">#REF!</definedName>
    <definedName name="Excel_BuiltIn_Print_Area_1_1_1_1_1_1_1_1_1_1_1" localSheetId="18">#REF!</definedName>
    <definedName name="Excel_BuiltIn_Print_Area_1_1_1_1_1_1_1_1_1_1_1" localSheetId="19">#REF!</definedName>
    <definedName name="Excel_BuiltIn_Print_Area_1_1_1_1_1_1_1_1_1_1_1" localSheetId="20">#REF!</definedName>
    <definedName name="Excel_BuiltIn_Print_Area_1_1_1_1_1_1_1_1_1_1_1" localSheetId="21">#REF!</definedName>
    <definedName name="Excel_BuiltIn_Print_Area_1_1_1_1_1_1_1_1_1_1_1" localSheetId="22">#REF!</definedName>
    <definedName name="Excel_BuiltIn_Print_Area_1_1_1_1_1_1_1_1_1_1_1" localSheetId="5">#REF!</definedName>
    <definedName name="Excel_BuiltIn_Print_Area_1_1_1_1_1_1_1_1_1_1_1" localSheetId="23">#REF!</definedName>
    <definedName name="Excel_BuiltIn_Print_Area_1_1_1_1_1_1_1_1_1_1_1" localSheetId="24">#REF!</definedName>
    <definedName name="Excel_BuiltIn_Print_Area_1_1_1_1_1_1_1_1_1_1_1" localSheetId="25">#REF!</definedName>
    <definedName name="Excel_BuiltIn_Print_Area_1_1_1_1_1_1_1_1_1_1_1" localSheetId="26">#REF!</definedName>
    <definedName name="Excel_BuiltIn_Print_Area_1_1_1_1_1_1_1_1_1_1_1" localSheetId="27">#REF!</definedName>
    <definedName name="Excel_BuiltIn_Print_Area_1_1_1_1_1_1_1_1_1_1_1" localSheetId="28">#REF!</definedName>
    <definedName name="Excel_BuiltIn_Print_Area_1_1_1_1_1_1_1_1_1_1_1" localSheetId="29">#REF!</definedName>
    <definedName name="Excel_BuiltIn_Print_Area_1_1_1_1_1_1_1_1_1_1_1" localSheetId="30">#REF!</definedName>
    <definedName name="Excel_BuiltIn_Print_Area_1_1_1_1_1_1_1_1_1_1_1" localSheetId="31">#REF!</definedName>
    <definedName name="Excel_BuiltIn_Print_Area_1_1_1_1_1_1_1_1_1_1_1" localSheetId="32">#REF!</definedName>
    <definedName name="Excel_BuiltIn_Print_Area_1_1_1_1_1_1_1_1_1_1_1" localSheetId="6">#REF!</definedName>
    <definedName name="Excel_BuiltIn_Print_Area_1_1_1_1_1_1_1_1_1_1_1" localSheetId="33">#REF!</definedName>
    <definedName name="Excel_BuiltIn_Print_Area_1_1_1_1_1_1_1_1_1_1_1" localSheetId="34">#REF!</definedName>
    <definedName name="Excel_BuiltIn_Print_Area_1_1_1_1_1_1_1_1_1_1_1" localSheetId="7">#REF!</definedName>
    <definedName name="Excel_BuiltIn_Print_Area_1_1_1_1_1_1_1_1_1_1_1" localSheetId="8">#REF!</definedName>
    <definedName name="Excel_BuiltIn_Print_Area_1_1_1_1_1_1_1_1_1_1_1" localSheetId="9">#REF!</definedName>
    <definedName name="Excel_BuiltIn_Print_Area_1_1_1_1_1_1_1_1_1_1_1" localSheetId="10">#REF!</definedName>
    <definedName name="Excel_BuiltIn_Print_Area_1_1_1_1_1_1_1_1_1_1_1" localSheetId="11">#REF!</definedName>
    <definedName name="Excel_BuiltIn_Print_Area_1_1_1_1_1_1_1_1_1_1_1" localSheetId="12">#REF!</definedName>
    <definedName name="Excel_BuiltIn_Print_Area_1_1_1_1_1_1_1_1_1_1_1_1" localSheetId="4">#REF!</definedName>
    <definedName name="Excel_BuiltIn_Print_Area_1_1_1_1_1_1_1_1_1_1_1_1" localSheetId="13">#REF!</definedName>
    <definedName name="Excel_BuiltIn_Print_Area_1_1_1_1_1_1_1_1_1_1_1_1" localSheetId="14">#REF!</definedName>
    <definedName name="Excel_BuiltIn_Print_Area_1_1_1_1_1_1_1_1_1_1_1_1" localSheetId="15">#REF!</definedName>
    <definedName name="Excel_BuiltIn_Print_Area_1_1_1_1_1_1_1_1_1_1_1_1" localSheetId="16">#REF!</definedName>
    <definedName name="Excel_BuiltIn_Print_Area_1_1_1_1_1_1_1_1_1_1_1_1" localSheetId="17">#REF!</definedName>
    <definedName name="Excel_BuiltIn_Print_Area_1_1_1_1_1_1_1_1_1_1_1_1" localSheetId="18">#REF!</definedName>
    <definedName name="Excel_BuiltIn_Print_Area_1_1_1_1_1_1_1_1_1_1_1_1" localSheetId="19">#REF!</definedName>
    <definedName name="Excel_BuiltIn_Print_Area_1_1_1_1_1_1_1_1_1_1_1_1" localSheetId="20">#REF!</definedName>
    <definedName name="Excel_BuiltIn_Print_Area_1_1_1_1_1_1_1_1_1_1_1_1" localSheetId="21">#REF!</definedName>
    <definedName name="Excel_BuiltIn_Print_Area_1_1_1_1_1_1_1_1_1_1_1_1" localSheetId="22">#REF!</definedName>
    <definedName name="Excel_BuiltIn_Print_Area_1_1_1_1_1_1_1_1_1_1_1_1" localSheetId="5">#REF!</definedName>
    <definedName name="Excel_BuiltIn_Print_Area_1_1_1_1_1_1_1_1_1_1_1_1" localSheetId="23">#REF!</definedName>
    <definedName name="Excel_BuiltIn_Print_Area_1_1_1_1_1_1_1_1_1_1_1_1" localSheetId="24">#REF!</definedName>
    <definedName name="Excel_BuiltIn_Print_Area_1_1_1_1_1_1_1_1_1_1_1_1" localSheetId="25">#REF!</definedName>
    <definedName name="Excel_BuiltIn_Print_Area_1_1_1_1_1_1_1_1_1_1_1_1" localSheetId="26">#REF!</definedName>
    <definedName name="Excel_BuiltIn_Print_Area_1_1_1_1_1_1_1_1_1_1_1_1" localSheetId="27">#REF!</definedName>
    <definedName name="Excel_BuiltIn_Print_Area_1_1_1_1_1_1_1_1_1_1_1_1" localSheetId="28">#REF!</definedName>
    <definedName name="Excel_BuiltIn_Print_Area_1_1_1_1_1_1_1_1_1_1_1_1" localSheetId="29">#REF!</definedName>
    <definedName name="Excel_BuiltIn_Print_Area_1_1_1_1_1_1_1_1_1_1_1_1" localSheetId="30">#REF!</definedName>
    <definedName name="Excel_BuiltIn_Print_Area_1_1_1_1_1_1_1_1_1_1_1_1" localSheetId="31">#REF!</definedName>
    <definedName name="Excel_BuiltIn_Print_Area_1_1_1_1_1_1_1_1_1_1_1_1" localSheetId="32">#REF!</definedName>
    <definedName name="Excel_BuiltIn_Print_Area_1_1_1_1_1_1_1_1_1_1_1_1" localSheetId="6">#REF!</definedName>
    <definedName name="Excel_BuiltIn_Print_Area_1_1_1_1_1_1_1_1_1_1_1_1" localSheetId="33">#REF!</definedName>
    <definedName name="Excel_BuiltIn_Print_Area_1_1_1_1_1_1_1_1_1_1_1_1" localSheetId="34">#REF!</definedName>
    <definedName name="Excel_BuiltIn_Print_Area_1_1_1_1_1_1_1_1_1_1_1_1" localSheetId="7">#REF!</definedName>
    <definedName name="Excel_BuiltIn_Print_Area_1_1_1_1_1_1_1_1_1_1_1_1" localSheetId="8">#REF!</definedName>
    <definedName name="Excel_BuiltIn_Print_Area_1_1_1_1_1_1_1_1_1_1_1_1" localSheetId="9">#REF!</definedName>
    <definedName name="Excel_BuiltIn_Print_Area_1_1_1_1_1_1_1_1_1_1_1_1" localSheetId="10">#REF!</definedName>
    <definedName name="Excel_BuiltIn_Print_Area_1_1_1_1_1_1_1_1_1_1_1_1" localSheetId="11">#REF!</definedName>
    <definedName name="Excel_BuiltIn_Print_Area_1_1_1_1_1_1_1_1_1_1_1_1" localSheetId="12">#REF!</definedName>
    <definedName name="Excel_BuiltIn_Print_Area_1_1_1_1_1_1_1_1_1_1_1_1_1" localSheetId="4">#REF!</definedName>
    <definedName name="Excel_BuiltIn_Print_Area_1_1_1_1_1_1_1_1_1_1_1_1_1" localSheetId="13">#REF!</definedName>
    <definedName name="Excel_BuiltIn_Print_Area_1_1_1_1_1_1_1_1_1_1_1_1_1" localSheetId="14">#REF!</definedName>
    <definedName name="Excel_BuiltIn_Print_Area_1_1_1_1_1_1_1_1_1_1_1_1_1" localSheetId="15">#REF!</definedName>
    <definedName name="Excel_BuiltIn_Print_Area_1_1_1_1_1_1_1_1_1_1_1_1_1" localSheetId="16">#REF!</definedName>
    <definedName name="Excel_BuiltIn_Print_Area_1_1_1_1_1_1_1_1_1_1_1_1_1" localSheetId="17">#REF!</definedName>
    <definedName name="Excel_BuiltIn_Print_Area_1_1_1_1_1_1_1_1_1_1_1_1_1" localSheetId="18">#REF!</definedName>
    <definedName name="Excel_BuiltIn_Print_Area_1_1_1_1_1_1_1_1_1_1_1_1_1" localSheetId="19">#REF!</definedName>
    <definedName name="Excel_BuiltIn_Print_Area_1_1_1_1_1_1_1_1_1_1_1_1_1" localSheetId="20">#REF!</definedName>
    <definedName name="Excel_BuiltIn_Print_Area_1_1_1_1_1_1_1_1_1_1_1_1_1" localSheetId="21">#REF!</definedName>
    <definedName name="Excel_BuiltIn_Print_Area_1_1_1_1_1_1_1_1_1_1_1_1_1" localSheetId="22">#REF!</definedName>
    <definedName name="Excel_BuiltIn_Print_Area_1_1_1_1_1_1_1_1_1_1_1_1_1" localSheetId="5">#REF!</definedName>
    <definedName name="Excel_BuiltIn_Print_Area_1_1_1_1_1_1_1_1_1_1_1_1_1" localSheetId="23">#REF!</definedName>
    <definedName name="Excel_BuiltIn_Print_Area_1_1_1_1_1_1_1_1_1_1_1_1_1" localSheetId="24">#REF!</definedName>
    <definedName name="Excel_BuiltIn_Print_Area_1_1_1_1_1_1_1_1_1_1_1_1_1" localSheetId="25">#REF!</definedName>
    <definedName name="Excel_BuiltIn_Print_Area_1_1_1_1_1_1_1_1_1_1_1_1_1" localSheetId="26">#REF!</definedName>
    <definedName name="Excel_BuiltIn_Print_Area_1_1_1_1_1_1_1_1_1_1_1_1_1" localSheetId="27">#REF!</definedName>
    <definedName name="Excel_BuiltIn_Print_Area_1_1_1_1_1_1_1_1_1_1_1_1_1" localSheetId="28">#REF!</definedName>
    <definedName name="Excel_BuiltIn_Print_Area_1_1_1_1_1_1_1_1_1_1_1_1_1" localSheetId="29">#REF!</definedName>
    <definedName name="Excel_BuiltIn_Print_Area_1_1_1_1_1_1_1_1_1_1_1_1_1" localSheetId="30">#REF!</definedName>
    <definedName name="Excel_BuiltIn_Print_Area_1_1_1_1_1_1_1_1_1_1_1_1_1" localSheetId="31">#REF!</definedName>
    <definedName name="Excel_BuiltIn_Print_Area_1_1_1_1_1_1_1_1_1_1_1_1_1" localSheetId="32">#REF!</definedName>
    <definedName name="Excel_BuiltIn_Print_Area_1_1_1_1_1_1_1_1_1_1_1_1_1" localSheetId="6">#REF!</definedName>
    <definedName name="Excel_BuiltIn_Print_Area_1_1_1_1_1_1_1_1_1_1_1_1_1" localSheetId="33">#REF!</definedName>
    <definedName name="Excel_BuiltIn_Print_Area_1_1_1_1_1_1_1_1_1_1_1_1_1" localSheetId="34">#REF!</definedName>
    <definedName name="Excel_BuiltIn_Print_Area_1_1_1_1_1_1_1_1_1_1_1_1_1" localSheetId="7">#REF!</definedName>
    <definedName name="Excel_BuiltIn_Print_Area_1_1_1_1_1_1_1_1_1_1_1_1_1" localSheetId="8">#REF!</definedName>
    <definedName name="Excel_BuiltIn_Print_Area_1_1_1_1_1_1_1_1_1_1_1_1_1" localSheetId="9">#REF!</definedName>
    <definedName name="Excel_BuiltIn_Print_Area_1_1_1_1_1_1_1_1_1_1_1_1_1" localSheetId="10">#REF!</definedName>
    <definedName name="Excel_BuiltIn_Print_Area_1_1_1_1_1_1_1_1_1_1_1_1_1" localSheetId="11">#REF!</definedName>
    <definedName name="Excel_BuiltIn_Print_Area_1_1_1_1_1_1_1_1_1_1_1_1_1" localSheetId="12">#REF!</definedName>
    <definedName name="Excel_BuiltIn_Print_Area_1_1_1_1_1_1_1_1_1_1_1_1_1_1" localSheetId="4">#REF!</definedName>
    <definedName name="Excel_BuiltIn_Print_Area_1_1_1_1_1_1_1_1_1_1_1_1_1_1" localSheetId="13">#REF!</definedName>
    <definedName name="Excel_BuiltIn_Print_Area_1_1_1_1_1_1_1_1_1_1_1_1_1_1" localSheetId="14">#REF!</definedName>
    <definedName name="Excel_BuiltIn_Print_Area_1_1_1_1_1_1_1_1_1_1_1_1_1_1" localSheetId="15">#REF!</definedName>
    <definedName name="Excel_BuiltIn_Print_Area_1_1_1_1_1_1_1_1_1_1_1_1_1_1" localSheetId="16">#REF!</definedName>
    <definedName name="Excel_BuiltIn_Print_Area_1_1_1_1_1_1_1_1_1_1_1_1_1_1" localSheetId="17">#REF!</definedName>
    <definedName name="Excel_BuiltIn_Print_Area_1_1_1_1_1_1_1_1_1_1_1_1_1_1" localSheetId="18">#REF!</definedName>
    <definedName name="Excel_BuiltIn_Print_Area_1_1_1_1_1_1_1_1_1_1_1_1_1_1" localSheetId="19">#REF!</definedName>
    <definedName name="Excel_BuiltIn_Print_Area_1_1_1_1_1_1_1_1_1_1_1_1_1_1" localSheetId="20">#REF!</definedName>
    <definedName name="Excel_BuiltIn_Print_Area_1_1_1_1_1_1_1_1_1_1_1_1_1_1" localSheetId="21">#REF!</definedName>
    <definedName name="Excel_BuiltIn_Print_Area_1_1_1_1_1_1_1_1_1_1_1_1_1_1" localSheetId="22">#REF!</definedName>
    <definedName name="Excel_BuiltIn_Print_Area_1_1_1_1_1_1_1_1_1_1_1_1_1_1" localSheetId="5">#REF!</definedName>
    <definedName name="Excel_BuiltIn_Print_Area_1_1_1_1_1_1_1_1_1_1_1_1_1_1" localSheetId="23">#REF!</definedName>
    <definedName name="Excel_BuiltIn_Print_Area_1_1_1_1_1_1_1_1_1_1_1_1_1_1" localSheetId="24">#REF!</definedName>
    <definedName name="Excel_BuiltIn_Print_Area_1_1_1_1_1_1_1_1_1_1_1_1_1_1" localSheetId="25">#REF!</definedName>
    <definedName name="Excel_BuiltIn_Print_Area_1_1_1_1_1_1_1_1_1_1_1_1_1_1" localSheetId="26">#REF!</definedName>
    <definedName name="Excel_BuiltIn_Print_Area_1_1_1_1_1_1_1_1_1_1_1_1_1_1" localSheetId="27">#REF!</definedName>
    <definedName name="Excel_BuiltIn_Print_Area_1_1_1_1_1_1_1_1_1_1_1_1_1_1" localSheetId="28">#REF!</definedName>
    <definedName name="Excel_BuiltIn_Print_Area_1_1_1_1_1_1_1_1_1_1_1_1_1_1" localSheetId="29">#REF!</definedName>
    <definedName name="Excel_BuiltIn_Print_Area_1_1_1_1_1_1_1_1_1_1_1_1_1_1" localSheetId="30">#REF!</definedName>
    <definedName name="Excel_BuiltIn_Print_Area_1_1_1_1_1_1_1_1_1_1_1_1_1_1" localSheetId="31">#REF!</definedName>
    <definedName name="Excel_BuiltIn_Print_Area_1_1_1_1_1_1_1_1_1_1_1_1_1_1" localSheetId="32">#REF!</definedName>
    <definedName name="Excel_BuiltIn_Print_Area_1_1_1_1_1_1_1_1_1_1_1_1_1_1" localSheetId="6">#REF!</definedName>
    <definedName name="Excel_BuiltIn_Print_Area_1_1_1_1_1_1_1_1_1_1_1_1_1_1" localSheetId="33">#REF!</definedName>
    <definedName name="Excel_BuiltIn_Print_Area_1_1_1_1_1_1_1_1_1_1_1_1_1_1" localSheetId="34">#REF!</definedName>
    <definedName name="Excel_BuiltIn_Print_Area_1_1_1_1_1_1_1_1_1_1_1_1_1_1" localSheetId="7">#REF!</definedName>
    <definedName name="Excel_BuiltIn_Print_Area_1_1_1_1_1_1_1_1_1_1_1_1_1_1" localSheetId="8">#REF!</definedName>
    <definedName name="Excel_BuiltIn_Print_Area_1_1_1_1_1_1_1_1_1_1_1_1_1_1" localSheetId="9">#REF!</definedName>
    <definedName name="Excel_BuiltIn_Print_Area_1_1_1_1_1_1_1_1_1_1_1_1_1_1" localSheetId="10">#REF!</definedName>
    <definedName name="Excel_BuiltIn_Print_Area_1_1_1_1_1_1_1_1_1_1_1_1_1_1" localSheetId="11">#REF!</definedName>
    <definedName name="Excel_BuiltIn_Print_Area_1_1_1_1_1_1_1_1_1_1_1_1_1_1" localSheetId="12">#REF!</definedName>
    <definedName name="Excel_BuiltIn_Print_Area_1_1_1_1_1_1_1_1_1_1_1_1_1_1_1" localSheetId="4">#REF!</definedName>
    <definedName name="Excel_BuiltIn_Print_Area_1_1_1_1_1_1_1_1_1_1_1_1_1_1_1" localSheetId="13">#REF!</definedName>
    <definedName name="Excel_BuiltIn_Print_Area_1_1_1_1_1_1_1_1_1_1_1_1_1_1_1" localSheetId="14">#REF!</definedName>
    <definedName name="Excel_BuiltIn_Print_Area_1_1_1_1_1_1_1_1_1_1_1_1_1_1_1" localSheetId="15">#REF!</definedName>
    <definedName name="Excel_BuiltIn_Print_Area_1_1_1_1_1_1_1_1_1_1_1_1_1_1_1" localSheetId="16">#REF!</definedName>
    <definedName name="Excel_BuiltIn_Print_Area_1_1_1_1_1_1_1_1_1_1_1_1_1_1_1" localSheetId="17">#REF!</definedName>
    <definedName name="Excel_BuiltIn_Print_Area_1_1_1_1_1_1_1_1_1_1_1_1_1_1_1" localSheetId="18">#REF!</definedName>
    <definedName name="Excel_BuiltIn_Print_Area_1_1_1_1_1_1_1_1_1_1_1_1_1_1_1" localSheetId="19">#REF!</definedName>
    <definedName name="Excel_BuiltIn_Print_Area_1_1_1_1_1_1_1_1_1_1_1_1_1_1_1" localSheetId="20">#REF!</definedName>
    <definedName name="Excel_BuiltIn_Print_Area_1_1_1_1_1_1_1_1_1_1_1_1_1_1_1" localSheetId="21">#REF!</definedName>
    <definedName name="Excel_BuiltIn_Print_Area_1_1_1_1_1_1_1_1_1_1_1_1_1_1_1" localSheetId="22">#REF!</definedName>
    <definedName name="Excel_BuiltIn_Print_Area_1_1_1_1_1_1_1_1_1_1_1_1_1_1_1" localSheetId="5">#REF!</definedName>
    <definedName name="Excel_BuiltIn_Print_Area_1_1_1_1_1_1_1_1_1_1_1_1_1_1_1" localSheetId="23">#REF!</definedName>
    <definedName name="Excel_BuiltIn_Print_Area_1_1_1_1_1_1_1_1_1_1_1_1_1_1_1" localSheetId="24">#REF!</definedName>
    <definedName name="Excel_BuiltIn_Print_Area_1_1_1_1_1_1_1_1_1_1_1_1_1_1_1" localSheetId="25">#REF!</definedName>
    <definedName name="Excel_BuiltIn_Print_Area_1_1_1_1_1_1_1_1_1_1_1_1_1_1_1" localSheetId="26">#REF!</definedName>
    <definedName name="Excel_BuiltIn_Print_Area_1_1_1_1_1_1_1_1_1_1_1_1_1_1_1" localSheetId="27">#REF!</definedName>
    <definedName name="Excel_BuiltIn_Print_Area_1_1_1_1_1_1_1_1_1_1_1_1_1_1_1" localSheetId="28">#REF!</definedName>
    <definedName name="Excel_BuiltIn_Print_Area_1_1_1_1_1_1_1_1_1_1_1_1_1_1_1" localSheetId="29">#REF!</definedName>
    <definedName name="Excel_BuiltIn_Print_Area_1_1_1_1_1_1_1_1_1_1_1_1_1_1_1" localSheetId="30">#REF!</definedName>
    <definedName name="Excel_BuiltIn_Print_Area_1_1_1_1_1_1_1_1_1_1_1_1_1_1_1" localSheetId="31">#REF!</definedName>
    <definedName name="Excel_BuiltIn_Print_Area_1_1_1_1_1_1_1_1_1_1_1_1_1_1_1" localSheetId="32">#REF!</definedName>
    <definedName name="Excel_BuiltIn_Print_Area_1_1_1_1_1_1_1_1_1_1_1_1_1_1_1" localSheetId="6">#REF!</definedName>
    <definedName name="Excel_BuiltIn_Print_Area_1_1_1_1_1_1_1_1_1_1_1_1_1_1_1" localSheetId="33">#REF!</definedName>
    <definedName name="Excel_BuiltIn_Print_Area_1_1_1_1_1_1_1_1_1_1_1_1_1_1_1" localSheetId="34">#REF!</definedName>
    <definedName name="Excel_BuiltIn_Print_Area_1_1_1_1_1_1_1_1_1_1_1_1_1_1_1" localSheetId="7">#REF!</definedName>
    <definedName name="Excel_BuiltIn_Print_Area_1_1_1_1_1_1_1_1_1_1_1_1_1_1_1" localSheetId="8">#REF!</definedName>
    <definedName name="Excel_BuiltIn_Print_Area_1_1_1_1_1_1_1_1_1_1_1_1_1_1_1" localSheetId="9">#REF!</definedName>
    <definedName name="Excel_BuiltIn_Print_Area_1_1_1_1_1_1_1_1_1_1_1_1_1_1_1" localSheetId="10">#REF!</definedName>
    <definedName name="Excel_BuiltIn_Print_Area_1_1_1_1_1_1_1_1_1_1_1_1_1_1_1" localSheetId="11">#REF!</definedName>
    <definedName name="Excel_BuiltIn_Print_Area_1_1_1_1_1_1_1_1_1_1_1_1_1_1_1" localSheetId="12">#REF!</definedName>
    <definedName name="Excel_BuiltIn_Print_Area_1_1_1_1_1_1_1_1_1_1_1_1_1_1_1_1" localSheetId="4">#REF!</definedName>
    <definedName name="Excel_BuiltIn_Print_Area_1_1_1_1_1_1_1_1_1_1_1_1_1_1_1_1" localSheetId="13">#REF!</definedName>
    <definedName name="Excel_BuiltIn_Print_Area_1_1_1_1_1_1_1_1_1_1_1_1_1_1_1_1" localSheetId="14">#REF!</definedName>
    <definedName name="Excel_BuiltIn_Print_Area_1_1_1_1_1_1_1_1_1_1_1_1_1_1_1_1" localSheetId="15">#REF!</definedName>
    <definedName name="Excel_BuiltIn_Print_Area_1_1_1_1_1_1_1_1_1_1_1_1_1_1_1_1" localSheetId="16">#REF!</definedName>
    <definedName name="Excel_BuiltIn_Print_Area_1_1_1_1_1_1_1_1_1_1_1_1_1_1_1_1" localSheetId="17">#REF!</definedName>
    <definedName name="Excel_BuiltIn_Print_Area_1_1_1_1_1_1_1_1_1_1_1_1_1_1_1_1" localSheetId="18">#REF!</definedName>
    <definedName name="Excel_BuiltIn_Print_Area_1_1_1_1_1_1_1_1_1_1_1_1_1_1_1_1" localSheetId="19">#REF!</definedName>
    <definedName name="Excel_BuiltIn_Print_Area_1_1_1_1_1_1_1_1_1_1_1_1_1_1_1_1" localSheetId="20">#REF!</definedName>
    <definedName name="Excel_BuiltIn_Print_Area_1_1_1_1_1_1_1_1_1_1_1_1_1_1_1_1" localSheetId="21">#REF!</definedName>
    <definedName name="Excel_BuiltIn_Print_Area_1_1_1_1_1_1_1_1_1_1_1_1_1_1_1_1" localSheetId="22">#REF!</definedName>
    <definedName name="Excel_BuiltIn_Print_Area_1_1_1_1_1_1_1_1_1_1_1_1_1_1_1_1" localSheetId="5">#REF!</definedName>
    <definedName name="Excel_BuiltIn_Print_Area_1_1_1_1_1_1_1_1_1_1_1_1_1_1_1_1" localSheetId="23">#REF!</definedName>
    <definedName name="Excel_BuiltIn_Print_Area_1_1_1_1_1_1_1_1_1_1_1_1_1_1_1_1" localSheetId="24">#REF!</definedName>
    <definedName name="Excel_BuiltIn_Print_Area_1_1_1_1_1_1_1_1_1_1_1_1_1_1_1_1" localSheetId="25">#REF!</definedName>
    <definedName name="Excel_BuiltIn_Print_Area_1_1_1_1_1_1_1_1_1_1_1_1_1_1_1_1" localSheetId="26">#REF!</definedName>
    <definedName name="Excel_BuiltIn_Print_Area_1_1_1_1_1_1_1_1_1_1_1_1_1_1_1_1" localSheetId="27">#REF!</definedName>
    <definedName name="Excel_BuiltIn_Print_Area_1_1_1_1_1_1_1_1_1_1_1_1_1_1_1_1" localSheetId="28">#REF!</definedName>
    <definedName name="Excel_BuiltIn_Print_Area_1_1_1_1_1_1_1_1_1_1_1_1_1_1_1_1" localSheetId="29">#REF!</definedName>
    <definedName name="Excel_BuiltIn_Print_Area_1_1_1_1_1_1_1_1_1_1_1_1_1_1_1_1" localSheetId="30">#REF!</definedName>
    <definedName name="Excel_BuiltIn_Print_Area_1_1_1_1_1_1_1_1_1_1_1_1_1_1_1_1" localSheetId="31">#REF!</definedName>
    <definedName name="Excel_BuiltIn_Print_Area_1_1_1_1_1_1_1_1_1_1_1_1_1_1_1_1" localSheetId="32">#REF!</definedName>
    <definedName name="Excel_BuiltIn_Print_Area_1_1_1_1_1_1_1_1_1_1_1_1_1_1_1_1" localSheetId="6">#REF!</definedName>
    <definedName name="Excel_BuiltIn_Print_Area_1_1_1_1_1_1_1_1_1_1_1_1_1_1_1_1" localSheetId="33">#REF!</definedName>
    <definedName name="Excel_BuiltIn_Print_Area_1_1_1_1_1_1_1_1_1_1_1_1_1_1_1_1" localSheetId="34">#REF!</definedName>
    <definedName name="Excel_BuiltIn_Print_Area_1_1_1_1_1_1_1_1_1_1_1_1_1_1_1_1" localSheetId="7">#REF!</definedName>
    <definedName name="Excel_BuiltIn_Print_Area_1_1_1_1_1_1_1_1_1_1_1_1_1_1_1_1" localSheetId="8">#REF!</definedName>
    <definedName name="Excel_BuiltIn_Print_Area_1_1_1_1_1_1_1_1_1_1_1_1_1_1_1_1" localSheetId="9">#REF!</definedName>
    <definedName name="Excel_BuiltIn_Print_Area_1_1_1_1_1_1_1_1_1_1_1_1_1_1_1_1" localSheetId="10">#REF!</definedName>
    <definedName name="Excel_BuiltIn_Print_Area_1_1_1_1_1_1_1_1_1_1_1_1_1_1_1_1" localSheetId="11">#REF!</definedName>
    <definedName name="Excel_BuiltIn_Print_Area_1_1_1_1_1_1_1_1_1_1_1_1_1_1_1_1" localSheetId="12">#REF!</definedName>
    <definedName name="Excel_BuiltIn_Print_Area_1_1_1_1_1_1_1_1_1_1_1_1_1_1_1_1_1" localSheetId="4">#REF!</definedName>
    <definedName name="Excel_BuiltIn_Print_Area_1_1_1_1_1_1_1_1_1_1_1_1_1_1_1_1_1" localSheetId="13">#REF!</definedName>
    <definedName name="Excel_BuiltIn_Print_Area_1_1_1_1_1_1_1_1_1_1_1_1_1_1_1_1_1" localSheetId="14">#REF!</definedName>
    <definedName name="Excel_BuiltIn_Print_Area_1_1_1_1_1_1_1_1_1_1_1_1_1_1_1_1_1" localSheetId="15">#REF!</definedName>
    <definedName name="Excel_BuiltIn_Print_Area_1_1_1_1_1_1_1_1_1_1_1_1_1_1_1_1_1" localSheetId="16">#REF!</definedName>
    <definedName name="Excel_BuiltIn_Print_Area_1_1_1_1_1_1_1_1_1_1_1_1_1_1_1_1_1" localSheetId="17">#REF!</definedName>
    <definedName name="Excel_BuiltIn_Print_Area_1_1_1_1_1_1_1_1_1_1_1_1_1_1_1_1_1" localSheetId="18">#REF!</definedName>
    <definedName name="Excel_BuiltIn_Print_Area_1_1_1_1_1_1_1_1_1_1_1_1_1_1_1_1_1" localSheetId="19">#REF!</definedName>
    <definedName name="Excel_BuiltIn_Print_Area_1_1_1_1_1_1_1_1_1_1_1_1_1_1_1_1_1" localSheetId="20">#REF!</definedName>
    <definedName name="Excel_BuiltIn_Print_Area_1_1_1_1_1_1_1_1_1_1_1_1_1_1_1_1_1" localSheetId="21">#REF!</definedName>
    <definedName name="Excel_BuiltIn_Print_Area_1_1_1_1_1_1_1_1_1_1_1_1_1_1_1_1_1" localSheetId="22">#REF!</definedName>
    <definedName name="Excel_BuiltIn_Print_Area_1_1_1_1_1_1_1_1_1_1_1_1_1_1_1_1_1" localSheetId="5">#REF!</definedName>
    <definedName name="Excel_BuiltIn_Print_Area_1_1_1_1_1_1_1_1_1_1_1_1_1_1_1_1_1" localSheetId="23">#REF!</definedName>
    <definedName name="Excel_BuiltIn_Print_Area_1_1_1_1_1_1_1_1_1_1_1_1_1_1_1_1_1" localSheetId="24">#REF!</definedName>
    <definedName name="Excel_BuiltIn_Print_Area_1_1_1_1_1_1_1_1_1_1_1_1_1_1_1_1_1" localSheetId="25">#REF!</definedName>
    <definedName name="Excel_BuiltIn_Print_Area_1_1_1_1_1_1_1_1_1_1_1_1_1_1_1_1_1" localSheetId="26">#REF!</definedName>
    <definedName name="Excel_BuiltIn_Print_Area_1_1_1_1_1_1_1_1_1_1_1_1_1_1_1_1_1" localSheetId="27">#REF!</definedName>
    <definedName name="Excel_BuiltIn_Print_Area_1_1_1_1_1_1_1_1_1_1_1_1_1_1_1_1_1" localSheetId="28">#REF!</definedName>
    <definedName name="Excel_BuiltIn_Print_Area_1_1_1_1_1_1_1_1_1_1_1_1_1_1_1_1_1" localSheetId="29">#REF!</definedName>
    <definedName name="Excel_BuiltIn_Print_Area_1_1_1_1_1_1_1_1_1_1_1_1_1_1_1_1_1" localSheetId="30">#REF!</definedName>
    <definedName name="Excel_BuiltIn_Print_Area_1_1_1_1_1_1_1_1_1_1_1_1_1_1_1_1_1" localSheetId="31">#REF!</definedName>
    <definedName name="Excel_BuiltIn_Print_Area_1_1_1_1_1_1_1_1_1_1_1_1_1_1_1_1_1" localSheetId="32">#REF!</definedName>
    <definedName name="Excel_BuiltIn_Print_Area_1_1_1_1_1_1_1_1_1_1_1_1_1_1_1_1_1" localSheetId="6">#REF!</definedName>
    <definedName name="Excel_BuiltIn_Print_Area_1_1_1_1_1_1_1_1_1_1_1_1_1_1_1_1_1" localSheetId="33">#REF!</definedName>
    <definedName name="Excel_BuiltIn_Print_Area_1_1_1_1_1_1_1_1_1_1_1_1_1_1_1_1_1" localSheetId="34">#REF!</definedName>
    <definedName name="Excel_BuiltIn_Print_Area_1_1_1_1_1_1_1_1_1_1_1_1_1_1_1_1_1" localSheetId="7">#REF!</definedName>
    <definedName name="Excel_BuiltIn_Print_Area_1_1_1_1_1_1_1_1_1_1_1_1_1_1_1_1_1" localSheetId="8">#REF!</definedName>
    <definedName name="Excel_BuiltIn_Print_Area_1_1_1_1_1_1_1_1_1_1_1_1_1_1_1_1_1" localSheetId="9">#REF!</definedName>
    <definedName name="Excel_BuiltIn_Print_Area_1_1_1_1_1_1_1_1_1_1_1_1_1_1_1_1_1" localSheetId="10">#REF!</definedName>
    <definedName name="Excel_BuiltIn_Print_Area_1_1_1_1_1_1_1_1_1_1_1_1_1_1_1_1_1" localSheetId="11">#REF!</definedName>
    <definedName name="Excel_BuiltIn_Print_Area_1_1_1_1_1_1_1_1_1_1_1_1_1_1_1_1_1" localSheetId="12">#REF!</definedName>
    <definedName name="Excel_BuiltIn_Print_Area_1_1_1_1_1_1_1_1_1_1_1_1_1_1_1_1_1_1" localSheetId="4">#REF!</definedName>
    <definedName name="Excel_BuiltIn_Print_Area_1_1_1_1_1_1_1_1_1_1_1_1_1_1_1_1_1_1" localSheetId="13">#REF!</definedName>
    <definedName name="Excel_BuiltIn_Print_Area_1_1_1_1_1_1_1_1_1_1_1_1_1_1_1_1_1_1" localSheetId="14">#REF!</definedName>
    <definedName name="Excel_BuiltIn_Print_Area_1_1_1_1_1_1_1_1_1_1_1_1_1_1_1_1_1_1" localSheetId="15">#REF!</definedName>
    <definedName name="Excel_BuiltIn_Print_Area_1_1_1_1_1_1_1_1_1_1_1_1_1_1_1_1_1_1" localSheetId="16">#REF!</definedName>
    <definedName name="Excel_BuiltIn_Print_Area_1_1_1_1_1_1_1_1_1_1_1_1_1_1_1_1_1_1" localSheetId="17">#REF!</definedName>
    <definedName name="Excel_BuiltIn_Print_Area_1_1_1_1_1_1_1_1_1_1_1_1_1_1_1_1_1_1" localSheetId="18">#REF!</definedName>
    <definedName name="Excel_BuiltIn_Print_Area_1_1_1_1_1_1_1_1_1_1_1_1_1_1_1_1_1_1" localSheetId="19">#REF!</definedName>
    <definedName name="Excel_BuiltIn_Print_Area_1_1_1_1_1_1_1_1_1_1_1_1_1_1_1_1_1_1" localSheetId="20">#REF!</definedName>
    <definedName name="Excel_BuiltIn_Print_Area_1_1_1_1_1_1_1_1_1_1_1_1_1_1_1_1_1_1" localSheetId="21">#REF!</definedName>
    <definedName name="Excel_BuiltIn_Print_Area_1_1_1_1_1_1_1_1_1_1_1_1_1_1_1_1_1_1" localSheetId="22">#REF!</definedName>
    <definedName name="Excel_BuiltIn_Print_Area_1_1_1_1_1_1_1_1_1_1_1_1_1_1_1_1_1_1" localSheetId="5">#REF!</definedName>
    <definedName name="Excel_BuiltIn_Print_Area_1_1_1_1_1_1_1_1_1_1_1_1_1_1_1_1_1_1" localSheetId="23">#REF!</definedName>
    <definedName name="Excel_BuiltIn_Print_Area_1_1_1_1_1_1_1_1_1_1_1_1_1_1_1_1_1_1" localSheetId="24">#REF!</definedName>
    <definedName name="Excel_BuiltIn_Print_Area_1_1_1_1_1_1_1_1_1_1_1_1_1_1_1_1_1_1" localSheetId="25">#REF!</definedName>
    <definedName name="Excel_BuiltIn_Print_Area_1_1_1_1_1_1_1_1_1_1_1_1_1_1_1_1_1_1" localSheetId="26">#REF!</definedName>
    <definedName name="Excel_BuiltIn_Print_Area_1_1_1_1_1_1_1_1_1_1_1_1_1_1_1_1_1_1" localSheetId="27">#REF!</definedName>
    <definedName name="Excel_BuiltIn_Print_Area_1_1_1_1_1_1_1_1_1_1_1_1_1_1_1_1_1_1" localSheetId="28">#REF!</definedName>
    <definedName name="Excel_BuiltIn_Print_Area_1_1_1_1_1_1_1_1_1_1_1_1_1_1_1_1_1_1" localSheetId="29">#REF!</definedName>
    <definedName name="Excel_BuiltIn_Print_Area_1_1_1_1_1_1_1_1_1_1_1_1_1_1_1_1_1_1" localSheetId="30">#REF!</definedName>
    <definedName name="Excel_BuiltIn_Print_Area_1_1_1_1_1_1_1_1_1_1_1_1_1_1_1_1_1_1" localSheetId="31">#REF!</definedName>
    <definedName name="Excel_BuiltIn_Print_Area_1_1_1_1_1_1_1_1_1_1_1_1_1_1_1_1_1_1" localSheetId="32">#REF!</definedName>
    <definedName name="Excel_BuiltIn_Print_Area_1_1_1_1_1_1_1_1_1_1_1_1_1_1_1_1_1_1" localSheetId="6">#REF!</definedName>
    <definedName name="Excel_BuiltIn_Print_Area_1_1_1_1_1_1_1_1_1_1_1_1_1_1_1_1_1_1" localSheetId="33">#REF!</definedName>
    <definedName name="Excel_BuiltIn_Print_Area_1_1_1_1_1_1_1_1_1_1_1_1_1_1_1_1_1_1" localSheetId="34">#REF!</definedName>
    <definedName name="Excel_BuiltIn_Print_Area_1_1_1_1_1_1_1_1_1_1_1_1_1_1_1_1_1_1" localSheetId="7">#REF!</definedName>
    <definedName name="Excel_BuiltIn_Print_Area_1_1_1_1_1_1_1_1_1_1_1_1_1_1_1_1_1_1" localSheetId="8">#REF!</definedName>
    <definedName name="Excel_BuiltIn_Print_Area_1_1_1_1_1_1_1_1_1_1_1_1_1_1_1_1_1_1" localSheetId="9">#REF!</definedName>
    <definedName name="Excel_BuiltIn_Print_Area_1_1_1_1_1_1_1_1_1_1_1_1_1_1_1_1_1_1" localSheetId="10">#REF!</definedName>
    <definedName name="Excel_BuiltIn_Print_Area_1_1_1_1_1_1_1_1_1_1_1_1_1_1_1_1_1_1" localSheetId="11">#REF!</definedName>
    <definedName name="Excel_BuiltIn_Print_Area_1_1_1_1_1_1_1_1_1_1_1_1_1_1_1_1_1_1" localSheetId="12">#REF!</definedName>
    <definedName name="Excel_BuiltIn_Print_Area_2" localSheetId="4">#REF!,#REF!</definedName>
    <definedName name="Excel_BuiltIn_Print_Area_2" localSheetId="13">#REF!,#REF!</definedName>
    <definedName name="Excel_BuiltIn_Print_Area_2" localSheetId="14">#REF!,#REF!</definedName>
    <definedName name="Excel_BuiltIn_Print_Area_2" localSheetId="15">#REF!,#REF!</definedName>
    <definedName name="Excel_BuiltIn_Print_Area_2" localSheetId="16">#REF!,#REF!</definedName>
    <definedName name="Excel_BuiltIn_Print_Area_2" localSheetId="17">#REF!,#REF!</definedName>
    <definedName name="Excel_BuiltIn_Print_Area_2" localSheetId="18">#REF!,#REF!</definedName>
    <definedName name="Excel_BuiltIn_Print_Area_2" localSheetId="19">#REF!,#REF!</definedName>
    <definedName name="Excel_BuiltIn_Print_Area_2" localSheetId="20">#REF!,#REF!</definedName>
    <definedName name="Excel_BuiltIn_Print_Area_2" localSheetId="21">#REF!,#REF!</definedName>
    <definedName name="Excel_BuiltIn_Print_Area_2" localSheetId="22">#REF!,#REF!</definedName>
    <definedName name="Excel_BuiltIn_Print_Area_2" localSheetId="5">#REF!,#REF!</definedName>
    <definedName name="Excel_BuiltIn_Print_Area_2" localSheetId="23">#REF!,#REF!</definedName>
    <definedName name="Excel_BuiltIn_Print_Area_2" localSheetId="24">#REF!,#REF!</definedName>
    <definedName name="Excel_BuiltIn_Print_Area_2" localSheetId="25">#REF!,#REF!</definedName>
    <definedName name="Excel_BuiltIn_Print_Area_2" localSheetId="26">#REF!,#REF!</definedName>
    <definedName name="Excel_BuiltIn_Print_Area_2" localSheetId="27">#REF!,#REF!</definedName>
    <definedName name="Excel_BuiltIn_Print_Area_2" localSheetId="28">#REF!,#REF!</definedName>
    <definedName name="Excel_BuiltIn_Print_Area_2" localSheetId="29">#REF!,#REF!</definedName>
    <definedName name="Excel_BuiltIn_Print_Area_2" localSheetId="30">#REF!,#REF!</definedName>
    <definedName name="Excel_BuiltIn_Print_Area_2" localSheetId="31">#REF!,#REF!</definedName>
    <definedName name="Excel_BuiltIn_Print_Area_2" localSheetId="32">#REF!,#REF!</definedName>
    <definedName name="Excel_BuiltIn_Print_Area_2" localSheetId="6">#REF!,#REF!</definedName>
    <definedName name="Excel_BuiltIn_Print_Area_2" localSheetId="33">#REF!,#REF!</definedName>
    <definedName name="Excel_BuiltIn_Print_Area_2" localSheetId="34">#REF!,#REF!</definedName>
    <definedName name="Excel_BuiltIn_Print_Area_2" localSheetId="7">#REF!,#REF!</definedName>
    <definedName name="Excel_BuiltIn_Print_Area_2" localSheetId="8">#REF!,#REF!</definedName>
    <definedName name="Excel_BuiltIn_Print_Area_2" localSheetId="9">#REF!,#REF!</definedName>
    <definedName name="Excel_BuiltIn_Print_Area_2" localSheetId="10">#REF!,#REF!</definedName>
    <definedName name="Excel_BuiltIn_Print_Area_2" localSheetId="11">#REF!,#REF!</definedName>
    <definedName name="Excel_BuiltIn_Print_Area_2" localSheetId="12">#REF!,#REF!</definedName>
    <definedName name="Excel_BuiltIn_Print_Area_2_1" localSheetId="4">#REF!,#REF!</definedName>
    <definedName name="Excel_BuiltIn_Print_Area_2_1" localSheetId="13">#REF!,#REF!</definedName>
    <definedName name="Excel_BuiltIn_Print_Area_2_1" localSheetId="14">#REF!,#REF!</definedName>
    <definedName name="Excel_BuiltIn_Print_Area_2_1" localSheetId="15">#REF!,#REF!</definedName>
    <definedName name="Excel_BuiltIn_Print_Area_2_1" localSheetId="16">#REF!,#REF!</definedName>
    <definedName name="Excel_BuiltIn_Print_Area_2_1" localSheetId="17">#REF!,#REF!</definedName>
    <definedName name="Excel_BuiltIn_Print_Area_2_1" localSheetId="18">#REF!,#REF!</definedName>
    <definedName name="Excel_BuiltIn_Print_Area_2_1" localSheetId="19">#REF!,#REF!</definedName>
    <definedName name="Excel_BuiltIn_Print_Area_2_1" localSheetId="20">#REF!,#REF!</definedName>
    <definedName name="Excel_BuiltIn_Print_Area_2_1" localSheetId="21">#REF!,#REF!</definedName>
    <definedName name="Excel_BuiltIn_Print_Area_2_1" localSheetId="22">#REF!,#REF!</definedName>
    <definedName name="Excel_BuiltIn_Print_Area_2_1" localSheetId="5">#REF!,#REF!</definedName>
    <definedName name="Excel_BuiltIn_Print_Area_2_1" localSheetId="23">#REF!,#REF!</definedName>
    <definedName name="Excel_BuiltIn_Print_Area_2_1" localSheetId="24">#REF!,#REF!</definedName>
    <definedName name="Excel_BuiltIn_Print_Area_2_1" localSheetId="25">#REF!,#REF!</definedName>
    <definedName name="Excel_BuiltIn_Print_Area_2_1" localSheetId="26">#REF!,#REF!</definedName>
    <definedName name="Excel_BuiltIn_Print_Area_2_1" localSheetId="27">#REF!,#REF!</definedName>
    <definedName name="Excel_BuiltIn_Print_Area_2_1" localSheetId="28">#REF!,#REF!</definedName>
    <definedName name="Excel_BuiltIn_Print_Area_2_1" localSheetId="29">#REF!,#REF!</definedName>
    <definedName name="Excel_BuiltIn_Print_Area_2_1" localSheetId="30">#REF!,#REF!</definedName>
    <definedName name="Excel_BuiltIn_Print_Area_2_1" localSheetId="31">#REF!,#REF!</definedName>
    <definedName name="Excel_BuiltIn_Print_Area_2_1" localSheetId="32">#REF!,#REF!</definedName>
    <definedName name="Excel_BuiltIn_Print_Area_2_1" localSheetId="6">#REF!,#REF!</definedName>
    <definedName name="Excel_BuiltIn_Print_Area_2_1" localSheetId="33">#REF!,#REF!</definedName>
    <definedName name="Excel_BuiltIn_Print_Area_2_1" localSheetId="34">#REF!,#REF!</definedName>
    <definedName name="Excel_BuiltIn_Print_Area_2_1" localSheetId="7">#REF!,#REF!</definedName>
    <definedName name="Excel_BuiltIn_Print_Area_2_1" localSheetId="8">#REF!,#REF!</definedName>
    <definedName name="Excel_BuiltIn_Print_Area_2_1" localSheetId="9">#REF!,#REF!</definedName>
    <definedName name="Excel_BuiltIn_Print_Area_2_1" localSheetId="10">#REF!,#REF!</definedName>
    <definedName name="Excel_BuiltIn_Print_Area_2_1" localSheetId="11">#REF!,#REF!</definedName>
    <definedName name="Excel_BuiltIn_Print_Area_2_1" localSheetId="12">#REF!,#REF!</definedName>
    <definedName name="Excel_BuiltIn_Print_Area_2_1_1" localSheetId="4">#REF!,#REF!</definedName>
    <definedName name="Excel_BuiltIn_Print_Area_2_1_1" localSheetId="13">#REF!,#REF!</definedName>
    <definedName name="Excel_BuiltIn_Print_Area_2_1_1" localSheetId="14">#REF!,#REF!</definedName>
    <definedName name="Excel_BuiltIn_Print_Area_2_1_1" localSheetId="15">#REF!,#REF!</definedName>
    <definedName name="Excel_BuiltIn_Print_Area_2_1_1" localSheetId="16">#REF!,#REF!</definedName>
    <definedName name="Excel_BuiltIn_Print_Area_2_1_1" localSheetId="17">#REF!,#REF!</definedName>
    <definedName name="Excel_BuiltIn_Print_Area_2_1_1" localSheetId="18">#REF!,#REF!</definedName>
    <definedName name="Excel_BuiltIn_Print_Area_2_1_1" localSheetId="19">#REF!,#REF!</definedName>
    <definedName name="Excel_BuiltIn_Print_Area_2_1_1" localSheetId="20">#REF!,#REF!</definedName>
    <definedName name="Excel_BuiltIn_Print_Area_2_1_1" localSheetId="21">#REF!,#REF!</definedName>
    <definedName name="Excel_BuiltIn_Print_Area_2_1_1" localSheetId="22">#REF!,#REF!</definedName>
    <definedName name="Excel_BuiltIn_Print_Area_2_1_1" localSheetId="5">#REF!,#REF!</definedName>
    <definedName name="Excel_BuiltIn_Print_Area_2_1_1" localSheetId="23">#REF!,#REF!</definedName>
    <definedName name="Excel_BuiltIn_Print_Area_2_1_1" localSheetId="24">#REF!,#REF!</definedName>
    <definedName name="Excel_BuiltIn_Print_Area_2_1_1" localSheetId="25">#REF!,#REF!</definedName>
    <definedName name="Excel_BuiltIn_Print_Area_2_1_1" localSheetId="26">#REF!,#REF!</definedName>
    <definedName name="Excel_BuiltIn_Print_Area_2_1_1" localSheetId="27">#REF!,#REF!</definedName>
    <definedName name="Excel_BuiltIn_Print_Area_2_1_1" localSheetId="28">#REF!,#REF!</definedName>
    <definedName name="Excel_BuiltIn_Print_Area_2_1_1" localSheetId="29">#REF!,#REF!</definedName>
    <definedName name="Excel_BuiltIn_Print_Area_2_1_1" localSheetId="30">#REF!,#REF!</definedName>
    <definedName name="Excel_BuiltIn_Print_Area_2_1_1" localSheetId="31">#REF!,#REF!</definedName>
    <definedName name="Excel_BuiltIn_Print_Area_2_1_1" localSheetId="32">#REF!,#REF!</definedName>
    <definedName name="Excel_BuiltIn_Print_Area_2_1_1" localSheetId="6">#REF!,#REF!</definedName>
    <definedName name="Excel_BuiltIn_Print_Area_2_1_1" localSheetId="33">#REF!,#REF!</definedName>
    <definedName name="Excel_BuiltIn_Print_Area_2_1_1" localSheetId="34">#REF!,#REF!</definedName>
    <definedName name="Excel_BuiltIn_Print_Area_2_1_1" localSheetId="7">#REF!,#REF!</definedName>
    <definedName name="Excel_BuiltIn_Print_Area_2_1_1" localSheetId="8">#REF!,#REF!</definedName>
    <definedName name="Excel_BuiltIn_Print_Area_2_1_1" localSheetId="9">#REF!,#REF!</definedName>
    <definedName name="Excel_BuiltIn_Print_Area_2_1_1" localSheetId="10">#REF!,#REF!</definedName>
    <definedName name="Excel_BuiltIn_Print_Area_2_1_1" localSheetId="11">#REF!,#REF!</definedName>
    <definedName name="Excel_BuiltIn_Print_Area_2_1_1" localSheetId="12">#REF!,#REF!</definedName>
    <definedName name="Fosfat" localSheetId="4">#REF!</definedName>
    <definedName name="Fosfat" localSheetId="13">#REF!</definedName>
    <definedName name="Fosfat" localSheetId="14">#REF!</definedName>
    <definedName name="Fosfat" localSheetId="15">#REF!</definedName>
    <definedName name="Fosfat" localSheetId="16">#REF!</definedName>
    <definedName name="Fosfat" localSheetId="17">#REF!</definedName>
    <definedName name="Fosfat" localSheetId="18">#REF!</definedName>
    <definedName name="Fosfat" localSheetId="19">#REF!</definedName>
    <definedName name="Fosfat" localSheetId="20">#REF!</definedName>
    <definedName name="Fosfat" localSheetId="21">#REF!</definedName>
    <definedName name="Fosfat" localSheetId="22">#REF!</definedName>
    <definedName name="Fosfat" localSheetId="5">#REF!</definedName>
    <definedName name="Fosfat" localSheetId="23">#REF!</definedName>
    <definedName name="Fosfat" localSheetId="24">#REF!</definedName>
    <definedName name="Fosfat" localSheetId="25">#REF!</definedName>
    <definedName name="Fosfat" localSheetId="26">#REF!</definedName>
    <definedName name="Fosfat" localSheetId="27">#REF!</definedName>
    <definedName name="Fosfat" localSheetId="28">#REF!</definedName>
    <definedName name="Fosfat" localSheetId="29">#REF!</definedName>
    <definedName name="Fosfat" localSheetId="30">#REF!</definedName>
    <definedName name="Fosfat" localSheetId="31">#REF!</definedName>
    <definedName name="Fosfat" localSheetId="32">#REF!</definedName>
    <definedName name="Fosfat" localSheetId="6">#REF!</definedName>
    <definedName name="Fosfat" localSheetId="33">#REF!</definedName>
    <definedName name="Fosfat" localSheetId="34">#REF!</definedName>
    <definedName name="Fosfat" localSheetId="7">#REF!</definedName>
    <definedName name="Fosfat" localSheetId="8">#REF!</definedName>
    <definedName name="Fosfat" localSheetId="9">#REF!</definedName>
    <definedName name="Fosfat" localSheetId="10">#REF!</definedName>
    <definedName name="Fosfat" localSheetId="11">#REF!</definedName>
    <definedName name="Fosfat" localSheetId="12">#REF!</definedName>
    <definedName name="jdjd" localSheetId="4">#REF!</definedName>
    <definedName name="jdjd" localSheetId="13">#REF!</definedName>
    <definedName name="jdjd" localSheetId="14">#REF!</definedName>
    <definedName name="jdjd" localSheetId="15">#REF!</definedName>
    <definedName name="jdjd" localSheetId="16">#REF!</definedName>
    <definedName name="jdjd" localSheetId="17">#REF!</definedName>
    <definedName name="jdjd" localSheetId="18">#REF!</definedName>
    <definedName name="jdjd" localSheetId="19">#REF!</definedName>
    <definedName name="jdjd" localSheetId="20">#REF!</definedName>
    <definedName name="jdjd" localSheetId="21">#REF!</definedName>
    <definedName name="jdjd" localSheetId="22">#REF!</definedName>
    <definedName name="jdjd" localSheetId="5">#REF!</definedName>
    <definedName name="jdjd" localSheetId="23">#REF!</definedName>
    <definedName name="jdjd" localSheetId="24">#REF!</definedName>
    <definedName name="jdjd" localSheetId="25">#REF!</definedName>
    <definedName name="jdjd" localSheetId="26">#REF!</definedName>
    <definedName name="jdjd" localSheetId="27">#REF!</definedName>
    <definedName name="jdjd" localSheetId="28">#REF!</definedName>
    <definedName name="jdjd" localSheetId="29">#REF!</definedName>
    <definedName name="jdjd" localSheetId="30">#REF!</definedName>
    <definedName name="jdjd" localSheetId="31">#REF!</definedName>
    <definedName name="jdjd" localSheetId="32">#REF!</definedName>
    <definedName name="jdjd" localSheetId="6">#REF!</definedName>
    <definedName name="jdjd" localSheetId="33">#REF!</definedName>
    <definedName name="jdjd" localSheetId="34">#REF!</definedName>
    <definedName name="jdjd" localSheetId="7">#REF!</definedName>
    <definedName name="jdjd" localSheetId="8">#REF!</definedName>
    <definedName name="jdjd" localSheetId="9">#REF!</definedName>
    <definedName name="jdjd" localSheetId="10">#REF!</definedName>
    <definedName name="jdjd" localSheetId="11">#REF!</definedName>
    <definedName name="jdjd" localSheetId="12">#REF!</definedName>
    <definedName name="Kodlar">SÜRELER!$A$24:$B$1582</definedName>
    <definedName name="UrnBilgisi" localSheetId="4">#REF!</definedName>
    <definedName name="UrnBilgisi" localSheetId="13">#REF!</definedName>
    <definedName name="UrnBilgisi" localSheetId="14">#REF!</definedName>
    <definedName name="UrnBilgisi" localSheetId="15">#REF!</definedName>
    <definedName name="UrnBilgisi" localSheetId="16">#REF!</definedName>
    <definedName name="UrnBilgisi" localSheetId="17">#REF!</definedName>
    <definedName name="UrnBilgisi" localSheetId="18">#REF!</definedName>
    <definedName name="UrnBilgisi" localSheetId="19">#REF!</definedName>
    <definedName name="UrnBilgisi" localSheetId="20">#REF!</definedName>
    <definedName name="UrnBilgisi" localSheetId="21">#REF!</definedName>
    <definedName name="UrnBilgisi" localSheetId="22">#REF!</definedName>
    <definedName name="UrnBilgisi" localSheetId="5">#REF!</definedName>
    <definedName name="UrnBilgisi" localSheetId="23">#REF!</definedName>
    <definedName name="UrnBilgisi" localSheetId="24">#REF!</definedName>
    <definedName name="UrnBilgisi" localSheetId="25">#REF!</definedName>
    <definedName name="UrnBilgisi" localSheetId="26">#REF!</definedName>
    <definedName name="UrnBilgisi" localSheetId="27">#REF!</definedName>
    <definedName name="UrnBilgisi" localSheetId="28">#REF!</definedName>
    <definedName name="UrnBilgisi" localSheetId="29">#REF!</definedName>
    <definedName name="UrnBilgisi" localSheetId="30">#REF!</definedName>
    <definedName name="UrnBilgisi" localSheetId="31">#REF!</definedName>
    <definedName name="UrnBilgisi" localSheetId="32">#REF!</definedName>
    <definedName name="UrnBilgisi" localSheetId="6">#REF!</definedName>
    <definedName name="UrnBilgisi" localSheetId="33">#REF!</definedName>
    <definedName name="UrnBilgisi" localSheetId="34">#REF!</definedName>
    <definedName name="UrnBilgisi" localSheetId="7">#REF!</definedName>
    <definedName name="UrnBilgisi" localSheetId="8">#REF!</definedName>
    <definedName name="UrnBilgisi" localSheetId="9">#REF!</definedName>
    <definedName name="UrnBilgisi" localSheetId="10">#REF!</definedName>
    <definedName name="UrnBilgisi" localSheetId="11">#REF!</definedName>
    <definedName name="UrnBilgisi" localSheetId="12">#REF!</definedName>
    <definedName name="Vakum" localSheetId="4">#REF!</definedName>
    <definedName name="Vakum" localSheetId="13">#REF!</definedName>
    <definedName name="Vakum" localSheetId="14">#REF!</definedName>
    <definedName name="Vakum" localSheetId="15">#REF!</definedName>
    <definedName name="Vakum" localSheetId="16">#REF!</definedName>
    <definedName name="Vakum" localSheetId="17">#REF!</definedName>
    <definedName name="Vakum" localSheetId="18">#REF!</definedName>
    <definedName name="Vakum" localSheetId="19">#REF!</definedName>
    <definedName name="Vakum" localSheetId="20">#REF!</definedName>
    <definedName name="Vakum" localSheetId="21">#REF!</definedName>
    <definedName name="Vakum" localSheetId="22">#REF!</definedName>
    <definedName name="Vakum" localSheetId="5">#REF!</definedName>
    <definedName name="Vakum" localSheetId="23">#REF!</definedName>
    <definedName name="Vakum" localSheetId="24">#REF!</definedName>
    <definedName name="Vakum" localSheetId="25">#REF!</definedName>
    <definedName name="Vakum" localSheetId="26">#REF!</definedName>
    <definedName name="Vakum" localSheetId="27">#REF!</definedName>
    <definedName name="Vakum" localSheetId="28">#REF!</definedName>
    <definedName name="Vakum" localSheetId="29">#REF!</definedName>
    <definedName name="Vakum" localSheetId="30">#REF!</definedName>
    <definedName name="Vakum" localSheetId="31">#REF!</definedName>
    <definedName name="Vakum" localSheetId="32">#REF!</definedName>
    <definedName name="Vakum" localSheetId="6">#REF!</definedName>
    <definedName name="Vakum" localSheetId="33">#REF!</definedName>
    <definedName name="Vakum" localSheetId="34">#REF!</definedName>
    <definedName name="Vakum" localSheetId="7">#REF!</definedName>
    <definedName name="Vakum" localSheetId="8">#REF!</definedName>
    <definedName name="Vakum" localSheetId="9">#REF!</definedName>
    <definedName name="Vakum" localSheetId="10">#REF!</definedName>
    <definedName name="Vakum" localSheetId="11">#REF!</definedName>
    <definedName name="Vakum" localSheetId="12">#REF!</definedName>
    <definedName name="VERKON98_VERKON_Listele" localSheetId="4">#REF!</definedName>
    <definedName name="VERKON98_VERKON_Listele" localSheetId="13">#REF!</definedName>
    <definedName name="VERKON98_VERKON_Listele" localSheetId="14">#REF!</definedName>
    <definedName name="VERKON98_VERKON_Listele" localSheetId="15">#REF!</definedName>
    <definedName name="VERKON98_VERKON_Listele" localSheetId="16">#REF!</definedName>
    <definedName name="VERKON98_VERKON_Listele" localSheetId="17">#REF!</definedName>
    <definedName name="VERKON98_VERKON_Listele" localSheetId="18">#REF!</definedName>
    <definedName name="VERKON98_VERKON_Listele" localSheetId="19">#REF!</definedName>
    <definedName name="VERKON98_VERKON_Listele" localSheetId="20">#REF!</definedName>
    <definedName name="VERKON98_VERKON_Listele" localSheetId="21">#REF!</definedName>
    <definedName name="VERKON98_VERKON_Listele" localSheetId="22">#REF!</definedName>
    <definedName name="VERKON98_VERKON_Listele" localSheetId="5">#REF!</definedName>
    <definedName name="VERKON98_VERKON_Listele" localSheetId="23">#REF!</definedName>
    <definedName name="VERKON98_VERKON_Listele" localSheetId="24">#REF!</definedName>
    <definedName name="VERKON98_VERKON_Listele" localSheetId="25">#REF!</definedName>
    <definedName name="VERKON98_VERKON_Listele" localSheetId="26">#REF!</definedName>
    <definedName name="VERKON98_VERKON_Listele" localSheetId="27">#REF!</definedName>
    <definedName name="VERKON98_VERKON_Listele" localSheetId="28">#REF!</definedName>
    <definedName name="VERKON98_VERKON_Listele" localSheetId="29">#REF!</definedName>
    <definedName name="VERKON98_VERKON_Listele" localSheetId="30">#REF!</definedName>
    <definedName name="VERKON98_VERKON_Listele" localSheetId="31">#REF!</definedName>
    <definedName name="VERKON98_VERKON_Listele" localSheetId="32">#REF!</definedName>
    <definedName name="VERKON98_VERKON_Listele" localSheetId="6">#REF!</definedName>
    <definedName name="VERKON98_VERKON_Listele" localSheetId="33">#REF!</definedName>
    <definedName name="VERKON98_VERKON_Listele" localSheetId="34">#REF!</definedName>
    <definedName name="VERKON98_VERKON_Listele" localSheetId="7">#REF!</definedName>
    <definedName name="VERKON98_VERKON_Listele" localSheetId="8">#REF!</definedName>
    <definedName name="VERKON98_VERKON_Listele" localSheetId="9">#REF!</definedName>
    <definedName name="VERKON98_VERKON_Listele" localSheetId="10">#REF!</definedName>
    <definedName name="VERKON98_VERKON_Listele" localSheetId="11">#REF!</definedName>
    <definedName name="VERKON98_VERKON_Listele" localSheetId="12">#REF!</definedName>
    <definedName name="Vernik" localSheetId="4">#REF!</definedName>
    <definedName name="Vernik" localSheetId="13">#REF!</definedName>
    <definedName name="Vernik" localSheetId="14">#REF!</definedName>
    <definedName name="Vernik" localSheetId="15">#REF!</definedName>
    <definedName name="Vernik" localSheetId="16">#REF!</definedName>
    <definedName name="Vernik" localSheetId="17">#REF!</definedName>
    <definedName name="Vernik" localSheetId="18">#REF!</definedName>
    <definedName name="Vernik" localSheetId="19">#REF!</definedName>
    <definedName name="Vernik" localSheetId="20">#REF!</definedName>
    <definedName name="Vernik" localSheetId="21">#REF!</definedName>
    <definedName name="Vernik" localSheetId="22">#REF!</definedName>
    <definedName name="Vernik" localSheetId="5">#REF!</definedName>
    <definedName name="Vernik" localSheetId="23">#REF!</definedName>
    <definedName name="Vernik" localSheetId="24">#REF!</definedName>
    <definedName name="Vernik" localSheetId="25">#REF!</definedName>
    <definedName name="Vernik" localSheetId="26">#REF!</definedName>
    <definedName name="Vernik" localSheetId="27">#REF!</definedName>
    <definedName name="Vernik" localSheetId="28">#REF!</definedName>
    <definedName name="Vernik" localSheetId="29">#REF!</definedName>
    <definedName name="Vernik" localSheetId="30">#REF!</definedName>
    <definedName name="Vernik" localSheetId="31">#REF!</definedName>
    <definedName name="Vernik" localSheetId="32">#REF!</definedName>
    <definedName name="Vernik" localSheetId="6">#REF!</definedName>
    <definedName name="Vernik" localSheetId="33">#REF!</definedName>
    <definedName name="Vernik" localSheetId="34">#REF!</definedName>
    <definedName name="Vernik" localSheetId="7">#REF!</definedName>
    <definedName name="Vernik" localSheetId="8">#REF!</definedName>
    <definedName name="Vernik" localSheetId="9">#REF!</definedName>
    <definedName name="Vernik" localSheetId="10">#REF!</definedName>
    <definedName name="Vernik" localSheetId="11">#REF!</definedName>
    <definedName name="Vernik" localSheetId="12">#REF!</definedName>
    <definedName name="Yasboya" localSheetId="4">#REF!</definedName>
    <definedName name="Yasboya" localSheetId="13">#REF!</definedName>
    <definedName name="Yasboya" localSheetId="14">#REF!</definedName>
    <definedName name="Yasboya" localSheetId="15">#REF!</definedName>
    <definedName name="Yasboya" localSheetId="16">#REF!</definedName>
    <definedName name="Yasboya" localSheetId="17">#REF!</definedName>
    <definedName name="Yasboya" localSheetId="18">#REF!</definedName>
    <definedName name="Yasboya" localSheetId="19">#REF!</definedName>
    <definedName name="Yasboya" localSheetId="20">#REF!</definedName>
    <definedName name="Yasboya" localSheetId="21">#REF!</definedName>
    <definedName name="Yasboya" localSheetId="22">#REF!</definedName>
    <definedName name="Yasboya" localSheetId="5">#REF!</definedName>
    <definedName name="Yasboya" localSheetId="23">#REF!</definedName>
    <definedName name="Yasboya" localSheetId="24">#REF!</definedName>
    <definedName name="Yasboya" localSheetId="25">#REF!</definedName>
    <definedName name="Yasboya" localSheetId="26">#REF!</definedName>
    <definedName name="Yasboya" localSheetId="27">#REF!</definedName>
    <definedName name="Yasboya" localSheetId="28">#REF!</definedName>
    <definedName name="Yasboya" localSheetId="29">#REF!</definedName>
    <definedName name="Yasboya" localSheetId="30">#REF!</definedName>
    <definedName name="Yasboya" localSheetId="31">#REF!</definedName>
    <definedName name="Yasboya" localSheetId="32">#REF!</definedName>
    <definedName name="Yasboya" localSheetId="6">#REF!</definedName>
    <definedName name="Yasboya" localSheetId="33">#REF!</definedName>
    <definedName name="Yasboya" localSheetId="34">#REF!</definedName>
    <definedName name="Yasboya" localSheetId="7">#REF!</definedName>
    <definedName name="Yasboya" localSheetId="8">#REF!</definedName>
    <definedName name="Yasboya" localSheetId="9">#REF!</definedName>
    <definedName name="Yasboya" localSheetId="10">#REF!</definedName>
    <definedName name="Yasboya" localSheetId="11">#REF!</definedName>
    <definedName name="Yasboya" localSheetId="12">#REF!</definedName>
    <definedName name="_xlnm.Print_Area" localSheetId="4">'1'!$A$1:$R$27</definedName>
    <definedName name="_xlnm.Print_Area" localSheetId="13">'10'!$A$1:$R$27</definedName>
    <definedName name="_xlnm.Print_Area" localSheetId="14">'11'!$A$1:$R$27</definedName>
    <definedName name="_xlnm.Print_Area" localSheetId="15">'12'!$A$1:$R$27</definedName>
    <definedName name="_xlnm.Print_Area" localSheetId="16">'13'!$A$1:$R$27</definedName>
    <definedName name="_xlnm.Print_Area" localSheetId="17">'14'!$A$1:$R$27</definedName>
    <definedName name="_xlnm.Print_Area" localSheetId="18">'15'!$A$1:$R$27</definedName>
    <definedName name="_xlnm.Print_Area" localSheetId="19">'16'!$A$1:$R$27</definedName>
    <definedName name="_xlnm.Print_Area" localSheetId="20">'17'!$A$1:$R$27</definedName>
    <definedName name="_xlnm.Print_Area" localSheetId="21">'18'!$A$1:$R$27</definedName>
    <definedName name="_xlnm.Print_Area" localSheetId="22">'19'!$A$1:$R$27</definedName>
    <definedName name="_xlnm.Print_Area" localSheetId="5">'2'!$A$1:$R$27</definedName>
    <definedName name="_xlnm.Print_Area" localSheetId="23">'20'!$A$1:$R$27</definedName>
    <definedName name="_xlnm.Print_Area" localSheetId="24">'21'!$A$1:$R$27</definedName>
    <definedName name="_xlnm.Print_Area" localSheetId="25">'22'!$A$1:$R$27</definedName>
    <definedName name="_xlnm.Print_Area" localSheetId="26">'23'!$A$1:$R$27</definedName>
    <definedName name="_xlnm.Print_Area" localSheetId="27">'24'!$A$1:$R$27</definedName>
    <definedName name="_xlnm.Print_Area" localSheetId="28">'25'!$A$1:$R$27</definedName>
    <definedName name="_xlnm.Print_Area" localSheetId="29">'26'!$A$1:$R$27</definedName>
    <definedName name="_xlnm.Print_Area" localSheetId="30">'27'!$A$1:$R$27</definedName>
    <definedName name="_xlnm.Print_Area" localSheetId="31">'28'!$A$1:$R$27</definedName>
    <definedName name="_xlnm.Print_Area" localSheetId="32">'29'!$A$1:$R$27</definedName>
    <definedName name="_xlnm.Print_Area" localSheetId="6">'3'!$A$1:$R$27</definedName>
    <definedName name="_xlnm.Print_Area" localSheetId="33">'30'!$A$1:$R$27</definedName>
    <definedName name="_xlnm.Print_Area" localSheetId="34">'31'!$A$1:$R$27</definedName>
    <definedName name="_xlnm.Print_Area" localSheetId="7">'4'!$A$1:$R$27</definedName>
    <definedName name="_xlnm.Print_Area" localSheetId="8">'5'!$A$1:$R$27</definedName>
    <definedName name="_xlnm.Print_Area" localSheetId="9">'6'!$A$1:$R$27</definedName>
    <definedName name="_xlnm.Print_Area" localSheetId="10">'7'!$A$1:$R$27</definedName>
    <definedName name="_xlnm.Print_Area" localSheetId="11">'8'!$A$1:$R$27</definedName>
    <definedName name="_xlnm.Print_Area" localSheetId="12">'9'!$A$1:$R$27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6" i="3" l="1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83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45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2" i="3"/>
  <c r="G472" i="150"/>
  <c r="G473" i="150"/>
  <c r="G474" i="150"/>
  <c r="G475" i="150"/>
  <c r="G476" i="150"/>
  <c r="G477" i="150"/>
  <c r="G478" i="150"/>
  <c r="G479" i="150"/>
  <c r="G480" i="150"/>
  <c r="G481" i="150"/>
  <c r="G482" i="150"/>
  <c r="G483" i="150"/>
  <c r="G484" i="150"/>
  <c r="G485" i="150"/>
  <c r="G486" i="150"/>
  <c r="G487" i="150"/>
  <c r="G488" i="150"/>
  <c r="G489" i="150"/>
  <c r="G490" i="150"/>
  <c r="G491" i="150"/>
  <c r="G492" i="150"/>
  <c r="G493" i="150"/>
  <c r="G494" i="150"/>
  <c r="G495" i="150"/>
  <c r="G496" i="150"/>
  <c r="G497" i="150"/>
  <c r="G498" i="150"/>
  <c r="G499" i="150"/>
  <c r="G500" i="150"/>
  <c r="G501" i="150"/>
  <c r="G502" i="150"/>
  <c r="G503" i="150"/>
  <c r="G504" i="150"/>
  <c r="G505" i="150"/>
  <c r="G506" i="150"/>
  <c r="G507" i="150"/>
  <c r="G508" i="150"/>
  <c r="G509" i="150"/>
  <c r="G510" i="150"/>
  <c r="G511" i="150"/>
  <c r="G512" i="150"/>
  <c r="G513" i="150"/>
  <c r="G514" i="150"/>
  <c r="G515" i="150"/>
  <c r="G516" i="150"/>
  <c r="G517" i="150"/>
  <c r="G518" i="150"/>
  <c r="G519" i="150"/>
  <c r="G520" i="150"/>
  <c r="G521" i="150"/>
  <c r="G522" i="150"/>
  <c r="G523" i="150"/>
  <c r="G524" i="150"/>
  <c r="G525" i="150"/>
  <c r="G526" i="150"/>
  <c r="G527" i="150"/>
  <c r="G528" i="150"/>
  <c r="G529" i="150"/>
  <c r="G530" i="150"/>
  <c r="G531" i="150"/>
  <c r="G532" i="150"/>
  <c r="G533" i="150"/>
  <c r="G534" i="150"/>
  <c r="G535" i="150"/>
  <c r="G536" i="150"/>
  <c r="G537" i="150"/>
  <c r="G538" i="150"/>
  <c r="G539" i="150"/>
  <c r="G540" i="150"/>
  <c r="G541" i="150"/>
  <c r="G542" i="150"/>
  <c r="G543" i="150"/>
  <c r="G544" i="150"/>
  <c r="G545" i="150"/>
  <c r="G546" i="150"/>
  <c r="G547" i="150"/>
  <c r="G548" i="150"/>
  <c r="G549" i="150"/>
  <c r="G550" i="150"/>
  <c r="G551" i="150"/>
  <c r="G552" i="150"/>
  <c r="G553" i="150"/>
  <c r="G554" i="150"/>
  <c r="G555" i="150"/>
  <c r="G556" i="150"/>
  <c r="G557" i="150"/>
  <c r="G558" i="150"/>
  <c r="G559" i="150"/>
  <c r="G560" i="150"/>
  <c r="G561" i="150"/>
  <c r="G562" i="150"/>
  <c r="G563" i="150"/>
  <c r="G564" i="150"/>
  <c r="G565" i="150"/>
  <c r="G566" i="150"/>
  <c r="G567" i="150"/>
  <c r="G568" i="150"/>
  <c r="G569" i="150"/>
  <c r="G570" i="150"/>
  <c r="G571" i="150"/>
  <c r="G572" i="150"/>
  <c r="G573" i="150"/>
  <c r="G574" i="150"/>
  <c r="G575" i="150"/>
  <c r="G576" i="150"/>
  <c r="G577" i="150"/>
  <c r="G578" i="150"/>
  <c r="G579" i="150"/>
  <c r="G580" i="150"/>
  <c r="G581" i="150"/>
  <c r="G582" i="150"/>
  <c r="G583" i="150"/>
  <c r="G584" i="150"/>
  <c r="G585" i="150"/>
  <c r="G586" i="150"/>
  <c r="G587" i="150"/>
  <c r="G588" i="150"/>
  <c r="G589" i="150"/>
  <c r="G590" i="150"/>
  <c r="G591" i="150"/>
  <c r="G592" i="150"/>
  <c r="G593" i="150"/>
  <c r="G594" i="150"/>
  <c r="G595" i="150"/>
  <c r="G596" i="150"/>
  <c r="G597" i="150"/>
  <c r="G598" i="150"/>
  <c r="G599" i="150"/>
  <c r="G600" i="150"/>
  <c r="G601" i="150"/>
  <c r="G602" i="150"/>
  <c r="G603" i="150"/>
  <c r="G604" i="150"/>
  <c r="G605" i="150"/>
  <c r="G606" i="150"/>
  <c r="G607" i="150"/>
  <c r="G608" i="150"/>
  <c r="G609" i="150"/>
  <c r="G610" i="150"/>
  <c r="G611" i="150"/>
  <c r="G612" i="150"/>
  <c r="G613" i="150"/>
  <c r="G614" i="150"/>
  <c r="G615" i="150"/>
  <c r="G616" i="150"/>
  <c r="G617" i="150"/>
  <c r="G618" i="150"/>
  <c r="G619" i="150"/>
  <c r="G620" i="150"/>
  <c r="G621" i="150"/>
  <c r="G622" i="150"/>
  <c r="G623" i="150"/>
  <c r="G624" i="150"/>
  <c r="G625" i="150"/>
  <c r="G626" i="150"/>
  <c r="G627" i="150"/>
  <c r="G628" i="150"/>
  <c r="G629" i="150"/>
  <c r="G630" i="150"/>
  <c r="G631" i="150"/>
  <c r="G632" i="150"/>
  <c r="G633" i="150"/>
  <c r="G634" i="150"/>
  <c r="G635" i="150"/>
  <c r="G636" i="150"/>
  <c r="G637" i="150"/>
  <c r="G638" i="150"/>
  <c r="G639" i="150"/>
  <c r="G640" i="150"/>
  <c r="G641" i="150"/>
  <c r="G642" i="150"/>
  <c r="G643" i="150"/>
  <c r="G644" i="150"/>
  <c r="G645" i="150"/>
  <c r="G646" i="150"/>
  <c r="G647" i="150"/>
  <c r="G648" i="150"/>
  <c r="G649" i="150"/>
  <c r="G650" i="150"/>
  <c r="G651" i="150"/>
  <c r="G652" i="150"/>
  <c r="G653" i="150"/>
  <c r="G654" i="150"/>
  <c r="G655" i="150"/>
  <c r="G656" i="150"/>
  <c r="G657" i="150"/>
  <c r="G658" i="150"/>
  <c r="G659" i="150"/>
  <c r="G660" i="150"/>
  <c r="G661" i="150"/>
  <c r="G662" i="150"/>
  <c r="G663" i="150"/>
  <c r="G664" i="150"/>
  <c r="G665" i="150"/>
  <c r="G666" i="150"/>
  <c r="G667" i="150"/>
  <c r="G668" i="150"/>
  <c r="G669" i="150"/>
  <c r="G670" i="150"/>
  <c r="G671" i="150"/>
  <c r="G672" i="150"/>
  <c r="G673" i="150"/>
  <c r="G674" i="150"/>
  <c r="G675" i="150"/>
  <c r="G676" i="150"/>
  <c r="G677" i="150"/>
  <c r="G678" i="150"/>
  <c r="G679" i="150"/>
  <c r="G680" i="150"/>
  <c r="G681" i="150"/>
  <c r="G682" i="150"/>
  <c r="G683" i="150"/>
  <c r="G684" i="150"/>
  <c r="G685" i="150"/>
  <c r="G686" i="150"/>
  <c r="G687" i="150"/>
  <c r="G688" i="150"/>
  <c r="G689" i="150"/>
  <c r="G690" i="150"/>
  <c r="G691" i="150"/>
  <c r="G692" i="150"/>
  <c r="G693" i="150"/>
  <c r="G694" i="150"/>
  <c r="G695" i="150"/>
  <c r="G696" i="150"/>
  <c r="G697" i="150"/>
  <c r="G698" i="150"/>
  <c r="G699" i="150"/>
  <c r="G700" i="150"/>
  <c r="G701" i="150"/>
  <c r="G702" i="150"/>
  <c r="G703" i="150"/>
  <c r="G704" i="150"/>
  <c r="G705" i="150"/>
  <c r="G706" i="150"/>
  <c r="G707" i="150"/>
  <c r="G708" i="150"/>
  <c r="G709" i="150"/>
  <c r="G710" i="150"/>
  <c r="G711" i="150"/>
  <c r="G712" i="150"/>
  <c r="G713" i="150"/>
  <c r="G714" i="150"/>
  <c r="G715" i="150"/>
  <c r="G716" i="150"/>
  <c r="G717" i="150"/>
  <c r="G718" i="150"/>
  <c r="G719" i="150"/>
  <c r="G720" i="150"/>
  <c r="G721" i="150"/>
  <c r="G722" i="150"/>
  <c r="G723" i="150"/>
  <c r="G724" i="150"/>
  <c r="G725" i="150"/>
  <c r="G726" i="150"/>
  <c r="G727" i="150"/>
  <c r="G728" i="150"/>
  <c r="G729" i="150"/>
  <c r="G730" i="150"/>
  <c r="G731" i="150"/>
  <c r="G732" i="150"/>
  <c r="G733" i="150"/>
  <c r="G734" i="150"/>
  <c r="G735" i="150"/>
  <c r="G736" i="150"/>
  <c r="G737" i="150"/>
  <c r="G738" i="150"/>
  <c r="G739" i="150"/>
  <c r="G740" i="150"/>
  <c r="G741" i="150"/>
  <c r="G742" i="150"/>
  <c r="G743" i="150"/>
  <c r="G744" i="150"/>
  <c r="G745" i="150"/>
  <c r="G746" i="150"/>
  <c r="G747" i="150"/>
  <c r="G748" i="150"/>
  <c r="G749" i="150"/>
  <c r="G750" i="150"/>
  <c r="G751" i="150"/>
  <c r="G752" i="150"/>
  <c r="G753" i="150"/>
  <c r="G754" i="150"/>
  <c r="G755" i="150"/>
  <c r="G756" i="150"/>
  <c r="G757" i="150"/>
  <c r="G758" i="150"/>
  <c r="G759" i="150"/>
  <c r="G760" i="150"/>
  <c r="G761" i="150"/>
  <c r="G762" i="150"/>
  <c r="G763" i="150"/>
  <c r="G764" i="150"/>
  <c r="G765" i="150"/>
  <c r="G766" i="150"/>
  <c r="G767" i="150"/>
  <c r="G768" i="150"/>
  <c r="G769" i="150"/>
  <c r="G770" i="150"/>
  <c r="G771" i="150"/>
  <c r="G772" i="150"/>
  <c r="G773" i="150"/>
  <c r="G774" i="150"/>
  <c r="G775" i="150"/>
  <c r="G776" i="150"/>
  <c r="G777" i="150"/>
  <c r="G778" i="150"/>
  <c r="G779" i="150"/>
  <c r="G780" i="150"/>
  <c r="G781" i="150"/>
  <c r="G782" i="150"/>
  <c r="G783" i="150"/>
  <c r="G784" i="150"/>
  <c r="G785" i="150"/>
  <c r="G786" i="150"/>
  <c r="G787" i="150"/>
  <c r="G788" i="150"/>
  <c r="G789" i="150"/>
  <c r="G790" i="150"/>
  <c r="G791" i="150"/>
  <c r="G792" i="150"/>
  <c r="G793" i="150"/>
  <c r="G794" i="150"/>
  <c r="G795" i="150"/>
  <c r="G796" i="150"/>
  <c r="G797" i="150"/>
  <c r="G798" i="150"/>
  <c r="G799" i="150"/>
  <c r="G800" i="150"/>
  <c r="G801" i="150"/>
  <c r="G802" i="150"/>
  <c r="G803" i="150"/>
  <c r="G804" i="150"/>
  <c r="G805" i="150"/>
  <c r="G806" i="150"/>
  <c r="G807" i="150"/>
  <c r="G808" i="150"/>
  <c r="G809" i="150"/>
  <c r="G810" i="150"/>
  <c r="G811" i="150"/>
  <c r="G812" i="150"/>
  <c r="G813" i="150"/>
  <c r="G814" i="150"/>
  <c r="G815" i="150"/>
  <c r="G816" i="150"/>
  <c r="G817" i="150"/>
  <c r="G818" i="150"/>
  <c r="G819" i="150"/>
  <c r="G820" i="150"/>
  <c r="G821" i="150"/>
  <c r="G822" i="150"/>
  <c r="G823" i="150"/>
  <c r="G824" i="150"/>
  <c r="G825" i="150"/>
  <c r="G826" i="150"/>
  <c r="G827" i="150"/>
  <c r="G828" i="150"/>
  <c r="G829" i="150"/>
  <c r="G830" i="150"/>
  <c r="G831" i="150"/>
  <c r="G832" i="150"/>
  <c r="G833" i="150"/>
  <c r="G834" i="150"/>
  <c r="G835" i="150"/>
  <c r="G836" i="150"/>
  <c r="G837" i="150"/>
  <c r="G838" i="150"/>
  <c r="G839" i="150"/>
  <c r="G840" i="150"/>
  <c r="G841" i="150"/>
  <c r="G842" i="150"/>
  <c r="G843" i="150"/>
  <c r="G844" i="150"/>
  <c r="G845" i="150"/>
  <c r="G846" i="150"/>
  <c r="G847" i="150"/>
  <c r="G848" i="150"/>
  <c r="G849" i="150"/>
  <c r="G850" i="150"/>
  <c r="G851" i="150"/>
  <c r="G852" i="150"/>
  <c r="G853" i="150"/>
  <c r="G854" i="150"/>
  <c r="G855" i="150"/>
  <c r="G856" i="150"/>
  <c r="G857" i="150"/>
  <c r="G858" i="150"/>
  <c r="G859" i="150"/>
  <c r="G860" i="150"/>
  <c r="G861" i="150"/>
  <c r="G862" i="150"/>
  <c r="G863" i="150"/>
  <c r="G864" i="150"/>
  <c r="G865" i="150"/>
  <c r="G866" i="150"/>
  <c r="G867" i="150"/>
  <c r="G868" i="150"/>
  <c r="G869" i="150"/>
  <c r="G870" i="150"/>
  <c r="G871" i="150"/>
  <c r="G872" i="150"/>
  <c r="G873" i="150"/>
  <c r="G874" i="150"/>
  <c r="G875" i="150"/>
  <c r="G876" i="150"/>
  <c r="G877" i="150"/>
  <c r="G878" i="150"/>
  <c r="G879" i="150"/>
  <c r="G880" i="150"/>
  <c r="G881" i="150"/>
  <c r="G882" i="150"/>
  <c r="G883" i="150"/>
  <c r="G884" i="150"/>
  <c r="G885" i="150"/>
  <c r="G886" i="150"/>
  <c r="G887" i="150"/>
  <c r="G888" i="150"/>
  <c r="G889" i="150"/>
  <c r="G890" i="150"/>
  <c r="G891" i="150"/>
  <c r="G892" i="150"/>
  <c r="G893" i="150"/>
  <c r="G894" i="150"/>
  <c r="G895" i="150"/>
  <c r="G896" i="150"/>
  <c r="G897" i="150"/>
  <c r="G898" i="150"/>
  <c r="G899" i="150"/>
  <c r="G900" i="150"/>
  <c r="G901" i="150"/>
  <c r="G902" i="150"/>
  <c r="G903" i="150"/>
  <c r="G904" i="150"/>
  <c r="G905" i="150"/>
  <c r="G906" i="150"/>
  <c r="G907" i="150"/>
  <c r="G908" i="150"/>
  <c r="G909" i="150"/>
  <c r="G910" i="150"/>
  <c r="G911" i="150"/>
  <c r="G912" i="150"/>
  <c r="G913" i="150"/>
  <c r="G914" i="150"/>
  <c r="G915" i="150"/>
  <c r="G916" i="150"/>
  <c r="G917" i="150"/>
  <c r="G918" i="150"/>
  <c r="G919" i="150"/>
  <c r="G920" i="150"/>
  <c r="G921" i="150"/>
  <c r="G922" i="150"/>
  <c r="G923" i="150"/>
  <c r="G924" i="150"/>
  <c r="G925" i="150"/>
  <c r="G926" i="150"/>
  <c r="G927" i="150"/>
  <c r="G928" i="150"/>
  <c r="G929" i="150"/>
  <c r="G930" i="150"/>
  <c r="G931" i="150"/>
  <c r="G932" i="150"/>
  <c r="G933" i="150"/>
  <c r="G934" i="150"/>
  <c r="G935" i="150"/>
  <c r="G936" i="150"/>
  <c r="G937" i="150"/>
  <c r="G938" i="150"/>
  <c r="G939" i="150"/>
  <c r="G940" i="150"/>
  <c r="G941" i="150"/>
  <c r="G942" i="150"/>
  <c r="G943" i="150"/>
  <c r="G944" i="150"/>
  <c r="G945" i="150"/>
  <c r="G946" i="150"/>
  <c r="G947" i="150"/>
  <c r="G948" i="150"/>
  <c r="G949" i="150"/>
  <c r="G950" i="150"/>
  <c r="G951" i="150"/>
  <c r="G952" i="150"/>
  <c r="G953" i="150"/>
  <c r="G954" i="150"/>
  <c r="G955" i="150"/>
  <c r="G956" i="150"/>
  <c r="G957" i="150"/>
  <c r="G958" i="150"/>
  <c r="G959" i="150"/>
  <c r="G960" i="150"/>
  <c r="G961" i="150"/>
  <c r="G962" i="150"/>
  <c r="G963" i="150"/>
  <c r="G964" i="150"/>
  <c r="G965" i="150"/>
  <c r="G966" i="150"/>
  <c r="G967" i="150"/>
  <c r="G968" i="150"/>
  <c r="G969" i="150"/>
  <c r="G970" i="150"/>
  <c r="G971" i="150"/>
  <c r="G972" i="150"/>
  <c r="G973" i="150"/>
  <c r="G974" i="150"/>
  <c r="G975" i="150"/>
  <c r="G976" i="150"/>
  <c r="G977" i="150"/>
  <c r="G978" i="150"/>
  <c r="G979" i="150"/>
  <c r="G980" i="150"/>
  <c r="G981" i="150"/>
  <c r="G982" i="150"/>
  <c r="G983" i="150"/>
  <c r="G984" i="150"/>
  <c r="G985" i="150"/>
  <c r="G986" i="150"/>
  <c r="G987" i="150"/>
  <c r="G988" i="150"/>
  <c r="G989" i="150"/>
  <c r="G990" i="150"/>
  <c r="G991" i="150"/>
  <c r="G992" i="150"/>
  <c r="G993" i="150"/>
  <c r="G994" i="150"/>
  <c r="G995" i="150"/>
  <c r="G996" i="150"/>
  <c r="G997" i="150"/>
  <c r="G998" i="150"/>
  <c r="G999" i="150"/>
  <c r="G1000" i="150"/>
  <c r="G1001" i="150"/>
  <c r="G1002" i="150"/>
  <c r="G1003" i="150"/>
  <c r="G1004" i="150"/>
  <c r="G1005" i="150"/>
  <c r="G1006" i="150"/>
  <c r="G1007" i="150"/>
  <c r="G1008" i="150"/>
  <c r="G1009" i="150"/>
  <c r="G1010" i="150"/>
  <c r="G1011" i="150"/>
  <c r="G1012" i="150"/>
  <c r="G1013" i="150"/>
  <c r="G1014" i="150"/>
  <c r="G1015" i="150"/>
  <c r="G1016" i="150"/>
  <c r="G1017" i="150"/>
  <c r="G1018" i="150"/>
  <c r="G1019" i="150"/>
  <c r="G1020" i="150"/>
  <c r="G1021" i="150"/>
  <c r="G1022" i="150"/>
  <c r="G1023" i="150"/>
  <c r="G1024" i="150"/>
  <c r="G1025" i="150"/>
  <c r="G1026" i="150"/>
  <c r="G1027" i="150"/>
  <c r="G1028" i="150"/>
  <c r="G1029" i="150"/>
  <c r="G1030" i="150"/>
  <c r="G1031" i="150"/>
  <c r="G1032" i="150"/>
  <c r="G1033" i="150"/>
  <c r="G1034" i="150"/>
  <c r="G1035" i="150"/>
  <c r="G1036" i="150"/>
  <c r="G1037" i="150"/>
  <c r="G1038" i="150"/>
  <c r="G1039" i="150"/>
  <c r="G1040" i="150"/>
  <c r="G1041" i="150"/>
  <c r="G1042" i="150"/>
  <c r="G1043" i="150"/>
  <c r="G1044" i="150"/>
  <c r="G1045" i="150"/>
  <c r="G1046" i="150"/>
  <c r="G1047" i="150"/>
  <c r="G1048" i="150"/>
  <c r="G1049" i="150"/>
  <c r="G1050" i="150"/>
  <c r="G1051" i="150"/>
  <c r="G1052" i="150"/>
  <c r="G1053" i="150"/>
  <c r="G1054" i="150"/>
  <c r="G1055" i="150"/>
  <c r="G1056" i="150"/>
  <c r="G1057" i="150"/>
  <c r="G1058" i="150"/>
  <c r="G1059" i="150"/>
  <c r="G1060" i="150"/>
  <c r="G1061" i="150"/>
  <c r="G1062" i="150"/>
  <c r="G1063" i="150"/>
  <c r="G1064" i="150"/>
  <c r="G1065" i="150"/>
  <c r="G1066" i="150"/>
  <c r="G1067" i="150"/>
  <c r="G1068" i="150"/>
  <c r="G1069" i="150"/>
  <c r="G1070" i="150"/>
  <c r="G1071" i="150"/>
  <c r="G1072" i="150"/>
  <c r="G1073" i="150"/>
  <c r="G1074" i="150"/>
  <c r="G1075" i="150"/>
  <c r="G1076" i="150"/>
  <c r="G1077" i="150"/>
  <c r="G1078" i="150"/>
  <c r="G1079" i="150"/>
  <c r="G1080" i="150"/>
  <c r="G1081" i="150"/>
  <c r="G1082" i="150"/>
  <c r="G1083" i="150"/>
  <c r="G1084" i="150"/>
  <c r="G1085" i="150"/>
  <c r="G1086" i="150"/>
  <c r="G1087" i="150"/>
  <c r="G1088" i="150"/>
  <c r="G1089" i="150"/>
  <c r="G1090" i="150"/>
  <c r="G1091" i="150"/>
  <c r="G1092" i="150"/>
  <c r="G1093" i="150"/>
  <c r="G1094" i="150"/>
  <c r="G1095" i="150"/>
  <c r="G1096" i="150"/>
  <c r="G1097" i="150"/>
  <c r="G1098" i="150"/>
  <c r="G1099" i="150"/>
  <c r="G1100" i="150"/>
  <c r="G1101" i="150"/>
  <c r="G1102" i="150"/>
  <c r="G1103" i="150"/>
  <c r="G1104" i="150"/>
  <c r="G1105" i="150"/>
  <c r="G1106" i="150"/>
  <c r="G1107" i="150"/>
  <c r="G1108" i="150"/>
  <c r="G1109" i="150"/>
  <c r="G1110" i="150"/>
  <c r="G1111" i="150"/>
  <c r="G1112" i="150"/>
  <c r="G1113" i="150"/>
  <c r="G1114" i="150"/>
  <c r="G1115" i="150"/>
  <c r="G1116" i="150"/>
  <c r="G1117" i="150"/>
  <c r="G1118" i="150"/>
  <c r="G1119" i="150"/>
  <c r="G1120" i="150"/>
  <c r="G1121" i="150"/>
  <c r="G1122" i="150"/>
  <c r="G1123" i="150"/>
  <c r="G1124" i="150"/>
  <c r="G1125" i="150"/>
  <c r="G1126" i="150"/>
  <c r="G1127" i="150"/>
  <c r="G1128" i="150"/>
  <c r="G1129" i="150"/>
  <c r="G1130" i="150"/>
  <c r="G1131" i="150"/>
  <c r="G1132" i="150"/>
  <c r="G1133" i="150"/>
  <c r="G1134" i="150"/>
  <c r="G1135" i="150"/>
  <c r="G1136" i="150"/>
  <c r="G1137" i="150"/>
  <c r="G1138" i="150"/>
  <c r="G1139" i="150"/>
  <c r="G1140" i="150"/>
  <c r="G1141" i="150"/>
  <c r="G1142" i="150"/>
  <c r="G1143" i="150"/>
  <c r="G1144" i="150"/>
  <c r="G1145" i="150"/>
  <c r="G1146" i="150"/>
  <c r="G1147" i="150"/>
  <c r="G1148" i="150"/>
  <c r="G1149" i="150"/>
  <c r="G1150" i="150"/>
  <c r="G1151" i="150"/>
  <c r="G1152" i="150"/>
  <c r="G1153" i="150"/>
  <c r="G1154" i="150"/>
  <c r="G1155" i="150"/>
  <c r="G1156" i="150"/>
  <c r="G1157" i="150"/>
  <c r="G1158" i="150"/>
  <c r="G1159" i="150"/>
  <c r="G1160" i="150"/>
  <c r="G1161" i="150"/>
  <c r="G1162" i="150"/>
  <c r="G1163" i="150"/>
  <c r="G1164" i="150"/>
  <c r="G1165" i="150"/>
  <c r="G1166" i="150"/>
  <c r="G1167" i="150"/>
  <c r="G1168" i="150"/>
  <c r="G1169" i="150"/>
  <c r="G1170" i="150"/>
  <c r="G1171" i="150"/>
  <c r="G1172" i="150"/>
  <c r="G1173" i="150"/>
  <c r="G1174" i="150"/>
  <c r="G1175" i="150"/>
  <c r="G1176" i="150"/>
  <c r="G1177" i="150"/>
  <c r="G1178" i="150"/>
  <c r="G1179" i="150"/>
  <c r="G1180" i="150"/>
  <c r="G1181" i="150"/>
  <c r="G1182" i="150"/>
  <c r="G1183" i="150"/>
  <c r="G1184" i="150"/>
  <c r="G1185" i="150"/>
  <c r="G1186" i="150"/>
  <c r="G1187" i="150"/>
  <c r="G1188" i="150"/>
  <c r="G1189" i="150"/>
  <c r="G1190" i="150"/>
  <c r="G1191" i="150"/>
  <c r="G1192" i="150"/>
  <c r="G1193" i="150"/>
  <c r="G1194" i="150"/>
  <c r="G1195" i="150"/>
  <c r="G1196" i="150"/>
  <c r="G1197" i="150"/>
  <c r="G1198" i="150"/>
  <c r="G1199" i="150"/>
  <c r="G1200" i="150"/>
  <c r="G1201" i="150"/>
  <c r="G1202" i="150"/>
  <c r="G1203" i="150"/>
  <c r="G1204" i="150"/>
  <c r="G1205" i="150"/>
  <c r="G1206" i="150"/>
  <c r="G1207" i="150"/>
  <c r="G1208" i="150"/>
  <c r="G1209" i="150"/>
  <c r="G1210" i="150"/>
  <c r="G1211" i="150"/>
  <c r="G1212" i="150"/>
  <c r="G1213" i="150"/>
  <c r="G1214" i="150"/>
  <c r="G1215" i="150"/>
  <c r="G1216" i="150"/>
  <c r="G1217" i="150"/>
  <c r="G1218" i="150"/>
  <c r="G1219" i="150"/>
  <c r="G1220" i="150"/>
  <c r="G1221" i="150"/>
  <c r="G1222" i="150"/>
  <c r="G1223" i="150"/>
  <c r="G1224" i="150"/>
  <c r="G1225" i="150"/>
  <c r="G1226" i="150"/>
  <c r="G1227" i="150"/>
  <c r="G1228" i="150"/>
  <c r="G1229" i="150"/>
  <c r="G1230" i="150"/>
  <c r="G1231" i="150"/>
  <c r="G1232" i="150"/>
  <c r="G1233" i="150"/>
  <c r="G1234" i="150"/>
  <c r="G1235" i="150"/>
  <c r="G1236" i="150"/>
  <c r="G1237" i="150"/>
  <c r="G1238" i="150"/>
  <c r="G1239" i="150"/>
  <c r="G1240" i="150"/>
  <c r="G1241" i="150"/>
  <c r="G1242" i="150"/>
  <c r="G1243" i="150"/>
  <c r="G1244" i="150"/>
  <c r="G1245" i="150"/>
  <c r="G1246" i="150"/>
  <c r="G1247" i="150"/>
  <c r="G1248" i="150"/>
  <c r="G1249" i="150"/>
  <c r="G1250" i="150"/>
  <c r="G1251" i="150"/>
  <c r="G1252" i="150"/>
  <c r="G1253" i="150"/>
  <c r="G1254" i="150"/>
  <c r="G1255" i="150"/>
  <c r="G1256" i="150"/>
  <c r="G1257" i="150"/>
  <c r="G1258" i="150"/>
  <c r="G1259" i="150"/>
  <c r="G1260" i="150"/>
  <c r="G1261" i="150"/>
  <c r="G1262" i="150"/>
  <c r="G1263" i="150"/>
  <c r="G1264" i="150"/>
  <c r="G1265" i="150"/>
  <c r="G1266" i="150"/>
  <c r="G1267" i="150"/>
  <c r="G1268" i="150"/>
  <c r="G1269" i="150"/>
  <c r="G1270" i="150"/>
  <c r="G1271" i="150"/>
  <c r="G1272" i="150"/>
  <c r="G1273" i="150"/>
  <c r="G1274" i="150"/>
  <c r="G1275" i="150"/>
  <c r="G1276" i="150"/>
  <c r="G1277" i="150"/>
  <c r="G1278" i="150"/>
  <c r="G1279" i="150"/>
  <c r="G1280" i="150"/>
  <c r="G1281" i="150"/>
  <c r="G1282" i="150"/>
  <c r="G1283" i="150"/>
  <c r="G1284" i="150"/>
  <c r="G1285" i="150"/>
  <c r="G1286" i="150"/>
  <c r="G1287" i="150"/>
  <c r="G1288" i="150"/>
  <c r="G1289" i="150"/>
  <c r="G1290" i="150"/>
  <c r="G1291" i="150"/>
  <c r="G1292" i="150"/>
  <c r="G1293" i="150"/>
  <c r="G1294" i="150"/>
  <c r="G1295" i="150"/>
  <c r="G1296" i="150"/>
  <c r="G1297" i="150"/>
  <c r="G1298" i="150"/>
  <c r="G1299" i="150"/>
  <c r="G1300" i="150"/>
  <c r="G1301" i="150"/>
  <c r="G1302" i="150"/>
  <c r="G1303" i="150"/>
  <c r="G1304" i="150"/>
  <c r="G1305" i="150"/>
  <c r="G1306" i="150"/>
  <c r="G1307" i="150"/>
  <c r="G1308" i="150"/>
  <c r="G1309" i="150"/>
  <c r="G1310" i="150"/>
  <c r="G1311" i="150"/>
  <c r="G1312" i="150"/>
  <c r="G1313" i="150"/>
  <c r="G1314" i="150"/>
  <c r="G1315" i="150"/>
  <c r="G1316" i="150"/>
  <c r="G1317" i="150"/>
  <c r="G1318" i="150"/>
  <c r="G1319" i="150"/>
  <c r="G1320" i="150"/>
  <c r="G1321" i="150"/>
  <c r="G1322" i="150"/>
  <c r="G1323" i="150"/>
  <c r="G1324" i="150"/>
  <c r="G1325" i="150"/>
  <c r="G1326" i="150"/>
  <c r="G1327" i="150"/>
  <c r="G1328" i="150"/>
  <c r="G1329" i="150"/>
  <c r="G1330" i="150"/>
  <c r="G1331" i="150"/>
  <c r="G1332" i="150"/>
  <c r="G1333" i="150"/>
  <c r="G1334" i="150"/>
  <c r="G1335" i="150"/>
  <c r="G1336" i="150"/>
  <c r="G1337" i="150"/>
  <c r="G1338" i="150"/>
  <c r="G1339" i="150"/>
  <c r="G1340" i="150"/>
  <c r="G1341" i="150"/>
  <c r="G1342" i="150"/>
  <c r="G1343" i="150"/>
  <c r="G1344" i="150"/>
  <c r="G1345" i="150"/>
  <c r="G1346" i="150"/>
  <c r="G1347" i="150"/>
  <c r="G1348" i="150"/>
  <c r="G1349" i="150"/>
  <c r="G1350" i="150"/>
  <c r="G1351" i="150"/>
  <c r="G1352" i="150"/>
  <c r="G1353" i="150"/>
  <c r="G1354" i="150"/>
  <c r="G1355" i="150"/>
  <c r="G1356" i="150"/>
  <c r="G1357" i="150"/>
  <c r="G1358" i="150"/>
  <c r="G1359" i="150"/>
  <c r="G1360" i="150"/>
  <c r="G1361" i="150"/>
  <c r="G1362" i="150"/>
  <c r="G1363" i="150"/>
  <c r="G1364" i="150"/>
  <c r="G1365" i="150"/>
  <c r="G1366" i="150"/>
  <c r="G1367" i="150"/>
  <c r="G1368" i="150"/>
  <c r="G1369" i="150"/>
  <c r="G1370" i="150"/>
  <c r="G1371" i="150"/>
  <c r="G1372" i="150"/>
  <c r="G1373" i="150"/>
  <c r="G1374" i="150"/>
  <c r="G1375" i="150"/>
  <c r="G1376" i="150"/>
  <c r="G1377" i="150"/>
  <c r="G1378" i="150"/>
  <c r="G1379" i="150"/>
  <c r="G1380" i="150"/>
  <c r="G1381" i="150"/>
  <c r="G1382" i="150"/>
  <c r="G1383" i="150"/>
  <c r="G1384" i="150"/>
  <c r="G1385" i="150"/>
  <c r="G1386" i="150"/>
  <c r="G1387" i="150"/>
  <c r="G1388" i="150"/>
  <c r="G1389" i="150"/>
  <c r="G1390" i="150"/>
  <c r="G1391" i="150"/>
  <c r="G1392" i="150"/>
  <c r="G1393" i="150"/>
  <c r="G1394" i="150"/>
  <c r="G1395" i="150"/>
  <c r="G1396" i="150"/>
  <c r="G1397" i="150"/>
  <c r="G1398" i="150"/>
  <c r="G1399" i="150"/>
  <c r="G1400" i="150"/>
  <c r="G1401" i="150"/>
  <c r="G1402" i="150"/>
  <c r="G1403" i="150"/>
  <c r="G1404" i="150"/>
  <c r="G1405" i="150"/>
  <c r="G1406" i="150"/>
  <c r="G1407" i="150"/>
  <c r="G1408" i="150"/>
  <c r="G1409" i="150"/>
  <c r="G1410" i="150"/>
  <c r="G1411" i="150"/>
  <c r="G1412" i="150"/>
  <c r="G1413" i="150"/>
  <c r="G1414" i="150"/>
  <c r="G1415" i="150"/>
  <c r="G1416" i="150"/>
  <c r="G1417" i="150"/>
  <c r="G1418" i="150"/>
  <c r="G1419" i="150"/>
  <c r="G1420" i="150"/>
  <c r="G1421" i="150"/>
  <c r="G1422" i="150"/>
  <c r="G1423" i="150"/>
  <c r="G1424" i="150"/>
  <c r="G1425" i="150"/>
  <c r="G1426" i="150"/>
  <c r="G1427" i="150"/>
  <c r="G1428" i="150"/>
  <c r="G1429" i="150"/>
  <c r="G1430" i="150"/>
  <c r="G1431" i="150"/>
  <c r="G1432" i="150"/>
  <c r="G1433" i="150"/>
  <c r="G1434" i="150"/>
  <c r="G1435" i="150"/>
  <c r="G1436" i="150"/>
  <c r="G1437" i="150"/>
  <c r="G1438" i="150"/>
  <c r="G1439" i="150"/>
  <c r="G1440" i="150"/>
  <c r="G1441" i="150"/>
  <c r="G1442" i="150"/>
  <c r="G1443" i="150"/>
  <c r="G1444" i="150"/>
  <c r="G1445" i="150"/>
  <c r="G1446" i="150"/>
  <c r="G1447" i="150"/>
  <c r="G1448" i="150"/>
  <c r="G1449" i="150"/>
  <c r="G1450" i="150"/>
  <c r="G1451" i="150"/>
  <c r="G1452" i="150"/>
  <c r="G1453" i="150"/>
  <c r="G1454" i="150"/>
  <c r="G1455" i="150"/>
  <c r="G1456" i="150"/>
  <c r="G1457" i="150"/>
  <c r="G1458" i="150"/>
  <c r="G1459" i="150"/>
  <c r="G1460" i="150"/>
  <c r="G1461" i="150"/>
  <c r="G1462" i="150"/>
  <c r="G1463" i="150"/>
  <c r="G1464" i="150"/>
  <c r="G1465" i="150"/>
  <c r="G1466" i="150"/>
  <c r="G1467" i="150"/>
  <c r="G1468" i="150"/>
  <c r="G1469" i="150"/>
  <c r="G1470" i="150"/>
  <c r="G1471" i="150"/>
  <c r="G1472" i="150"/>
  <c r="G1473" i="150"/>
  <c r="G1474" i="150"/>
  <c r="G1475" i="150"/>
  <c r="G1476" i="150"/>
  <c r="G1477" i="150"/>
  <c r="G1478" i="150"/>
  <c r="G1479" i="150"/>
  <c r="G1480" i="150"/>
  <c r="G1481" i="150"/>
  <c r="G1482" i="150"/>
  <c r="G1483" i="150"/>
  <c r="G1484" i="150"/>
  <c r="G1485" i="150"/>
  <c r="G1486" i="150"/>
  <c r="G1487" i="150"/>
  <c r="G1488" i="150"/>
  <c r="G1489" i="150"/>
  <c r="G1490" i="150"/>
  <c r="G1491" i="150"/>
  <c r="G1492" i="150"/>
  <c r="G1493" i="150"/>
  <c r="G1494" i="150"/>
  <c r="G1495" i="150"/>
  <c r="G1496" i="150"/>
  <c r="G1497" i="150"/>
  <c r="G1498" i="150"/>
  <c r="G1499" i="150"/>
  <c r="G1500" i="150"/>
  <c r="G1501" i="150"/>
  <c r="G1502" i="150"/>
  <c r="G1503" i="150"/>
  <c r="G1504" i="150"/>
  <c r="G1505" i="150"/>
  <c r="G1506" i="150"/>
  <c r="G1507" i="150"/>
  <c r="G1508" i="150"/>
  <c r="G1509" i="150"/>
  <c r="G1510" i="150"/>
  <c r="G1511" i="150"/>
  <c r="G1512" i="150"/>
  <c r="G1513" i="150"/>
  <c r="G1514" i="150"/>
  <c r="G1515" i="150"/>
  <c r="G1516" i="150"/>
  <c r="G1517" i="150"/>
  <c r="G1518" i="150"/>
  <c r="G1519" i="150"/>
  <c r="G1520" i="150"/>
  <c r="G471" i="150"/>
  <c r="G337" i="150"/>
  <c r="G338" i="150"/>
  <c r="G339" i="150"/>
  <c r="G340" i="150"/>
  <c r="G341" i="150"/>
  <c r="G342" i="150"/>
  <c r="G343" i="150"/>
  <c r="G344" i="150"/>
  <c r="G345" i="150"/>
  <c r="G346" i="150"/>
  <c r="G347" i="150"/>
  <c r="G348" i="150"/>
  <c r="G349" i="150"/>
  <c r="G350" i="150"/>
  <c r="G351" i="150"/>
  <c r="G352" i="150"/>
  <c r="G353" i="150"/>
  <c r="G354" i="150"/>
  <c r="G355" i="150"/>
  <c r="G356" i="150"/>
  <c r="G357" i="150"/>
  <c r="G358" i="150"/>
  <c r="G359" i="150"/>
  <c r="G360" i="150"/>
  <c r="G361" i="150"/>
  <c r="G362" i="150"/>
  <c r="G363" i="150"/>
  <c r="G364" i="150"/>
  <c r="G365" i="150"/>
  <c r="G366" i="150"/>
  <c r="G367" i="150"/>
  <c r="G368" i="150"/>
  <c r="G369" i="150"/>
  <c r="G370" i="150"/>
  <c r="G371" i="150"/>
  <c r="G372" i="150"/>
  <c r="G373" i="150"/>
  <c r="G374" i="150"/>
  <c r="G375" i="150"/>
  <c r="G376" i="150"/>
  <c r="G377" i="150"/>
  <c r="G378" i="150"/>
  <c r="G379" i="150"/>
  <c r="G380" i="150"/>
  <c r="G381" i="150"/>
  <c r="G382" i="150"/>
  <c r="G383" i="150"/>
  <c r="G384" i="150"/>
  <c r="G385" i="150"/>
  <c r="G386" i="150"/>
  <c r="G387" i="150"/>
  <c r="G388" i="150"/>
  <c r="G389" i="150"/>
  <c r="G390" i="150"/>
  <c r="G391" i="150"/>
  <c r="G392" i="150"/>
  <c r="G393" i="150"/>
  <c r="G394" i="150"/>
  <c r="G395" i="150"/>
  <c r="G396" i="150"/>
  <c r="G397" i="150"/>
  <c r="G398" i="150"/>
  <c r="G399" i="150"/>
  <c r="G400" i="150"/>
  <c r="G401" i="150"/>
  <c r="G402" i="150"/>
  <c r="G403" i="150"/>
  <c r="G404" i="150"/>
  <c r="G405" i="150"/>
  <c r="G406" i="150"/>
  <c r="G407" i="150"/>
  <c r="G408" i="150"/>
  <c r="G409" i="150"/>
  <c r="G410" i="150"/>
  <c r="G411" i="150"/>
  <c r="G412" i="150"/>
  <c r="G413" i="150"/>
  <c r="G414" i="150"/>
  <c r="G415" i="150"/>
  <c r="G416" i="150"/>
  <c r="G417" i="150"/>
  <c r="G418" i="150"/>
  <c r="G419" i="150"/>
  <c r="G420" i="150"/>
  <c r="G421" i="150"/>
  <c r="G422" i="150"/>
  <c r="G423" i="150"/>
  <c r="G424" i="150"/>
  <c r="G425" i="150"/>
  <c r="G426" i="150"/>
  <c r="G427" i="150"/>
  <c r="G428" i="150"/>
  <c r="G429" i="150"/>
  <c r="G430" i="150"/>
  <c r="G431" i="150"/>
  <c r="G432" i="150"/>
  <c r="G433" i="150"/>
  <c r="G434" i="150"/>
  <c r="G435" i="150"/>
  <c r="G436" i="150"/>
  <c r="G437" i="150"/>
  <c r="G438" i="150"/>
  <c r="G439" i="150"/>
  <c r="G440" i="150"/>
  <c r="G441" i="150"/>
  <c r="G442" i="150"/>
  <c r="G443" i="150"/>
  <c r="G444" i="150"/>
  <c r="G445" i="150"/>
  <c r="G446" i="150"/>
  <c r="G447" i="150"/>
  <c r="G448" i="150"/>
  <c r="G449" i="150"/>
  <c r="G450" i="150"/>
  <c r="G451" i="150"/>
  <c r="G452" i="150"/>
  <c r="G453" i="150"/>
  <c r="G454" i="150"/>
  <c r="G455" i="150"/>
  <c r="G456" i="150"/>
  <c r="G457" i="150"/>
  <c r="G458" i="150"/>
  <c r="G459" i="150"/>
  <c r="G460" i="150"/>
  <c r="G461" i="150"/>
  <c r="G462" i="150"/>
  <c r="G463" i="150"/>
  <c r="G464" i="150"/>
  <c r="G465" i="150"/>
  <c r="G466" i="150"/>
  <c r="G467" i="150"/>
  <c r="G468" i="150"/>
  <c r="G469" i="150"/>
  <c r="G470" i="150"/>
  <c r="G24" i="150"/>
  <c r="G25" i="150"/>
  <c r="G26" i="150"/>
  <c r="G27" i="150"/>
  <c r="G28" i="150"/>
  <c r="G29" i="150"/>
  <c r="G30" i="150"/>
  <c r="G31" i="150"/>
  <c r="G32" i="150"/>
  <c r="G33" i="150"/>
  <c r="G34" i="150"/>
  <c r="G35" i="150"/>
  <c r="G36" i="150"/>
  <c r="G37" i="150"/>
  <c r="G38" i="150"/>
  <c r="G39" i="150"/>
  <c r="G40" i="150"/>
  <c r="G41" i="150"/>
  <c r="G42" i="150"/>
  <c r="G43" i="150"/>
  <c r="G44" i="150"/>
  <c r="G45" i="150"/>
  <c r="G46" i="150"/>
  <c r="G47" i="150"/>
  <c r="G48" i="150"/>
  <c r="G49" i="150"/>
  <c r="G50" i="150"/>
  <c r="G51" i="150"/>
  <c r="G52" i="150"/>
  <c r="G53" i="150"/>
  <c r="G54" i="150"/>
  <c r="G55" i="150"/>
  <c r="G56" i="150"/>
  <c r="G57" i="150"/>
  <c r="G58" i="150"/>
  <c r="G59" i="150"/>
  <c r="G60" i="150"/>
  <c r="G61" i="150"/>
  <c r="G62" i="150"/>
  <c r="G63" i="150"/>
  <c r="G64" i="150"/>
  <c r="G65" i="150"/>
  <c r="G66" i="150"/>
  <c r="G67" i="150"/>
  <c r="G68" i="150"/>
  <c r="G69" i="150"/>
  <c r="G70" i="150"/>
  <c r="G71" i="150"/>
  <c r="G72" i="150"/>
  <c r="G73" i="150"/>
  <c r="G74" i="150"/>
  <c r="G75" i="150"/>
  <c r="G76" i="150"/>
  <c r="G77" i="150"/>
  <c r="G78" i="150"/>
  <c r="G79" i="150"/>
  <c r="G80" i="150"/>
  <c r="G81" i="150"/>
  <c r="G82" i="150"/>
  <c r="G83" i="150"/>
  <c r="G84" i="150"/>
  <c r="G85" i="150"/>
  <c r="G86" i="150"/>
  <c r="G87" i="150"/>
  <c r="G88" i="150"/>
  <c r="G89" i="150"/>
  <c r="G90" i="150"/>
  <c r="G91" i="150"/>
  <c r="G92" i="150"/>
  <c r="G93" i="150"/>
  <c r="G94" i="150"/>
  <c r="G95" i="150"/>
  <c r="G96" i="150"/>
  <c r="G97" i="150"/>
  <c r="G98" i="150"/>
  <c r="G99" i="150"/>
  <c r="G100" i="150"/>
  <c r="G101" i="150"/>
  <c r="G102" i="150"/>
  <c r="G103" i="150"/>
  <c r="G104" i="150"/>
  <c r="G105" i="150"/>
  <c r="G106" i="150"/>
  <c r="G107" i="150"/>
  <c r="G108" i="150"/>
  <c r="G109" i="150"/>
  <c r="G110" i="150"/>
  <c r="G111" i="150"/>
  <c r="G112" i="150"/>
  <c r="G113" i="150"/>
  <c r="G114" i="150"/>
  <c r="G115" i="150"/>
  <c r="G116" i="150"/>
  <c r="G117" i="150"/>
  <c r="G118" i="150"/>
  <c r="G119" i="150"/>
  <c r="G120" i="150"/>
  <c r="G121" i="150"/>
  <c r="G122" i="150"/>
  <c r="G123" i="150"/>
  <c r="G124" i="150"/>
  <c r="G125" i="150"/>
  <c r="G126" i="150"/>
  <c r="G127" i="150"/>
  <c r="G128" i="150"/>
  <c r="G129" i="150"/>
  <c r="G130" i="150"/>
  <c r="G131" i="150"/>
  <c r="G132" i="150"/>
  <c r="G133" i="150"/>
  <c r="G134" i="150"/>
  <c r="G135" i="150"/>
  <c r="G136" i="150"/>
  <c r="G137" i="150"/>
  <c r="G138" i="150"/>
  <c r="G139" i="150"/>
  <c r="G140" i="150"/>
  <c r="G141" i="150"/>
  <c r="G142" i="150"/>
  <c r="G143" i="150"/>
  <c r="G144" i="150"/>
  <c r="G145" i="150"/>
  <c r="G146" i="150"/>
  <c r="G147" i="150"/>
  <c r="G148" i="150"/>
  <c r="G149" i="150"/>
  <c r="G150" i="150"/>
  <c r="G151" i="150"/>
  <c r="G152" i="150"/>
  <c r="G153" i="150"/>
  <c r="G154" i="150"/>
  <c r="G155" i="150"/>
  <c r="G156" i="150"/>
  <c r="G157" i="150"/>
  <c r="G158" i="150"/>
  <c r="G159" i="150"/>
  <c r="G160" i="150"/>
  <c r="G161" i="150"/>
  <c r="G162" i="150"/>
  <c r="G163" i="150"/>
  <c r="G164" i="150"/>
  <c r="G165" i="150"/>
  <c r="G166" i="150"/>
  <c r="G167" i="150"/>
  <c r="G168" i="150"/>
  <c r="G169" i="150"/>
  <c r="G170" i="150"/>
  <c r="G171" i="150"/>
  <c r="G172" i="150"/>
  <c r="G173" i="150"/>
  <c r="G174" i="150"/>
  <c r="G175" i="150"/>
  <c r="G176" i="150"/>
  <c r="G177" i="150"/>
  <c r="G178" i="150"/>
  <c r="G179" i="150"/>
  <c r="G180" i="150"/>
  <c r="G181" i="150"/>
  <c r="G182" i="150"/>
  <c r="G183" i="150"/>
  <c r="G184" i="150"/>
  <c r="G185" i="150"/>
  <c r="G186" i="150"/>
  <c r="G187" i="150"/>
  <c r="G188" i="150"/>
  <c r="G189" i="150"/>
  <c r="G190" i="150"/>
  <c r="G191" i="150"/>
  <c r="G192" i="150"/>
  <c r="G193" i="150"/>
  <c r="G194" i="150"/>
  <c r="G195" i="150"/>
  <c r="G196" i="150"/>
  <c r="G197" i="150"/>
  <c r="G198" i="150"/>
  <c r="G199" i="150"/>
  <c r="G200" i="150"/>
  <c r="G201" i="150"/>
  <c r="G202" i="150"/>
  <c r="G203" i="150"/>
  <c r="G204" i="150"/>
  <c r="G205" i="150"/>
  <c r="G206" i="150"/>
  <c r="G207" i="150"/>
  <c r="G208" i="150"/>
  <c r="G209" i="150"/>
  <c r="G210" i="150"/>
  <c r="G211" i="150"/>
  <c r="G212" i="150"/>
  <c r="G213" i="150"/>
  <c r="G214" i="150"/>
  <c r="G215" i="150"/>
  <c r="G216" i="150"/>
  <c r="G217" i="150"/>
  <c r="G218" i="150"/>
  <c r="G219" i="150"/>
  <c r="G220" i="150"/>
  <c r="G221" i="150"/>
  <c r="G222" i="150"/>
  <c r="G223" i="150"/>
  <c r="G224" i="150"/>
  <c r="G225" i="150"/>
  <c r="G226" i="150"/>
  <c r="G227" i="150"/>
  <c r="G228" i="150"/>
  <c r="G229" i="150"/>
  <c r="G230" i="150"/>
  <c r="G231" i="150"/>
  <c r="G232" i="150"/>
  <c r="G233" i="150"/>
  <c r="G234" i="150"/>
  <c r="G235" i="150"/>
  <c r="G236" i="150"/>
  <c r="G237" i="150"/>
  <c r="G238" i="150"/>
  <c r="G239" i="150"/>
  <c r="G240" i="150"/>
  <c r="G241" i="150"/>
  <c r="G242" i="150"/>
  <c r="G243" i="150"/>
  <c r="G244" i="150"/>
  <c r="G245" i="150"/>
  <c r="G246" i="150"/>
  <c r="G247" i="150"/>
  <c r="G248" i="150"/>
  <c r="G249" i="150"/>
  <c r="G250" i="150"/>
  <c r="G251" i="150"/>
  <c r="G252" i="150"/>
  <c r="G253" i="150"/>
  <c r="G254" i="150"/>
  <c r="G255" i="150"/>
  <c r="G256" i="150"/>
  <c r="G257" i="150"/>
  <c r="G258" i="150"/>
  <c r="G259" i="150"/>
  <c r="G260" i="150"/>
  <c r="G261" i="150"/>
  <c r="G262" i="150"/>
  <c r="G263" i="150"/>
  <c r="G264" i="150"/>
  <c r="G265" i="150"/>
  <c r="G266" i="150"/>
  <c r="G267" i="150"/>
  <c r="G268" i="150"/>
  <c r="G269" i="150"/>
  <c r="G270" i="150"/>
  <c r="G271" i="150"/>
  <c r="G272" i="150"/>
  <c r="G273" i="150"/>
  <c r="G274" i="150"/>
  <c r="G275" i="150"/>
  <c r="G276" i="150"/>
  <c r="G277" i="150"/>
  <c r="G278" i="150"/>
  <c r="G279" i="150"/>
  <c r="G280" i="150"/>
  <c r="G281" i="150"/>
  <c r="G282" i="150"/>
  <c r="G283" i="150"/>
  <c r="G284" i="150"/>
  <c r="G285" i="150"/>
  <c r="G286" i="150"/>
  <c r="G287" i="150"/>
  <c r="G288" i="150"/>
  <c r="G289" i="150"/>
  <c r="G290" i="150"/>
  <c r="G291" i="150"/>
  <c r="G292" i="150"/>
  <c r="G293" i="150"/>
  <c r="G294" i="150"/>
  <c r="G295" i="150"/>
  <c r="G296" i="150"/>
  <c r="G297" i="150"/>
  <c r="G298" i="150"/>
  <c r="G299" i="150"/>
  <c r="G300" i="150"/>
  <c r="G301" i="150"/>
  <c r="G302" i="150"/>
  <c r="G303" i="150"/>
  <c r="G304" i="150"/>
  <c r="G305" i="150"/>
  <c r="G306" i="150"/>
  <c r="G307" i="150"/>
  <c r="G308" i="150"/>
  <c r="G309" i="150"/>
  <c r="G310" i="150"/>
  <c r="G311" i="150"/>
  <c r="G312" i="150"/>
  <c r="G313" i="150"/>
  <c r="G314" i="150"/>
  <c r="G315" i="150"/>
  <c r="G316" i="150"/>
  <c r="G317" i="150"/>
  <c r="G318" i="150"/>
  <c r="G319" i="150"/>
  <c r="G320" i="150"/>
  <c r="G321" i="150"/>
  <c r="G322" i="150"/>
  <c r="G323" i="150"/>
  <c r="G324" i="150"/>
  <c r="G325" i="150"/>
  <c r="G326" i="150"/>
  <c r="G327" i="150"/>
  <c r="G328" i="150"/>
  <c r="G329" i="150"/>
  <c r="G330" i="150"/>
  <c r="G331" i="150"/>
  <c r="G332" i="150"/>
  <c r="G333" i="150"/>
  <c r="G334" i="150"/>
  <c r="G335" i="150"/>
  <c r="G336" i="150"/>
  <c r="G23" i="150"/>
  <c r="G22" i="150"/>
  <c r="G3" i="150"/>
  <c r="G4" i="150"/>
  <c r="G5" i="150"/>
  <c r="G6" i="150"/>
  <c r="G7" i="150"/>
  <c r="G8" i="150"/>
  <c r="G9" i="150"/>
  <c r="G10" i="150"/>
  <c r="G11" i="150"/>
  <c r="G12" i="150"/>
  <c r="G13" i="150"/>
  <c r="G14" i="150"/>
  <c r="G15" i="150"/>
  <c r="G16" i="150"/>
  <c r="G17" i="150"/>
  <c r="G18" i="150"/>
  <c r="G19" i="150"/>
  <c r="G20" i="150"/>
  <c r="G21" i="150"/>
  <c r="G2" i="150"/>
  <c r="D18" i="326"/>
  <c r="D10" i="326"/>
  <c r="D7" i="326"/>
  <c r="D14" i="326"/>
  <c r="D8" i="324"/>
  <c r="D12" i="324"/>
  <c r="D10" i="324"/>
  <c r="D16" i="324"/>
  <c r="D5" i="324"/>
  <c r="D10" i="323"/>
  <c r="D7" i="323"/>
  <c r="D11" i="323"/>
  <c r="D19" i="323"/>
  <c r="D17" i="323"/>
  <c r="D5" i="323"/>
  <c r="D13" i="323"/>
  <c r="D9" i="323"/>
  <c r="D21" i="320"/>
  <c r="D27" i="320"/>
  <c r="D7" i="320"/>
  <c r="D15" i="320"/>
  <c r="D9" i="320"/>
  <c r="D13" i="320"/>
  <c r="D16" i="320"/>
  <c r="D17" i="320"/>
  <c r="D11" i="320"/>
  <c r="D26" i="319"/>
  <c r="D7" i="319"/>
  <c r="D12" i="319"/>
  <c r="D9" i="319"/>
  <c r="D25" i="319"/>
  <c r="D17" i="319"/>
  <c r="D15" i="319"/>
  <c r="D14" i="319"/>
  <c r="D6" i="319"/>
  <c r="D15" i="318"/>
  <c r="D11" i="318"/>
  <c r="D20" i="318"/>
  <c r="D7" i="318"/>
  <c r="D13" i="318"/>
  <c r="D22" i="318"/>
  <c r="D18" i="318"/>
  <c r="D14" i="318"/>
  <c r="D11" i="317"/>
  <c r="D9" i="317"/>
  <c r="D14" i="317"/>
  <c r="D15" i="317"/>
  <c r="D22" i="317"/>
  <c r="D19" i="317"/>
  <c r="D12" i="317"/>
  <c r="D7" i="317"/>
  <c r="D5" i="317"/>
  <c r="D23" i="316"/>
  <c r="D14" i="316"/>
  <c r="D12" i="316"/>
  <c r="D20" i="316"/>
  <c r="D11" i="316"/>
  <c r="D16" i="316"/>
  <c r="D31" i="313"/>
  <c r="D20" i="313"/>
  <c r="D29" i="313"/>
  <c r="D21" i="313"/>
  <c r="D23" i="313"/>
  <c r="D27" i="313"/>
  <c r="D25" i="313"/>
  <c r="D17" i="313"/>
  <c r="D19" i="313"/>
  <c r="D15" i="313"/>
  <c r="D13" i="313"/>
  <c r="D14" i="313"/>
  <c r="D11" i="313"/>
  <c r="D10" i="313"/>
  <c r="D25" i="312"/>
  <c r="D23" i="312"/>
  <c r="D22" i="312"/>
  <c r="D10" i="312"/>
  <c r="D20" i="312"/>
  <c r="D16" i="312"/>
  <c r="D16" i="339"/>
  <c r="D23" i="339"/>
  <c r="D19" i="339"/>
  <c r="D14" i="339"/>
  <c r="D9" i="339"/>
  <c r="D11" i="339"/>
  <c r="D25" i="339"/>
  <c r="D21" i="339"/>
  <c r="D18" i="339"/>
  <c r="D5" i="336"/>
  <c r="D26" i="336"/>
  <c r="D30" i="336"/>
  <c r="D10" i="336"/>
  <c r="D7" i="336"/>
  <c r="D23" i="336"/>
  <c r="D9" i="336"/>
  <c r="D19" i="336"/>
  <c r="D15" i="336"/>
  <c r="D17" i="336"/>
  <c r="D10" i="335"/>
  <c r="D8" i="335"/>
  <c r="D15" i="335"/>
  <c r="D6" i="335"/>
  <c r="D5" i="335"/>
  <c r="D10" i="334"/>
  <c r="D16" i="334"/>
  <c r="D9" i="334"/>
  <c r="D19" i="334"/>
  <c r="D15" i="334"/>
  <c r="D18" i="333"/>
  <c r="D21" i="333"/>
  <c r="D15" i="333"/>
  <c r="D9" i="333"/>
  <c r="D17" i="333"/>
  <c r="D11" i="333"/>
  <c r="D5" i="333"/>
  <c r="D20" i="332"/>
  <c r="D14" i="332"/>
  <c r="D25" i="332"/>
  <c r="D7" i="332"/>
  <c r="D5" i="332"/>
  <c r="D18" i="332"/>
  <c r="D10" i="332"/>
  <c r="D23" i="329"/>
  <c r="D32" i="329"/>
  <c r="D33" i="329"/>
  <c r="D5" i="329"/>
  <c r="D15" i="329"/>
  <c r="D10" i="329"/>
  <c r="D13" i="329"/>
  <c r="D11" i="329"/>
  <c r="D7" i="329"/>
  <c r="D26" i="329"/>
  <c r="D17" i="329"/>
  <c r="D9" i="328"/>
  <c r="D7" i="328"/>
  <c r="D5" i="328"/>
  <c r="D15" i="328"/>
  <c r="D11" i="328"/>
  <c r="D5" i="327"/>
  <c r="D37" i="322"/>
  <c r="D35" i="322"/>
  <c r="D33" i="322"/>
  <c r="D27" i="322"/>
  <c r="D25" i="322"/>
  <c r="D22" i="322"/>
  <c r="D10" i="322"/>
  <c r="D9" i="322"/>
  <c r="D5" i="322"/>
  <c r="D6" i="321"/>
  <c r="D7" i="321"/>
  <c r="D15" i="321"/>
  <c r="D21" i="314"/>
  <c r="D17" i="314"/>
  <c r="D23" i="314"/>
  <c r="D7" i="314"/>
  <c r="D11" i="314"/>
  <c r="D9" i="314"/>
  <c r="D18" i="198"/>
  <c r="D14" i="198"/>
  <c r="D20" i="198"/>
  <c r="D9" i="198"/>
  <c r="D12" i="198"/>
  <c r="D9" i="331"/>
  <c r="D5" i="331"/>
  <c r="D12" i="331"/>
  <c r="D24" i="331"/>
  <c r="D13" i="331"/>
  <c r="D16" i="331"/>
  <c r="D14" i="331"/>
  <c r="D18" i="331"/>
  <c r="D20" i="331"/>
  <c r="D11" i="331"/>
  <c r="D13" i="330"/>
  <c r="D18" i="330"/>
  <c r="D28" i="330"/>
  <c r="D16" i="330"/>
  <c r="D25" i="330"/>
  <c r="D9" i="330"/>
  <c r="D22" i="330"/>
  <c r="D21" i="315" l="1"/>
  <c r="D5" i="315"/>
  <c r="D13" i="315"/>
  <c r="D17" i="315"/>
  <c r="D15" i="315"/>
  <c r="D7" i="315"/>
  <c r="D19" i="315"/>
  <c r="E50" i="3"/>
  <c r="D50" i="3"/>
  <c r="E49" i="3"/>
  <c r="D49" i="3"/>
  <c r="E48" i="3"/>
  <c r="D48" i="3"/>
  <c r="E47" i="3"/>
  <c r="D47" i="3"/>
  <c r="E46" i="3"/>
  <c r="D46" i="3"/>
  <c r="E45" i="3"/>
  <c r="D45" i="3"/>
  <c r="H23" i="323" l="1"/>
  <c r="H27" i="323"/>
  <c r="G32" i="313"/>
  <c r="H17" i="313"/>
  <c r="E21" i="312"/>
  <c r="K21" i="312" s="1"/>
  <c r="D59" i="341"/>
  <c r="H63" i="341" s="1"/>
  <c r="F32" i="181" s="1"/>
  <c r="M45" i="341"/>
  <c r="L45" i="341"/>
  <c r="F45" i="341"/>
  <c r="F63" i="341" s="1"/>
  <c r="D32" i="181" s="1"/>
  <c r="D45" i="341"/>
  <c r="I44" i="341"/>
  <c r="H44" i="341"/>
  <c r="G44" i="341"/>
  <c r="E44" i="341"/>
  <c r="K44" i="341" s="1"/>
  <c r="C44" i="341"/>
  <c r="I43" i="341"/>
  <c r="H43" i="341"/>
  <c r="G43" i="341"/>
  <c r="E43" i="341"/>
  <c r="K43" i="341" s="1"/>
  <c r="C43" i="341"/>
  <c r="I42" i="341"/>
  <c r="H42" i="341"/>
  <c r="G42" i="341"/>
  <c r="E42" i="341"/>
  <c r="K42" i="341" s="1"/>
  <c r="C42" i="341"/>
  <c r="I41" i="341"/>
  <c r="H41" i="341"/>
  <c r="G41" i="341"/>
  <c r="E41" i="341"/>
  <c r="K41" i="341" s="1"/>
  <c r="C41" i="341"/>
  <c r="I40" i="341"/>
  <c r="H40" i="341"/>
  <c r="G40" i="341"/>
  <c r="E40" i="341"/>
  <c r="K40" i="341" s="1"/>
  <c r="C40" i="341"/>
  <c r="I39" i="341"/>
  <c r="H39" i="341"/>
  <c r="G39" i="341"/>
  <c r="E39" i="341"/>
  <c r="K39" i="341" s="1"/>
  <c r="C39" i="341"/>
  <c r="I38" i="341"/>
  <c r="H38" i="341"/>
  <c r="G38" i="341"/>
  <c r="E38" i="341"/>
  <c r="K38" i="341" s="1"/>
  <c r="C38" i="341"/>
  <c r="I37" i="341"/>
  <c r="H37" i="341"/>
  <c r="G37" i="341"/>
  <c r="E37" i="341"/>
  <c r="K37" i="341" s="1"/>
  <c r="C37" i="341"/>
  <c r="I36" i="341"/>
  <c r="H36" i="341"/>
  <c r="G36" i="341"/>
  <c r="E36" i="341"/>
  <c r="K36" i="341" s="1"/>
  <c r="C36" i="341"/>
  <c r="I35" i="341"/>
  <c r="H35" i="341"/>
  <c r="G35" i="341"/>
  <c r="E35" i="341"/>
  <c r="K35" i="341" s="1"/>
  <c r="C35" i="341"/>
  <c r="I34" i="341"/>
  <c r="H34" i="341"/>
  <c r="G34" i="341"/>
  <c r="E34" i="341"/>
  <c r="K34" i="341" s="1"/>
  <c r="C34" i="341"/>
  <c r="I33" i="341"/>
  <c r="H33" i="341"/>
  <c r="G33" i="341"/>
  <c r="E33" i="341"/>
  <c r="K33" i="341" s="1"/>
  <c r="C33" i="341"/>
  <c r="I32" i="341"/>
  <c r="H32" i="341"/>
  <c r="G32" i="341"/>
  <c r="E32" i="341"/>
  <c r="K32" i="341" s="1"/>
  <c r="C32" i="341"/>
  <c r="I31" i="341"/>
  <c r="H31" i="341"/>
  <c r="G31" i="341"/>
  <c r="E31" i="341"/>
  <c r="K31" i="341" s="1"/>
  <c r="C31" i="341"/>
  <c r="I30" i="341"/>
  <c r="H30" i="341"/>
  <c r="G30" i="341"/>
  <c r="E30" i="341"/>
  <c r="K30" i="341" s="1"/>
  <c r="C30" i="341"/>
  <c r="I29" i="341"/>
  <c r="H29" i="341"/>
  <c r="G29" i="341"/>
  <c r="E29" i="341"/>
  <c r="K29" i="341" s="1"/>
  <c r="C29" i="341"/>
  <c r="I28" i="341"/>
  <c r="H28" i="341"/>
  <c r="G28" i="341"/>
  <c r="E28" i="341"/>
  <c r="K28" i="341" s="1"/>
  <c r="C28" i="341"/>
  <c r="I27" i="341"/>
  <c r="H27" i="341"/>
  <c r="G27" i="341"/>
  <c r="E27" i="341"/>
  <c r="K27" i="341" s="1"/>
  <c r="C27" i="341"/>
  <c r="I26" i="341"/>
  <c r="H26" i="341"/>
  <c r="G26" i="341"/>
  <c r="E26" i="341"/>
  <c r="K26" i="341" s="1"/>
  <c r="C26" i="341"/>
  <c r="I25" i="341"/>
  <c r="H25" i="341"/>
  <c r="G25" i="341"/>
  <c r="E25" i="341"/>
  <c r="K25" i="341" s="1"/>
  <c r="C25" i="341"/>
  <c r="I24" i="341"/>
  <c r="H24" i="341"/>
  <c r="G24" i="341"/>
  <c r="E24" i="341"/>
  <c r="K24" i="341" s="1"/>
  <c r="C24" i="341"/>
  <c r="I23" i="341"/>
  <c r="H23" i="341"/>
  <c r="G23" i="341"/>
  <c r="E23" i="341"/>
  <c r="K23" i="341" s="1"/>
  <c r="C23" i="341"/>
  <c r="I22" i="341"/>
  <c r="H22" i="341"/>
  <c r="G22" i="341"/>
  <c r="E22" i="341"/>
  <c r="K22" i="341" s="1"/>
  <c r="C22" i="341"/>
  <c r="I21" i="341"/>
  <c r="H21" i="341"/>
  <c r="G21" i="341"/>
  <c r="E21" i="341"/>
  <c r="K21" i="341" s="1"/>
  <c r="C21" i="341"/>
  <c r="I20" i="341"/>
  <c r="H20" i="341"/>
  <c r="G20" i="341"/>
  <c r="E20" i="341"/>
  <c r="K20" i="341" s="1"/>
  <c r="C20" i="341"/>
  <c r="I19" i="341"/>
  <c r="H19" i="341"/>
  <c r="G19" i="341"/>
  <c r="E19" i="341"/>
  <c r="K19" i="341" s="1"/>
  <c r="C19" i="341"/>
  <c r="I18" i="341"/>
  <c r="H18" i="341"/>
  <c r="G18" i="341"/>
  <c r="E18" i="341"/>
  <c r="K18" i="341" s="1"/>
  <c r="C18" i="341"/>
  <c r="I17" i="341"/>
  <c r="H17" i="341"/>
  <c r="G17" i="341"/>
  <c r="E17" i="341"/>
  <c r="K17" i="341" s="1"/>
  <c r="C17" i="341"/>
  <c r="I16" i="341"/>
  <c r="H16" i="341"/>
  <c r="G16" i="341"/>
  <c r="E16" i="341"/>
  <c r="K16" i="341" s="1"/>
  <c r="C16" i="341"/>
  <c r="I15" i="341"/>
  <c r="H15" i="341"/>
  <c r="G15" i="341"/>
  <c r="E15" i="341"/>
  <c r="K15" i="341" s="1"/>
  <c r="C15" i="341"/>
  <c r="I14" i="341"/>
  <c r="H14" i="341"/>
  <c r="G14" i="341"/>
  <c r="E14" i="341"/>
  <c r="K14" i="341" s="1"/>
  <c r="C14" i="341"/>
  <c r="I13" i="341"/>
  <c r="H13" i="341"/>
  <c r="G13" i="341"/>
  <c r="E13" i="341"/>
  <c r="K13" i="341" s="1"/>
  <c r="C13" i="341"/>
  <c r="I12" i="341"/>
  <c r="H12" i="341"/>
  <c r="G12" i="341"/>
  <c r="E12" i="341"/>
  <c r="K12" i="341" s="1"/>
  <c r="C12" i="341"/>
  <c r="I11" i="341"/>
  <c r="H11" i="341"/>
  <c r="G11" i="341"/>
  <c r="E11" i="341"/>
  <c r="K11" i="341" s="1"/>
  <c r="C11" i="341"/>
  <c r="I10" i="341"/>
  <c r="H10" i="341"/>
  <c r="G10" i="341"/>
  <c r="E10" i="341"/>
  <c r="K10" i="341" s="1"/>
  <c r="C10" i="341"/>
  <c r="I9" i="341"/>
  <c r="H9" i="341"/>
  <c r="G9" i="341"/>
  <c r="E9" i="341"/>
  <c r="K9" i="341" s="1"/>
  <c r="C9" i="341"/>
  <c r="I8" i="341"/>
  <c r="H8" i="341"/>
  <c r="G8" i="341"/>
  <c r="E8" i="341"/>
  <c r="K8" i="341" s="1"/>
  <c r="C8" i="341"/>
  <c r="I7" i="341"/>
  <c r="H7" i="341"/>
  <c r="G7" i="341"/>
  <c r="E7" i="341"/>
  <c r="K7" i="341" s="1"/>
  <c r="C7" i="341"/>
  <c r="I6" i="341"/>
  <c r="H6" i="341"/>
  <c r="G6" i="341"/>
  <c r="E6" i="341"/>
  <c r="K6" i="341" s="1"/>
  <c r="C6" i="341"/>
  <c r="I5" i="341"/>
  <c r="H5" i="341"/>
  <c r="G5" i="341"/>
  <c r="E5" i="341"/>
  <c r="K5" i="341" s="1"/>
  <c r="C5" i="341"/>
  <c r="D59" i="340"/>
  <c r="H63" i="340" s="1"/>
  <c r="F31" i="181" s="1"/>
  <c r="M45" i="340"/>
  <c r="L45" i="340"/>
  <c r="F45" i="340"/>
  <c r="F63" i="340" s="1"/>
  <c r="D31" i="181" s="1"/>
  <c r="D45" i="340"/>
  <c r="E63" i="340" s="1"/>
  <c r="I44" i="340"/>
  <c r="H44" i="340"/>
  <c r="G44" i="340"/>
  <c r="E44" i="340"/>
  <c r="K44" i="340" s="1"/>
  <c r="C44" i="340"/>
  <c r="I43" i="340"/>
  <c r="H43" i="340"/>
  <c r="G43" i="340"/>
  <c r="E43" i="340"/>
  <c r="K43" i="340" s="1"/>
  <c r="C43" i="340"/>
  <c r="I42" i="340"/>
  <c r="H42" i="340"/>
  <c r="G42" i="340"/>
  <c r="E42" i="340"/>
  <c r="K42" i="340" s="1"/>
  <c r="C42" i="340"/>
  <c r="I41" i="340"/>
  <c r="H41" i="340"/>
  <c r="G41" i="340"/>
  <c r="E41" i="340"/>
  <c r="K41" i="340" s="1"/>
  <c r="C41" i="340"/>
  <c r="I40" i="340"/>
  <c r="H40" i="340"/>
  <c r="G40" i="340"/>
  <c r="E40" i="340"/>
  <c r="K40" i="340" s="1"/>
  <c r="C40" i="340"/>
  <c r="I39" i="340"/>
  <c r="H39" i="340"/>
  <c r="G39" i="340"/>
  <c r="E39" i="340"/>
  <c r="K39" i="340" s="1"/>
  <c r="C39" i="340"/>
  <c r="I38" i="340"/>
  <c r="H38" i="340"/>
  <c r="G38" i="340"/>
  <c r="E38" i="340"/>
  <c r="K38" i="340" s="1"/>
  <c r="C38" i="340"/>
  <c r="I37" i="340"/>
  <c r="H37" i="340"/>
  <c r="G37" i="340"/>
  <c r="E37" i="340"/>
  <c r="K37" i="340" s="1"/>
  <c r="C37" i="340"/>
  <c r="I36" i="340"/>
  <c r="H36" i="340"/>
  <c r="G36" i="340"/>
  <c r="E36" i="340"/>
  <c r="K36" i="340" s="1"/>
  <c r="C36" i="340"/>
  <c r="I35" i="340"/>
  <c r="H35" i="340"/>
  <c r="G35" i="340"/>
  <c r="E35" i="340"/>
  <c r="K35" i="340" s="1"/>
  <c r="C35" i="340"/>
  <c r="I34" i="340"/>
  <c r="H34" i="340"/>
  <c r="G34" i="340"/>
  <c r="E34" i="340"/>
  <c r="K34" i="340" s="1"/>
  <c r="C34" i="340"/>
  <c r="I33" i="340"/>
  <c r="H33" i="340"/>
  <c r="G33" i="340"/>
  <c r="E33" i="340"/>
  <c r="K33" i="340" s="1"/>
  <c r="C33" i="340"/>
  <c r="I32" i="340"/>
  <c r="H32" i="340"/>
  <c r="G32" i="340"/>
  <c r="E32" i="340"/>
  <c r="K32" i="340" s="1"/>
  <c r="C32" i="340"/>
  <c r="I31" i="340"/>
  <c r="H31" i="340"/>
  <c r="G31" i="340"/>
  <c r="E31" i="340"/>
  <c r="K31" i="340" s="1"/>
  <c r="C31" i="340"/>
  <c r="I30" i="340"/>
  <c r="H30" i="340"/>
  <c r="G30" i="340"/>
  <c r="E30" i="340"/>
  <c r="K30" i="340" s="1"/>
  <c r="C30" i="340"/>
  <c r="I29" i="340"/>
  <c r="H29" i="340"/>
  <c r="G29" i="340"/>
  <c r="E29" i="340"/>
  <c r="K29" i="340" s="1"/>
  <c r="C29" i="340"/>
  <c r="I28" i="340"/>
  <c r="H28" i="340"/>
  <c r="G28" i="340"/>
  <c r="E28" i="340"/>
  <c r="K28" i="340" s="1"/>
  <c r="C28" i="340"/>
  <c r="I27" i="340"/>
  <c r="H27" i="340"/>
  <c r="G27" i="340"/>
  <c r="E27" i="340"/>
  <c r="K27" i="340" s="1"/>
  <c r="C27" i="340"/>
  <c r="I26" i="340"/>
  <c r="H26" i="340"/>
  <c r="G26" i="340"/>
  <c r="E26" i="340"/>
  <c r="K26" i="340" s="1"/>
  <c r="C26" i="340"/>
  <c r="I25" i="340"/>
  <c r="H25" i="340"/>
  <c r="G25" i="340"/>
  <c r="E25" i="340"/>
  <c r="K25" i="340" s="1"/>
  <c r="C25" i="340"/>
  <c r="I24" i="340"/>
  <c r="H24" i="340"/>
  <c r="G24" i="340"/>
  <c r="E24" i="340"/>
  <c r="K24" i="340" s="1"/>
  <c r="C24" i="340"/>
  <c r="I23" i="340"/>
  <c r="H23" i="340"/>
  <c r="G23" i="340"/>
  <c r="E23" i="340"/>
  <c r="K23" i="340" s="1"/>
  <c r="C23" i="340"/>
  <c r="I22" i="340"/>
  <c r="H22" i="340"/>
  <c r="G22" i="340"/>
  <c r="E22" i="340"/>
  <c r="K22" i="340" s="1"/>
  <c r="C22" i="340"/>
  <c r="I21" i="340"/>
  <c r="H21" i="340"/>
  <c r="G21" i="340"/>
  <c r="E21" i="340"/>
  <c r="K21" i="340" s="1"/>
  <c r="C21" i="340"/>
  <c r="I20" i="340"/>
  <c r="H20" i="340"/>
  <c r="G20" i="340"/>
  <c r="E20" i="340"/>
  <c r="K20" i="340" s="1"/>
  <c r="C20" i="340"/>
  <c r="I19" i="340"/>
  <c r="H19" i="340"/>
  <c r="G19" i="340"/>
  <c r="E19" i="340"/>
  <c r="K19" i="340" s="1"/>
  <c r="C19" i="340"/>
  <c r="I18" i="340"/>
  <c r="H18" i="340"/>
  <c r="G18" i="340"/>
  <c r="E18" i="340"/>
  <c r="K18" i="340" s="1"/>
  <c r="C18" i="340"/>
  <c r="I17" i="340"/>
  <c r="H17" i="340"/>
  <c r="G17" i="340"/>
  <c r="E17" i="340"/>
  <c r="K17" i="340" s="1"/>
  <c r="C17" i="340"/>
  <c r="I16" i="340"/>
  <c r="H16" i="340"/>
  <c r="G16" i="340"/>
  <c r="E16" i="340"/>
  <c r="K16" i="340" s="1"/>
  <c r="C16" i="340"/>
  <c r="I15" i="340"/>
  <c r="H15" i="340"/>
  <c r="G15" i="340"/>
  <c r="E15" i="340"/>
  <c r="K15" i="340" s="1"/>
  <c r="C15" i="340"/>
  <c r="I14" i="340"/>
  <c r="H14" i="340"/>
  <c r="G14" i="340"/>
  <c r="E14" i="340"/>
  <c r="K14" i="340" s="1"/>
  <c r="C14" i="340"/>
  <c r="I13" i="340"/>
  <c r="H13" i="340"/>
  <c r="G13" i="340"/>
  <c r="E13" i="340"/>
  <c r="K13" i="340" s="1"/>
  <c r="C13" i="340"/>
  <c r="I12" i="340"/>
  <c r="H12" i="340"/>
  <c r="G12" i="340"/>
  <c r="E12" i="340"/>
  <c r="K12" i="340" s="1"/>
  <c r="C12" i="340"/>
  <c r="I11" i="340"/>
  <c r="H11" i="340"/>
  <c r="G11" i="340"/>
  <c r="E11" i="340"/>
  <c r="K11" i="340" s="1"/>
  <c r="C11" i="340"/>
  <c r="I10" i="340"/>
  <c r="H10" i="340"/>
  <c r="G10" i="340"/>
  <c r="E10" i="340"/>
  <c r="K10" i="340" s="1"/>
  <c r="C10" i="340"/>
  <c r="I9" i="340"/>
  <c r="H9" i="340"/>
  <c r="G9" i="340"/>
  <c r="E9" i="340"/>
  <c r="K9" i="340" s="1"/>
  <c r="C9" i="340"/>
  <c r="I8" i="340"/>
  <c r="H8" i="340"/>
  <c r="G8" i="340"/>
  <c r="E8" i="340"/>
  <c r="K8" i="340" s="1"/>
  <c r="C8" i="340"/>
  <c r="I7" i="340"/>
  <c r="H7" i="340"/>
  <c r="G7" i="340"/>
  <c r="E7" i="340"/>
  <c r="K7" i="340" s="1"/>
  <c r="C7" i="340"/>
  <c r="I6" i="340"/>
  <c r="H6" i="340"/>
  <c r="G6" i="340"/>
  <c r="E6" i="340"/>
  <c r="K6" i="340" s="1"/>
  <c r="C6" i="340"/>
  <c r="I5" i="340"/>
  <c r="H5" i="340"/>
  <c r="G5" i="340"/>
  <c r="E5" i="340"/>
  <c r="C5" i="340"/>
  <c r="D59" i="339"/>
  <c r="H63" i="339" s="1"/>
  <c r="F30" i="181" s="1"/>
  <c r="M45" i="339"/>
  <c r="L45" i="339"/>
  <c r="F45" i="339"/>
  <c r="F63" i="339" s="1"/>
  <c r="D30" i="181" s="1"/>
  <c r="D45" i="339"/>
  <c r="D3" i="339" s="1"/>
  <c r="I44" i="339"/>
  <c r="H44" i="339"/>
  <c r="G44" i="339"/>
  <c r="E44" i="339"/>
  <c r="K44" i="339" s="1"/>
  <c r="O44" i="339" s="1"/>
  <c r="C44" i="339"/>
  <c r="I43" i="339"/>
  <c r="H43" i="339"/>
  <c r="G43" i="339"/>
  <c r="E43" i="339"/>
  <c r="K43" i="339" s="1"/>
  <c r="C43" i="339"/>
  <c r="I42" i="339"/>
  <c r="H42" i="339"/>
  <c r="G42" i="339"/>
  <c r="E42" i="339"/>
  <c r="K42" i="339" s="1"/>
  <c r="C42" i="339"/>
  <c r="I41" i="339"/>
  <c r="H41" i="339"/>
  <c r="G41" i="339"/>
  <c r="E41" i="339"/>
  <c r="K41" i="339" s="1"/>
  <c r="O41" i="339" s="1"/>
  <c r="C41" i="339"/>
  <c r="I40" i="339"/>
  <c r="H40" i="339"/>
  <c r="G40" i="339"/>
  <c r="E40" i="339"/>
  <c r="K40" i="339" s="1"/>
  <c r="C40" i="339"/>
  <c r="I39" i="339"/>
  <c r="H39" i="339"/>
  <c r="G39" i="339"/>
  <c r="E39" i="339"/>
  <c r="K39" i="339" s="1"/>
  <c r="C39" i="339"/>
  <c r="I38" i="339"/>
  <c r="H38" i="339"/>
  <c r="G38" i="339"/>
  <c r="E38" i="339"/>
  <c r="K38" i="339" s="1"/>
  <c r="O38" i="339" s="1"/>
  <c r="C38" i="339"/>
  <c r="I37" i="339"/>
  <c r="H37" i="339"/>
  <c r="G37" i="339"/>
  <c r="E37" i="339"/>
  <c r="K37" i="339" s="1"/>
  <c r="C37" i="339"/>
  <c r="I36" i="339"/>
  <c r="H36" i="339"/>
  <c r="G36" i="339"/>
  <c r="E36" i="339"/>
  <c r="K36" i="339" s="1"/>
  <c r="C36" i="339"/>
  <c r="I35" i="339"/>
  <c r="H35" i="339"/>
  <c r="G35" i="339"/>
  <c r="E35" i="339"/>
  <c r="K35" i="339" s="1"/>
  <c r="O35" i="339" s="1"/>
  <c r="C35" i="339"/>
  <c r="I34" i="339"/>
  <c r="H34" i="339"/>
  <c r="G34" i="339"/>
  <c r="E34" i="339"/>
  <c r="K34" i="339" s="1"/>
  <c r="C34" i="339"/>
  <c r="I33" i="339"/>
  <c r="H33" i="339"/>
  <c r="G33" i="339"/>
  <c r="E33" i="339"/>
  <c r="K33" i="339" s="1"/>
  <c r="O33" i="339" s="1"/>
  <c r="C33" i="339"/>
  <c r="I32" i="339"/>
  <c r="H32" i="339"/>
  <c r="G32" i="339"/>
  <c r="E32" i="339"/>
  <c r="K32" i="339" s="1"/>
  <c r="C32" i="339"/>
  <c r="I31" i="339"/>
  <c r="H31" i="339"/>
  <c r="G31" i="339"/>
  <c r="E31" i="339"/>
  <c r="K31" i="339" s="1"/>
  <c r="C31" i="339"/>
  <c r="I30" i="339"/>
  <c r="H30" i="339"/>
  <c r="G30" i="339"/>
  <c r="E30" i="339"/>
  <c r="K30" i="339" s="1"/>
  <c r="C30" i="339"/>
  <c r="I29" i="339"/>
  <c r="H29" i="339"/>
  <c r="G29" i="339"/>
  <c r="E29" i="339"/>
  <c r="K29" i="339" s="1"/>
  <c r="C29" i="339"/>
  <c r="I28" i="339"/>
  <c r="H28" i="339"/>
  <c r="G28" i="339"/>
  <c r="E28" i="339"/>
  <c r="K28" i="339" s="1"/>
  <c r="O28" i="339" s="1"/>
  <c r="C28" i="339"/>
  <c r="I27" i="339"/>
  <c r="H27" i="339"/>
  <c r="G27" i="339"/>
  <c r="E27" i="339"/>
  <c r="K27" i="339" s="1"/>
  <c r="O27" i="339" s="1"/>
  <c r="C27" i="339"/>
  <c r="I26" i="339"/>
  <c r="H26" i="339"/>
  <c r="G26" i="339"/>
  <c r="E26" i="339"/>
  <c r="K26" i="339" s="1"/>
  <c r="C26" i="339"/>
  <c r="I25" i="339"/>
  <c r="H25" i="339"/>
  <c r="G25" i="339"/>
  <c r="E25" i="339"/>
  <c r="K25" i="339" s="1"/>
  <c r="C25" i="339"/>
  <c r="I24" i="339"/>
  <c r="H24" i="339"/>
  <c r="G24" i="339"/>
  <c r="E24" i="339"/>
  <c r="K24" i="339" s="1"/>
  <c r="C24" i="339"/>
  <c r="I23" i="339"/>
  <c r="H23" i="339"/>
  <c r="G23" i="339"/>
  <c r="E23" i="339"/>
  <c r="K23" i="339" s="1"/>
  <c r="O23" i="339" s="1"/>
  <c r="C23" i="339"/>
  <c r="I22" i="339"/>
  <c r="H22" i="339"/>
  <c r="G22" i="339"/>
  <c r="E22" i="339"/>
  <c r="K22" i="339" s="1"/>
  <c r="O22" i="339" s="1"/>
  <c r="C22" i="339"/>
  <c r="I21" i="339"/>
  <c r="H21" i="339"/>
  <c r="G21" i="339"/>
  <c r="E21" i="339"/>
  <c r="K21" i="339" s="1"/>
  <c r="C21" i="339"/>
  <c r="I20" i="339"/>
  <c r="H20" i="339"/>
  <c r="G20" i="339"/>
  <c r="E20" i="339"/>
  <c r="K20" i="339" s="1"/>
  <c r="C20" i="339"/>
  <c r="I19" i="339"/>
  <c r="H19" i="339"/>
  <c r="G19" i="339"/>
  <c r="E19" i="339"/>
  <c r="K19" i="339" s="1"/>
  <c r="O19" i="339" s="1"/>
  <c r="C19" i="339"/>
  <c r="I18" i="339"/>
  <c r="H18" i="339"/>
  <c r="G18" i="339"/>
  <c r="E18" i="339"/>
  <c r="K18" i="339" s="1"/>
  <c r="C18" i="339"/>
  <c r="I17" i="339"/>
  <c r="H17" i="339"/>
  <c r="G17" i="339"/>
  <c r="E17" i="339"/>
  <c r="K17" i="339" s="1"/>
  <c r="C17" i="339"/>
  <c r="I16" i="339"/>
  <c r="H16" i="339"/>
  <c r="G16" i="339"/>
  <c r="E16" i="339"/>
  <c r="K16" i="339" s="1"/>
  <c r="C16" i="339"/>
  <c r="I15" i="339"/>
  <c r="H15" i="339"/>
  <c r="G15" i="339"/>
  <c r="E15" i="339"/>
  <c r="K15" i="339" s="1"/>
  <c r="O15" i="339" s="1"/>
  <c r="C15" i="339"/>
  <c r="I14" i="339"/>
  <c r="H14" i="339"/>
  <c r="G14" i="339"/>
  <c r="E14" i="339"/>
  <c r="K14" i="339" s="1"/>
  <c r="C14" i="339"/>
  <c r="I13" i="339"/>
  <c r="H13" i="339"/>
  <c r="G13" i="339"/>
  <c r="E13" i="339"/>
  <c r="K13" i="339" s="1"/>
  <c r="C13" i="339"/>
  <c r="I12" i="339"/>
  <c r="H12" i="339"/>
  <c r="G12" i="339"/>
  <c r="E12" i="339"/>
  <c r="K12" i="339" s="1"/>
  <c r="O12" i="339" s="1"/>
  <c r="C12" i="339"/>
  <c r="I11" i="339"/>
  <c r="H11" i="339"/>
  <c r="G11" i="339"/>
  <c r="E11" i="339"/>
  <c r="K11" i="339" s="1"/>
  <c r="C11" i="339"/>
  <c r="I10" i="339"/>
  <c r="H10" i="339"/>
  <c r="G10" i="339"/>
  <c r="E10" i="339"/>
  <c r="K10" i="339" s="1"/>
  <c r="C10" i="339"/>
  <c r="I9" i="339"/>
  <c r="H9" i="339"/>
  <c r="G9" i="339"/>
  <c r="E9" i="339"/>
  <c r="K9" i="339" s="1"/>
  <c r="O9" i="339" s="1"/>
  <c r="C9" i="339"/>
  <c r="I8" i="339"/>
  <c r="H8" i="339"/>
  <c r="G8" i="339"/>
  <c r="E8" i="339"/>
  <c r="K8" i="339" s="1"/>
  <c r="C8" i="339"/>
  <c r="I7" i="339"/>
  <c r="H7" i="339"/>
  <c r="G7" i="339"/>
  <c r="E7" i="339"/>
  <c r="K7" i="339" s="1"/>
  <c r="C7" i="339"/>
  <c r="I6" i="339"/>
  <c r="H6" i="339"/>
  <c r="G6" i="339"/>
  <c r="E6" i="339"/>
  <c r="K6" i="339" s="1"/>
  <c r="O6" i="339" s="1"/>
  <c r="C6" i="339"/>
  <c r="I5" i="339"/>
  <c r="H5" i="339"/>
  <c r="G5" i="339"/>
  <c r="E5" i="339"/>
  <c r="K5" i="339" s="1"/>
  <c r="C5" i="339"/>
  <c r="D59" i="338"/>
  <c r="H63" i="338" s="1"/>
  <c r="F29" i="181" s="1"/>
  <c r="M45" i="338"/>
  <c r="L45" i="338"/>
  <c r="F45" i="338"/>
  <c r="F63" i="338" s="1"/>
  <c r="D29" i="181" s="1"/>
  <c r="D45" i="338"/>
  <c r="I44" i="338"/>
  <c r="H44" i="338"/>
  <c r="G44" i="338"/>
  <c r="E44" i="338"/>
  <c r="K44" i="338" s="1"/>
  <c r="C44" i="338"/>
  <c r="I43" i="338"/>
  <c r="H43" i="338"/>
  <c r="G43" i="338"/>
  <c r="E43" i="338"/>
  <c r="K43" i="338" s="1"/>
  <c r="C43" i="338"/>
  <c r="I42" i="338"/>
  <c r="H42" i="338"/>
  <c r="G42" i="338"/>
  <c r="E42" i="338"/>
  <c r="K42" i="338" s="1"/>
  <c r="C42" i="338"/>
  <c r="I41" i="338"/>
  <c r="H41" i="338"/>
  <c r="G41" i="338"/>
  <c r="E41" i="338"/>
  <c r="K41" i="338" s="1"/>
  <c r="C41" i="338"/>
  <c r="I40" i="338"/>
  <c r="H40" i="338"/>
  <c r="G40" i="338"/>
  <c r="E40" i="338"/>
  <c r="K40" i="338" s="1"/>
  <c r="C40" i="338"/>
  <c r="I39" i="338"/>
  <c r="H39" i="338"/>
  <c r="G39" i="338"/>
  <c r="E39" i="338"/>
  <c r="K39" i="338" s="1"/>
  <c r="C39" i="338"/>
  <c r="I38" i="338"/>
  <c r="H38" i="338"/>
  <c r="G38" i="338"/>
  <c r="E38" i="338"/>
  <c r="K38" i="338" s="1"/>
  <c r="C38" i="338"/>
  <c r="I37" i="338"/>
  <c r="H37" i="338"/>
  <c r="G37" i="338"/>
  <c r="E37" i="338"/>
  <c r="K37" i="338" s="1"/>
  <c r="O37" i="338" s="1"/>
  <c r="C37" i="338"/>
  <c r="I36" i="338"/>
  <c r="H36" i="338"/>
  <c r="G36" i="338"/>
  <c r="E36" i="338"/>
  <c r="K36" i="338" s="1"/>
  <c r="C36" i="338"/>
  <c r="I35" i="338"/>
  <c r="H35" i="338"/>
  <c r="G35" i="338"/>
  <c r="E35" i="338"/>
  <c r="K35" i="338" s="1"/>
  <c r="O35" i="338" s="1"/>
  <c r="C35" i="338"/>
  <c r="I34" i="338"/>
  <c r="H34" i="338"/>
  <c r="G34" i="338"/>
  <c r="E34" i="338"/>
  <c r="K34" i="338" s="1"/>
  <c r="C34" i="338"/>
  <c r="I33" i="338"/>
  <c r="H33" i="338"/>
  <c r="G33" i="338"/>
  <c r="E33" i="338"/>
  <c r="K33" i="338" s="1"/>
  <c r="O33" i="338" s="1"/>
  <c r="C33" i="338"/>
  <c r="I32" i="338"/>
  <c r="H32" i="338"/>
  <c r="G32" i="338"/>
  <c r="E32" i="338"/>
  <c r="K32" i="338" s="1"/>
  <c r="C32" i="338"/>
  <c r="I31" i="338"/>
  <c r="H31" i="338"/>
  <c r="G31" i="338"/>
  <c r="E31" i="338"/>
  <c r="K31" i="338" s="1"/>
  <c r="O31" i="338" s="1"/>
  <c r="C31" i="338"/>
  <c r="I30" i="338"/>
  <c r="H30" i="338"/>
  <c r="G30" i="338"/>
  <c r="E30" i="338"/>
  <c r="K30" i="338" s="1"/>
  <c r="C30" i="338"/>
  <c r="I29" i="338"/>
  <c r="H29" i="338"/>
  <c r="G29" i="338"/>
  <c r="E29" i="338"/>
  <c r="K29" i="338" s="1"/>
  <c r="O29" i="338" s="1"/>
  <c r="C29" i="338"/>
  <c r="I28" i="338"/>
  <c r="H28" i="338"/>
  <c r="G28" i="338"/>
  <c r="E28" i="338"/>
  <c r="K28" i="338" s="1"/>
  <c r="C28" i="338"/>
  <c r="I27" i="338"/>
  <c r="H27" i="338"/>
  <c r="G27" i="338"/>
  <c r="E27" i="338"/>
  <c r="K27" i="338" s="1"/>
  <c r="O27" i="338" s="1"/>
  <c r="C27" i="338"/>
  <c r="I26" i="338"/>
  <c r="H26" i="338"/>
  <c r="G26" i="338"/>
  <c r="E26" i="338"/>
  <c r="K26" i="338" s="1"/>
  <c r="C26" i="338"/>
  <c r="I25" i="338"/>
  <c r="H25" i="338"/>
  <c r="G25" i="338"/>
  <c r="E25" i="338"/>
  <c r="K25" i="338" s="1"/>
  <c r="C25" i="338"/>
  <c r="I24" i="338"/>
  <c r="H24" i="338"/>
  <c r="G24" i="338"/>
  <c r="E24" i="338"/>
  <c r="K24" i="338" s="1"/>
  <c r="C24" i="338"/>
  <c r="I23" i="338"/>
  <c r="H23" i="338"/>
  <c r="G23" i="338"/>
  <c r="E23" i="338"/>
  <c r="K23" i="338" s="1"/>
  <c r="O23" i="338" s="1"/>
  <c r="C23" i="338"/>
  <c r="I22" i="338"/>
  <c r="H22" i="338"/>
  <c r="G22" i="338"/>
  <c r="E22" i="338"/>
  <c r="K22" i="338" s="1"/>
  <c r="C22" i="338"/>
  <c r="I21" i="338"/>
  <c r="H21" i="338"/>
  <c r="G21" i="338"/>
  <c r="E21" i="338"/>
  <c r="K21" i="338" s="1"/>
  <c r="C21" i="338"/>
  <c r="I20" i="338"/>
  <c r="H20" i="338"/>
  <c r="G20" i="338"/>
  <c r="E20" i="338"/>
  <c r="K20" i="338" s="1"/>
  <c r="C20" i="338"/>
  <c r="I19" i="338"/>
  <c r="H19" i="338"/>
  <c r="G19" i="338"/>
  <c r="E19" i="338"/>
  <c r="K19" i="338" s="1"/>
  <c r="C19" i="338"/>
  <c r="I18" i="338"/>
  <c r="H18" i="338"/>
  <c r="G18" i="338"/>
  <c r="E18" i="338"/>
  <c r="K18" i="338" s="1"/>
  <c r="O18" i="338" s="1"/>
  <c r="C18" i="338"/>
  <c r="I17" i="338"/>
  <c r="H17" i="338"/>
  <c r="G17" i="338"/>
  <c r="E17" i="338"/>
  <c r="K17" i="338" s="1"/>
  <c r="C17" i="338"/>
  <c r="I16" i="338"/>
  <c r="H16" i="338"/>
  <c r="G16" i="338"/>
  <c r="E16" i="338"/>
  <c r="K16" i="338" s="1"/>
  <c r="C16" i="338"/>
  <c r="I15" i="338"/>
  <c r="H15" i="338"/>
  <c r="G15" i="338"/>
  <c r="E15" i="338"/>
  <c r="K15" i="338" s="1"/>
  <c r="C15" i="338"/>
  <c r="I14" i="338"/>
  <c r="H14" i="338"/>
  <c r="G14" i="338"/>
  <c r="E14" i="338"/>
  <c r="K14" i="338" s="1"/>
  <c r="C14" i="338"/>
  <c r="I13" i="338"/>
  <c r="H13" i="338"/>
  <c r="G13" i="338"/>
  <c r="E13" i="338"/>
  <c r="K13" i="338" s="1"/>
  <c r="O13" i="338" s="1"/>
  <c r="C13" i="338"/>
  <c r="I12" i="338"/>
  <c r="H12" i="338"/>
  <c r="G12" i="338"/>
  <c r="E12" i="338"/>
  <c r="K12" i="338" s="1"/>
  <c r="C12" i="338"/>
  <c r="I11" i="338"/>
  <c r="H11" i="338"/>
  <c r="G11" i="338"/>
  <c r="E11" i="338"/>
  <c r="K11" i="338" s="1"/>
  <c r="O11" i="338" s="1"/>
  <c r="C11" i="338"/>
  <c r="I10" i="338"/>
  <c r="H10" i="338"/>
  <c r="G10" i="338"/>
  <c r="E10" i="338"/>
  <c r="K10" i="338" s="1"/>
  <c r="C10" i="338"/>
  <c r="I9" i="338"/>
  <c r="H9" i="338"/>
  <c r="G9" i="338"/>
  <c r="E9" i="338"/>
  <c r="K9" i="338" s="1"/>
  <c r="O9" i="338" s="1"/>
  <c r="C9" i="338"/>
  <c r="I8" i="338"/>
  <c r="H8" i="338"/>
  <c r="G8" i="338"/>
  <c r="E8" i="338"/>
  <c r="K8" i="338" s="1"/>
  <c r="C8" i="338"/>
  <c r="I7" i="338"/>
  <c r="H7" i="338"/>
  <c r="G7" i="338"/>
  <c r="E7" i="338"/>
  <c r="K7" i="338" s="1"/>
  <c r="C7" i="338"/>
  <c r="I6" i="338"/>
  <c r="H6" i="338"/>
  <c r="G6" i="338"/>
  <c r="E6" i="338"/>
  <c r="C6" i="338"/>
  <c r="I5" i="338"/>
  <c r="H5" i="338"/>
  <c r="G5" i="338"/>
  <c r="E5" i="338"/>
  <c r="K5" i="338" s="1"/>
  <c r="O5" i="338" s="1"/>
  <c r="C5" i="338"/>
  <c r="D59" i="337"/>
  <c r="H63" i="337" s="1"/>
  <c r="F28" i="181" s="1"/>
  <c r="M45" i="337"/>
  <c r="L45" i="337"/>
  <c r="F45" i="337"/>
  <c r="F63" i="337" s="1"/>
  <c r="D28" i="181" s="1"/>
  <c r="D45" i="337"/>
  <c r="D3" i="337" s="1"/>
  <c r="I44" i="337"/>
  <c r="H44" i="337"/>
  <c r="G44" i="337"/>
  <c r="E44" i="337"/>
  <c r="K44" i="337" s="1"/>
  <c r="C44" i="337"/>
  <c r="I43" i="337"/>
  <c r="H43" i="337"/>
  <c r="G43" i="337"/>
  <c r="E43" i="337"/>
  <c r="K43" i="337" s="1"/>
  <c r="O43" i="337" s="1"/>
  <c r="C43" i="337"/>
  <c r="I42" i="337"/>
  <c r="H42" i="337"/>
  <c r="G42" i="337"/>
  <c r="E42" i="337"/>
  <c r="K42" i="337" s="1"/>
  <c r="C42" i="337"/>
  <c r="I41" i="337"/>
  <c r="H41" i="337"/>
  <c r="G41" i="337"/>
  <c r="E41" i="337"/>
  <c r="K41" i="337" s="1"/>
  <c r="O41" i="337" s="1"/>
  <c r="C41" i="337"/>
  <c r="I40" i="337"/>
  <c r="H40" i="337"/>
  <c r="G40" i="337"/>
  <c r="E40" i="337"/>
  <c r="K40" i="337" s="1"/>
  <c r="C40" i="337"/>
  <c r="I39" i="337"/>
  <c r="H39" i="337"/>
  <c r="G39" i="337"/>
  <c r="E39" i="337"/>
  <c r="K39" i="337" s="1"/>
  <c r="O39" i="337" s="1"/>
  <c r="C39" i="337"/>
  <c r="I38" i="337"/>
  <c r="H38" i="337"/>
  <c r="G38" i="337"/>
  <c r="E38" i="337"/>
  <c r="K38" i="337" s="1"/>
  <c r="C38" i="337"/>
  <c r="I37" i="337"/>
  <c r="H37" i="337"/>
  <c r="G37" i="337"/>
  <c r="E37" i="337"/>
  <c r="K37" i="337" s="1"/>
  <c r="O37" i="337" s="1"/>
  <c r="C37" i="337"/>
  <c r="I36" i="337"/>
  <c r="H36" i="337"/>
  <c r="G36" i="337"/>
  <c r="E36" i="337"/>
  <c r="K36" i="337" s="1"/>
  <c r="C36" i="337"/>
  <c r="I35" i="337"/>
  <c r="H35" i="337"/>
  <c r="G35" i="337"/>
  <c r="E35" i="337"/>
  <c r="K35" i="337" s="1"/>
  <c r="O35" i="337" s="1"/>
  <c r="C35" i="337"/>
  <c r="I34" i="337"/>
  <c r="H34" i="337"/>
  <c r="G34" i="337"/>
  <c r="E34" i="337"/>
  <c r="K34" i="337" s="1"/>
  <c r="C34" i="337"/>
  <c r="I33" i="337"/>
  <c r="H33" i="337"/>
  <c r="G33" i="337"/>
  <c r="E33" i="337"/>
  <c r="K33" i="337" s="1"/>
  <c r="C33" i="337"/>
  <c r="I32" i="337"/>
  <c r="H32" i="337"/>
  <c r="G32" i="337"/>
  <c r="E32" i="337"/>
  <c r="K32" i="337" s="1"/>
  <c r="C32" i="337"/>
  <c r="I31" i="337"/>
  <c r="H31" i="337"/>
  <c r="G31" i="337"/>
  <c r="E31" i="337"/>
  <c r="K31" i="337" s="1"/>
  <c r="C31" i="337"/>
  <c r="I30" i="337"/>
  <c r="H30" i="337"/>
  <c r="G30" i="337"/>
  <c r="E30" i="337"/>
  <c r="K30" i="337" s="1"/>
  <c r="C30" i="337"/>
  <c r="I29" i="337"/>
  <c r="H29" i="337"/>
  <c r="G29" i="337"/>
  <c r="E29" i="337"/>
  <c r="K29" i="337" s="1"/>
  <c r="O29" i="337" s="1"/>
  <c r="C29" i="337"/>
  <c r="I28" i="337"/>
  <c r="H28" i="337"/>
  <c r="G28" i="337"/>
  <c r="E28" i="337"/>
  <c r="K28" i="337" s="1"/>
  <c r="C28" i="337"/>
  <c r="I27" i="337"/>
  <c r="H27" i="337"/>
  <c r="G27" i="337"/>
  <c r="E27" i="337"/>
  <c r="K27" i="337" s="1"/>
  <c r="C27" i="337"/>
  <c r="I26" i="337"/>
  <c r="H26" i="337"/>
  <c r="G26" i="337"/>
  <c r="E26" i="337"/>
  <c r="K26" i="337" s="1"/>
  <c r="O26" i="337" s="1"/>
  <c r="C26" i="337"/>
  <c r="I25" i="337"/>
  <c r="H25" i="337"/>
  <c r="G25" i="337"/>
  <c r="E25" i="337"/>
  <c r="K25" i="337" s="1"/>
  <c r="O25" i="337" s="1"/>
  <c r="C25" i="337"/>
  <c r="I24" i="337"/>
  <c r="H24" i="337"/>
  <c r="G24" i="337"/>
  <c r="E24" i="337"/>
  <c r="K24" i="337" s="1"/>
  <c r="C24" i="337"/>
  <c r="I23" i="337"/>
  <c r="H23" i="337"/>
  <c r="G23" i="337"/>
  <c r="E23" i="337"/>
  <c r="K23" i="337" s="1"/>
  <c r="O23" i="337" s="1"/>
  <c r="C23" i="337"/>
  <c r="I22" i="337"/>
  <c r="H22" i="337"/>
  <c r="G22" i="337"/>
  <c r="E22" i="337"/>
  <c r="K22" i="337" s="1"/>
  <c r="C22" i="337"/>
  <c r="I21" i="337"/>
  <c r="H21" i="337"/>
  <c r="G21" i="337"/>
  <c r="E21" i="337"/>
  <c r="K21" i="337" s="1"/>
  <c r="O21" i="337" s="1"/>
  <c r="C21" i="337"/>
  <c r="I20" i="337"/>
  <c r="H20" i="337"/>
  <c r="G20" i="337"/>
  <c r="E20" i="337"/>
  <c r="K20" i="337" s="1"/>
  <c r="C20" i="337"/>
  <c r="I19" i="337"/>
  <c r="H19" i="337"/>
  <c r="G19" i="337"/>
  <c r="E19" i="337"/>
  <c r="K19" i="337" s="1"/>
  <c r="O19" i="337" s="1"/>
  <c r="C19" i="337"/>
  <c r="I18" i="337"/>
  <c r="H18" i="337"/>
  <c r="G18" i="337"/>
  <c r="E18" i="337"/>
  <c r="C18" i="337"/>
  <c r="I17" i="337"/>
  <c r="H17" i="337"/>
  <c r="G17" i="337"/>
  <c r="E17" i="337"/>
  <c r="K17" i="337" s="1"/>
  <c r="O17" i="337" s="1"/>
  <c r="C17" i="337"/>
  <c r="I16" i="337"/>
  <c r="H16" i="337"/>
  <c r="G16" i="337"/>
  <c r="E16" i="337"/>
  <c r="K16" i="337" s="1"/>
  <c r="O16" i="337" s="1"/>
  <c r="C16" i="337"/>
  <c r="I15" i="337"/>
  <c r="H15" i="337"/>
  <c r="G15" i="337"/>
  <c r="E15" i="337"/>
  <c r="K15" i="337" s="1"/>
  <c r="O15" i="337" s="1"/>
  <c r="C15" i="337"/>
  <c r="I14" i="337"/>
  <c r="H14" i="337"/>
  <c r="G14" i="337"/>
  <c r="E14" i="337"/>
  <c r="K14" i="337" s="1"/>
  <c r="O14" i="337" s="1"/>
  <c r="C14" i="337"/>
  <c r="I13" i="337"/>
  <c r="H13" i="337"/>
  <c r="G13" i="337"/>
  <c r="E13" i="337"/>
  <c r="K13" i="337" s="1"/>
  <c r="O13" i="337" s="1"/>
  <c r="C13" i="337"/>
  <c r="I12" i="337"/>
  <c r="H12" i="337"/>
  <c r="G12" i="337"/>
  <c r="E12" i="337"/>
  <c r="K12" i="337" s="1"/>
  <c r="O12" i="337" s="1"/>
  <c r="C12" i="337"/>
  <c r="I11" i="337"/>
  <c r="H11" i="337"/>
  <c r="G11" i="337"/>
  <c r="E11" i="337"/>
  <c r="K11" i="337" s="1"/>
  <c r="O11" i="337" s="1"/>
  <c r="C11" i="337"/>
  <c r="I10" i="337"/>
  <c r="H10" i="337"/>
  <c r="G10" i="337"/>
  <c r="E10" i="337"/>
  <c r="K10" i="337" s="1"/>
  <c r="O10" i="337" s="1"/>
  <c r="C10" i="337"/>
  <c r="I9" i="337"/>
  <c r="H9" i="337"/>
  <c r="G9" i="337"/>
  <c r="E9" i="337"/>
  <c r="K9" i="337" s="1"/>
  <c r="O9" i="337" s="1"/>
  <c r="C9" i="337"/>
  <c r="I8" i="337"/>
  <c r="H8" i="337"/>
  <c r="G8" i="337"/>
  <c r="E8" i="337"/>
  <c r="K8" i="337" s="1"/>
  <c r="O8" i="337" s="1"/>
  <c r="C8" i="337"/>
  <c r="I7" i="337"/>
  <c r="H7" i="337"/>
  <c r="G7" i="337"/>
  <c r="E7" i="337"/>
  <c r="K7" i="337" s="1"/>
  <c r="O7" i="337" s="1"/>
  <c r="C7" i="337"/>
  <c r="I6" i="337"/>
  <c r="H6" i="337"/>
  <c r="G6" i="337"/>
  <c r="E6" i="337"/>
  <c r="K6" i="337" s="1"/>
  <c r="O6" i="337" s="1"/>
  <c r="C6" i="337"/>
  <c r="I5" i="337"/>
  <c r="H5" i="337"/>
  <c r="G5" i="337"/>
  <c r="E5" i="337"/>
  <c r="K5" i="337" s="1"/>
  <c r="O5" i="337" s="1"/>
  <c r="C5" i="337"/>
  <c r="D59" i="336"/>
  <c r="H63" i="336" s="1"/>
  <c r="F27" i="181" s="1"/>
  <c r="M45" i="336"/>
  <c r="L45" i="336"/>
  <c r="F45" i="336"/>
  <c r="F63" i="336" s="1"/>
  <c r="D27" i="181" s="1"/>
  <c r="D45" i="336"/>
  <c r="E63" i="336" s="1"/>
  <c r="I44" i="336"/>
  <c r="H44" i="336"/>
  <c r="G44" i="336"/>
  <c r="E44" i="336"/>
  <c r="K44" i="336" s="1"/>
  <c r="N44" i="336" s="1"/>
  <c r="C44" i="336"/>
  <c r="I43" i="336"/>
  <c r="H43" i="336"/>
  <c r="G43" i="336"/>
  <c r="E43" i="336"/>
  <c r="K43" i="336" s="1"/>
  <c r="C43" i="336"/>
  <c r="I42" i="336"/>
  <c r="H42" i="336"/>
  <c r="G42" i="336"/>
  <c r="E42" i="336"/>
  <c r="K42" i="336" s="1"/>
  <c r="N42" i="336" s="1"/>
  <c r="C42" i="336"/>
  <c r="I41" i="336"/>
  <c r="H41" i="336"/>
  <c r="G41" i="336"/>
  <c r="E41" i="336"/>
  <c r="K41" i="336" s="1"/>
  <c r="C41" i="336"/>
  <c r="I40" i="336"/>
  <c r="H40" i="336"/>
  <c r="G40" i="336"/>
  <c r="E40" i="336"/>
  <c r="K40" i="336" s="1"/>
  <c r="N40" i="336" s="1"/>
  <c r="C40" i="336"/>
  <c r="I39" i="336"/>
  <c r="H39" i="336"/>
  <c r="G39" i="336"/>
  <c r="E39" i="336"/>
  <c r="K39" i="336" s="1"/>
  <c r="O39" i="336" s="1"/>
  <c r="C39" i="336"/>
  <c r="I38" i="336"/>
  <c r="H38" i="336"/>
  <c r="G38" i="336"/>
  <c r="E38" i="336"/>
  <c r="K38" i="336" s="1"/>
  <c r="C38" i="336"/>
  <c r="I37" i="336"/>
  <c r="H37" i="336"/>
  <c r="G37" i="336"/>
  <c r="E37" i="336"/>
  <c r="K37" i="336" s="1"/>
  <c r="C37" i="336"/>
  <c r="I36" i="336"/>
  <c r="H36" i="336"/>
  <c r="G36" i="336"/>
  <c r="E36" i="336"/>
  <c r="K36" i="336" s="1"/>
  <c r="O36" i="336" s="1"/>
  <c r="C36" i="336"/>
  <c r="I35" i="336"/>
  <c r="H35" i="336"/>
  <c r="G35" i="336"/>
  <c r="E35" i="336"/>
  <c r="K35" i="336" s="1"/>
  <c r="O35" i="336" s="1"/>
  <c r="C35" i="336"/>
  <c r="I34" i="336"/>
  <c r="H34" i="336"/>
  <c r="G34" i="336"/>
  <c r="E34" i="336"/>
  <c r="K34" i="336" s="1"/>
  <c r="O34" i="336" s="1"/>
  <c r="C34" i="336"/>
  <c r="I33" i="336"/>
  <c r="H33" i="336"/>
  <c r="G33" i="336"/>
  <c r="E33" i="336"/>
  <c r="K33" i="336" s="1"/>
  <c r="C33" i="336"/>
  <c r="I32" i="336"/>
  <c r="H32" i="336"/>
  <c r="G32" i="336"/>
  <c r="E32" i="336"/>
  <c r="K32" i="336" s="1"/>
  <c r="O32" i="336" s="1"/>
  <c r="C32" i="336"/>
  <c r="I31" i="336"/>
  <c r="H31" i="336"/>
  <c r="G31" i="336"/>
  <c r="E31" i="336"/>
  <c r="K31" i="336" s="1"/>
  <c r="C31" i="336"/>
  <c r="I30" i="336"/>
  <c r="H30" i="336"/>
  <c r="G30" i="336"/>
  <c r="E30" i="336"/>
  <c r="K30" i="336" s="1"/>
  <c r="C30" i="336"/>
  <c r="I29" i="336"/>
  <c r="H29" i="336"/>
  <c r="G29" i="336"/>
  <c r="E29" i="336"/>
  <c r="K29" i="336" s="1"/>
  <c r="O29" i="336" s="1"/>
  <c r="C29" i="336"/>
  <c r="I28" i="336"/>
  <c r="H28" i="336"/>
  <c r="G28" i="336"/>
  <c r="E28" i="336"/>
  <c r="K28" i="336" s="1"/>
  <c r="O28" i="336" s="1"/>
  <c r="C28" i="336"/>
  <c r="I27" i="336"/>
  <c r="H27" i="336"/>
  <c r="G27" i="336"/>
  <c r="E27" i="336"/>
  <c r="K27" i="336" s="1"/>
  <c r="C27" i="336"/>
  <c r="I26" i="336"/>
  <c r="H26" i="336"/>
  <c r="G26" i="336"/>
  <c r="E26" i="336"/>
  <c r="K26" i="336" s="1"/>
  <c r="O26" i="336" s="1"/>
  <c r="C26" i="336"/>
  <c r="I25" i="336"/>
  <c r="H25" i="336"/>
  <c r="G25" i="336"/>
  <c r="E25" i="336"/>
  <c r="K25" i="336" s="1"/>
  <c r="C25" i="336"/>
  <c r="I24" i="336"/>
  <c r="H24" i="336"/>
  <c r="G24" i="336"/>
  <c r="E24" i="336"/>
  <c r="K24" i="336" s="1"/>
  <c r="C24" i="336"/>
  <c r="I23" i="336"/>
  <c r="H23" i="336"/>
  <c r="G23" i="336"/>
  <c r="E23" i="336"/>
  <c r="K23" i="336" s="1"/>
  <c r="C23" i="336"/>
  <c r="I22" i="336"/>
  <c r="H22" i="336"/>
  <c r="G22" i="336"/>
  <c r="E22" i="336"/>
  <c r="K22" i="336" s="1"/>
  <c r="C22" i="336"/>
  <c r="I21" i="336"/>
  <c r="H21" i="336"/>
  <c r="G21" i="336"/>
  <c r="E21" i="336"/>
  <c r="K21" i="336" s="1"/>
  <c r="C21" i="336"/>
  <c r="I20" i="336"/>
  <c r="H20" i="336"/>
  <c r="G20" i="336"/>
  <c r="E20" i="336"/>
  <c r="K20" i="336" s="1"/>
  <c r="C20" i="336"/>
  <c r="I19" i="336"/>
  <c r="H19" i="336"/>
  <c r="G19" i="336"/>
  <c r="E19" i="336"/>
  <c r="K19" i="336" s="1"/>
  <c r="N19" i="336" s="1"/>
  <c r="C19" i="336"/>
  <c r="I18" i="336"/>
  <c r="H18" i="336"/>
  <c r="G18" i="336"/>
  <c r="E18" i="336"/>
  <c r="K18" i="336" s="1"/>
  <c r="C18" i="336"/>
  <c r="I17" i="336"/>
  <c r="H17" i="336"/>
  <c r="G17" i="336"/>
  <c r="E17" i="336"/>
  <c r="K17" i="336" s="1"/>
  <c r="C17" i="336"/>
  <c r="I16" i="336"/>
  <c r="H16" i="336"/>
  <c r="G16" i="336"/>
  <c r="E16" i="336"/>
  <c r="K16" i="336" s="1"/>
  <c r="C16" i="336"/>
  <c r="I15" i="336"/>
  <c r="H15" i="336"/>
  <c r="G15" i="336"/>
  <c r="E15" i="336"/>
  <c r="K15" i="336" s="1"/>
  <c r="C15" i="336"/>
  <c r="I14" i="336"/>
  <c r="H14" i="336"/>
  <c r="G14" i="336"/>
  <c r="E14" i="336"/>
  <c r="K14" i="336" s="1"/>
  <c r="N14" i="336" s="1"/>
  <c r="C14" i="336"/>
  <c r="I13" i="336"/>
  <c r="H13" i="336"/>
  <c r="G13" i="336"/>
  <c r="E13" i="336"/>
  <c r="K13" i="336" s="1"/>
  <c r="C13" i="336"/>
  <c r="I12" i="336"/>
  <c r="H12" i="336"/>
  <c r="G12" i="336"/>
  <c r="E12" i="336"/>
  <c r="K12" i="336" s="1"/>
  <c r="C12" i="336"/>
  <c r="I11" i="336"/>
  <c r="H11" i="336"/>
  <c r="G11" i="336"/>
  <c r="E11" i="336"/>
  <c r="K11" i="336" s="1"/>
  <c r="C11" i="336"/>
  <c r="I10" i="336"/>
  <c r="H10" i="336"/>
  <c r="G10" i="336"/>
  <c r="E10" i="336"/>
  <c r="K10" i="336" s="1"/>
  <c r="N10" i="336" s="1"/>
  <c r="C10" i="336"/>
  <c r="I9" i="336"/>
  <c r="H9" i="336"/>
  <c r="G9" i="336"/>
  <c r="E9" i="336"/>
  <c r="K9" i="336" s="1"/>
  <c r="C9" i="336"/>
  <c r="I8" i="336"/>
  <c r="H8" i="336"/>
  <c r="G8" i="336"/>
  <c r="E8" i="336"/>
  <c r="K8" i="336" s="1"/>
  <c r="C8" i="336"/>
  <c r="I7" i="336"/>
  <c r="H7" i="336"/>
  <c r="G7" i="336"/>
  <c r="E7" i="336"/>
  <c r="K7" i="336" s="1"/>
  <c r="C7" i="336"/>
  <c r="I6" i="336"/>
  <c r="H6" i="336"/>
  <c r="G6" i="336"/>
  <c r="E6" i="336"/>
  <c r="C6" i="336"/>
  <c r="I5" i="336"/>
  <c r="H5" i="336"/>
  <c r="G5" i="336"/>
  <c r="E5" i="336"/>
  <c r="K5" i="336" s="1"/>
  <c r="C5" i="336"/>
  <c r="D59" i="335"/>
  <c r="H63" i="335" s="1"/>
  <c r="F26" i="181" s="1"/>
  <c r="M45" i="335"/>
  <c r="L45" i="335"/>
  <c r="F45" i="335"/>
  <c r="F63" i="335" s="1"/>
  <c r="D26" i="181" s="1"/>
  <c r="D45" i="335"/>
  <c r="E63" i="335" s="1"/>
  <c r="I44" i="335"/>
  <c r="H44" i="335"/>
  <c r="G44" i="335"/>
  <c r="E44" i="335"/>
  <c r="K44" i="335" s="1"/>
  <c r="C44" i="335"/>
  <c r="I43" i="335"/>
  <c r="H43" i="335"/>
  <c r="G43" i="335"/>
  <c r="E43" i="335"/>
  <c r="K43" i="335" s="1"/>
  <c r="C43" i="335"/>
  <c r="I42" i="335"/>
  <c r="H42" i="335"/>
  <c r="G42" i="335"/>
  <c r="E42" i="335"/>
  <c r="K42" i="335" s="1"/>
  <c r="C42" i="335"/>
  <c r="I41" i="335"/>
  <c r="H41" i="335"/>
  <c r="G41" i="335"/>
  <c r="E41" i="335"/>
  <c r="K41" i="335" s="1"/>
  <c r="N41" i="335" s="1"/>
  <c r="C41" i="335"/>
  <c r="I40" i="335"/>
  <c r="H40" i="335"/>
  <c r="G40" i="335"/>
  <c r="E40" i="335"/>
  <c r="K40" i="335" s="1"/>
  <c r="C40" i="335"/>
  <c r="I39" i="335"/>
  <c r="H39" i="335"/>
  <c r="G39" i="335"/>
  <c r="E39" i="335"/>
  <c r="K39" i="335" s="1"/>
  <c r="N39" i="335" s="1"/>
  <c r="C39" i="335"/>
  <c r="I38" i="335"/>
  <c r="H38" i="335"/>
  <c r="G38" i="335"/>
  <c r="E38" i="335"/>
  <c r="K38" i="335" s="1"/>
  <c r="C38" i="335"/>
  <c r="I37" i="335"/>
  <c r="H37" i="335"/>
  <c r="G37" i="335"/>
  <c r="E37" i="335"/>
  <c r="K37" i="335" s="1"/>
  <c r="C37" i="335"/>
  <c r="I36" i="335"/>
  <c r="H36" i="335"/>
  <c r="G36" i="335"/>
  <c r="E36" i="335"/>
  <c r="K36" i="335" s="1"/>
  <c r="C36" i="335"/>
  <c r="I35" i="335"/>
  <c r="H35" i="335"/>
  <c r="G35" i="335"/>
  <c r="E35" i="335"/>
  <c r="K35" i="335" s="1"/>
  <c r="C35" i="335"/>
  <c r="I34" i="335"/>
  <c r="H34" i="335"/>
  <c r="G34" i="335"/>
  <c r="E34" i="335"/>
  <c r="K34" i="335" s="1"/>
  <c r="C34" i="335"/>
  <c r="I33" i="335"/>
  <c r="H33" i="335"/>
  <c r="G33" i="335"/>
  <c r="E33" i="335"/>
  <c r="K33" i="335" s="1"/>
  <c r="C33" i="335"/>
  <c r="I32" i="335"/>
  <c r="H32" i="335"/>
  <c r="G32" i="335"/>
  <c r="E32" i="335"/>
  <c r="K32" i="335" s="1"/>
  <c r="N32" i="335" s="1"/>
  <c r="C32" i="335"/>
  <c r="I31" i="335"/>
  <c r="H31" i="335"/>
  <c r="G31" i="335"/>
  <c r="E31" i="335"/>
  <c r="K31" i="335" s="1"/>
  <c r="C31" i="335"/>
  <c r="I30" i="335"/>
  <c r="H30" i="335"/>
  <c r="G30" i="335"/>
  <c r="E30" i="335"/>
  <c r="K30" i="335" s="1"/>
  <c r="C30" i="335"/>
  <c r="I29" i="335"/>
  <c r="H29" i="335"/>
  <c r="G29" i="335"/>
  <c r="E29" i="335"/>
  <c r="K29" i="335" s="1"/>
  <c r="C29" i="335"/>
  <c r="I28" i="335"/>
  <c r="H28" i="335"/>
  <c r="G28" i="335"/>
  <c r="E28" i="335"/>
  <c r="K28" i="335" s="1"/>
  <c r="C28" i="335"/>
  <c r="I27" i="335"/>
  <c r="H27" i="335"/>
  <c r="G27" i="335"/>
  <c r="E27" i="335"/>
  <c r="K27" i="335" s="1"/>
  <c r="C27" i="335"/>
  <c r="I26" i="335"/>
  <c r="H26" i="335"/>
  <c r="G26" i="335"/>
  <c r="E26" i="335"/>
  <c r="K26" i="335" s="1"/>
  <c r="C26" i="335"/>
  <c r="I25" i="335"/>
  <c r="H25" i="335"/>
  <c r="G25" i="335"/>
  <c r="E25" i="335"/>
  <c r="K25" i="335" s="1"/>
  <c r="N25" i="335" s="1"/>
  <c r="C25" i="335"/>
  <c r="I24" i="335"/>
  <c r="H24" i="335"/>
  <c r="G24" i="335"/>
  <c r="E24" i="335"/>
  <c r="K24" i="335" s="1"/>
  <c r="C24" i="335"/>
  <c r="I23" i="335"/>
  <c r="H23" i="335"/>
  <c r="G23" i="335"/>
  <c r="E23" i="335"/>
  <c r="K23" i="335" s="1"/>
  <c r="N23" i="335" s="1"/>
  <c r="C23" i="335"/>
  <c r="I22" i="335"/>
  <c r="H22" i="335"/>
  <c r="G22" i="335"/>
  <c r="E22" i="335"/>
  <c r="K22" i="335" s="1"/>
  <c r="C22" i="335"/>
  <c r="I21" i="335"/>
  <c r="H21" i="335"/>
  <c r="G21" i="335"/>
  <c r="E21" i="335"/>
  <c r="K21" i="335" s="1"/>
  <c r="C21" i="335"/>
  <c r="I20" i="335"/>
  <c r="H20" i="335"/>
  <c r="G20" i="335"/>
  <c r="E20" i="335"/>
  <c r="K20" i="335" s="1"/>
  <c r="C20" i="335"/>
  <c r="I19" i="335"/>
  <c r="H19" i="335"/>
  <c r="G19" i="335"/>
  <c r="E19" i="335"/>
  <c r="K19" i="335" s="1"/>
  <c r="C19" i="335"/>
  <c r="I18" i="335"/>
  <c r="H18" i="335"/>
  <c r="G18" i="335"/>
  <c r="E18" i="335"/>
  <c r="K18" i="335" s="1"/>
  <c r="C18" i="335"/>
  <c r="I17" i="335"/>
  <c r="H17" i="335"/>
  <c r="G17" i="335"/>
  <c r="E17" i="335"/>
  <c r="K17" i="335" s="1"/>
  <c r="C17" i="335"/>
  <c r="I16" i="335"/>
  <c r="H16" i="335"/>
  <c r="G16" i="335"/>
  <c r="E16" i="335"/>
  <c r="K16" i="335" s="1"/>
  <c r="N16" i="335" s="1"/>
  <c r="C16" i="335"/>
  <c r="I15" i="335"/>
  <c r="H15" i="335"/>
  <c r="G15" i="335"/>
  <c r="E15" i="335"/>
  <c r="K15" i="335" s="1"/>
  <c r="N15" i="335" s="1"/>
  <c r="C15" i="335"/>
  <c r="I14" i="335"/>
  <c r="H14" i="335"/>
  <c r="G14" i="335"/>
  <c r="E14" i="335"/>
  <c r="K14" i="335" s="1"/>
  <c r="C14" i="335"/>
  <c r="I13" i="335"/>
  <c r="H13" i="335"/>
  <c r="G13" i="335"/>
  <c r="E13" i="335"/>
  <c r="K13" i="335" s="1"/>
  <c r="C13" i="335"/>
  <c r="I12" i="335"/>
  <c r="H12" i="335"/>
  <c r="G12" i="335"/>
  <c r="E12" i="335"/>
  <c r="K12" i="335" s="1"/>
  <c r="C12" i="335"/>
  <c r="I11" i="335"/>
  <c r="H11" i="335"/>
  <c r="G11" i="335"/>
  <c r="E11" i="335"/>
  <c r="K11" i="335" s="1"/>
  <c r="C11" i="335"/>
  <c r="I10" i="335"/>
  <c r="H10" i="335"/>
  <c r="G10" i="335"/>
  <c r="E10" i="335"/>
  <c r="K10" i="335" s="1"/>
  <c r="C10" i="335"/>
  <c r="I9" i="335"/>
  <c r="H9" i="335"/>
  <c r="G9" i="335"/>
  <c r="E9" i="335"/>
  <c r="K9" i="335" s="1"/>
  <c r="N9" i="335" s="1"/>
  <c r="C9" i="335"/>
  <c r="I8" i="335"/>
  <c r="H8" i="335"/>
  <c r="G8" i="335"/>
  <c r="E8" i="335"/>
  <c r="K8" i="335" s="1"/>
  <c r="C8" i="335"/>
  <c r="I7" i="335"/>
  <c r="H7" i="335"/>
  <c r="G7" i="335"/>
  <c r="E7" i="335"/>
  <c r="K7" i="335" s="1"/>
  <c r="N7" i="335" s="1"/>
  <c r="C7" i="335"/>
  <c r="I6" i="335"/>
  <c r="H6" i="335"/>
  <c r="G6" i="335"/>
  <c r="E6" i="335"/>
  <c r="K6" i="335" s="1"/>
  <c r="C6" i="335"/>
  <c r="I5" i="335"/>
  <c r="H5" i="335"/>
  <c r="G5" i="335"/>
  <c r="E5" i="335"/>
  <c r="C5" i="335"/>
  <c r="D59" i="334"/>
  <c r="H63" i="334" s="1"/>
  <c r="F25" i="181" s="1"/>
  <c r="M45" i="334"/>
  <c r="L45" i="334"/>
  <c r="F45" i="334"/>
  <c r="F63" i="334" s="1"/>
  <c r="D25" i="181" s="1"/>
  <c r="D45" i="334"/>
  <c r="D3" i="334" s="1"/>
  <c r="I44" i="334"/>
  <c r="H44" i="334"/>
  <c r="G44" i="334"/>
  <c r="E44" i="334"/>
  <c r="K44" i="334" s="1"/>
  <c r="O44" i="334" s="1"/>
  <c r="C44" i="334"/>
  <c r="I43" i="334"/>
  <c r="H43" i="334"/>
  <c r="G43" i="334"/>
  <c r="E43" i="334"/>
  <c r="K43" i="334" s="1"/>
  <c r="O43" i="334" s="1"/>
  <c r="C43" i="334"/>
  <c r="I42" i="334"/>
  <c r="H42" i="334"/>
  <c r="G42" i="334"/>
  <c r="E42" i="334"/>
  <c r="K42" i="334" s="1"/>
  <c r="O42" i="334" s="1"/>
  <c r="C42" i="334"/>
  <c r="I41" i="334"/>
  <c r="H41" i="334"/>
  <c r="G41" i="334"/>
  <c r="E41" i="334"/>
  <c r="K41" i="334" s="1"/>
  <c r="N41" i="334" s="1"/>
  <c r="C41" i="334"/>
  <c r="I40" i="334"/>
  <c r="H40" i="334"/>
  <c r="G40" i="334"/>
  <c r="E40" i="334"/>
  <c r="K40" i="334" s="1"/>
  <c r="C40" i="334"/>
  <c r="I39" i="334"/>
  <c r="H39" i="334"/>
  <c r="G39" i="334"/>
  <c r="E39" i="334"/>
  <c r="K39" i="334" s="1"/>
  <c r="N39" i="334" s="1"/>
  <c r="C39" i="334"/>
  <c r="I38" i="334"/>
  <c r="H38" i="334"/>
  <c r="G38" i="334"/>
  <c r="E38" i="334"/>
  <c r="K38" i="334" s="1"/>
  <c r="N38" i="334" s="1"/>
  <c r="C38" i="334"/>
  <c r="I37" i="334"/>
  <c r="H37" i="334"/>
  <c r="G37" i="334"/>
  <c r="E37" i="334"/>
  <c r="K37" i="334" s="1"/>
  <c r="N37" i="334" s="1"/>
  <c r="C37" i="334"/>
  <c r="I36" i="334"/>
  <c r="H36" i="334"/>
  <c r="G36" i="334"/>
  <c r="E36" i="334"/>
  <c r="K36" i="334" s="1"/>
  <c r="N36" i="334" s="1"/>
  <c r="C36" i="334"/>
  <c r="I35" i="334"/>
  <c r="H35" i="334"/>
  <c r="G35" i="334"/>
  <c r="E35" i="334"/>
  <c r="K35" i="334" s="1"/>
  <c r="N35" i="334" s="1"/>
  <c r="C35" i="334"/>
  <c r="I34" i="334"/>
  <c r="H34" i="334"/>
  <c r="G34" i="334"/>
  <c r="E34" i="334"/>
  <c r="K34" i="334" s="1"/>
  <c r="N34" i="334" s="1"/>
  <c r="C34" i="334"/>
  <c r="I33" i="334"/>
  <c r="H33" i="334"/>
  <c r="G33" i="334"/>
  <c r="E33" i="334"/>
  <c r="K33" i="334" s="1"/>
  <c r="N33" i="334" s="1"/>
  <c r="C33" i="334"/>
  <c r="I32" i="334"/>
  <c r="H32" i="334"/>
  <c r="G32" i="334"/>
  <c r="E32" i="334"/>
  <c r="K32" i="334" s="1"/>
  <c r="N32" i="334" s="1"/>
  <c r="C32" i="334"/>
  <c r="I31" i="334"/>
  <c r="H31" i="334"/>
  <c r="G31" i="334"/>
  <c r="E31" i="334"/>
  <c r="K31" i="334" s="1"/>
  <c r="N31" i="334" s="1"/>
  <c r="C31" i="334"/>
  <c r="I30" i="334"/>
  <c r="H30" i="334"/>
  <c r="G30" i="334"/>
  <c r="E30" i="334"/>
  <c r="K30" i="334" s="1"/>
  <c r="N30" i="334" s="1"/>
  <c r="C30" i="334"/>
  <c r="I29" i="334"/>
  <c r="H29" i="334"/>
  <c r="G29" i="334"/>
  <c r="E29" i="334"/>
  <c r="K29" i="334" s="1"/>
  <c r="N29" i="334" s="1"/>
  <c r="C29" i="334"/>
  <c r="I28" i="334"/>
  <c r="H28" i="334"/>
  <c r="G28" i="334"/>
  <c r="E28" i="334"/>
  <c r="K28" i="334" s="1"/>
  <c r="N28" i="334" s="1"/>
  <c r="C28" i="334"/>
  <c r="I27" i="334"/>
  <c r="H27" i="334"/>
  <c r="G27" i="334"/>
  <c r="E27" i="334"/>
  <c r="K27" i="334" s="1"/>
  <c r="C27" i="334"/>
  <c r="I26" i="334"/>
  <c r="H26" i="334"/>
  <c r="G26" i="334"/>
  <c r="E26" i="334"/>
  <c r="K26" i="334" s="1"/>
  <c r="N26" i="334" s="1"/>
  <c r="C26" i="334"/>
  <c r="I25" i="334"/>
  <c r="H25" i="334"/>
  <c r="G25" i="334"/>
  <c r="E25" i="334"/>
  <c r="K25" i="334" s="1"/>
  <c r="N25" i="334" s="1"/>
  <c r="C25" i="334"/>
  <c r="I24" i="334"/>
  <c r="H24" i="334"/>
  <c r="G24" i="334"/>
  <c r="E24" i="334"/>
  <c r="K24" i="334" s="1"/>
  <c r="C24" i="334"/>
  <c r="I23" i="334"/>
  <c r="H23" i="334"/>
  <c r="G23" i="334"/>
  <c r="E23" i="334"/>
  <c r="K23" i="334" s="1"/>
  <c r="N23" i="334" s="1"/>
  <c r="C23" i="334"/>
  <c r="I22" i="334"/>
  <c r="H22" i="334"/>
  <c r="G22" i="334"/>
  <c r="E22" i="334"/>
  <c r="K22" i="334" s="1"/>
  <c r="N22" i="334" s="1"/>
  <c r="C22" i="334"/>
  <c r="I21" i="334"/>
  <c r="H21" i="334"/>
  <c r="G21" i="334"/>
  <c r="E21" i="334"/>
  <c r="K21" i="334" s="1"/>
  <c r="N21" i="334" s="1"/>
  <c r="C21" i="334"/>
  <c r="I20" i="334"/>
  <c r="H20" i="334"/>
  <c r="G20" i="334"/>
  <c r="E20" i="334"/>
  <c r="K20" i="334" s="1"/>
  <c r="N20" i="334" s="1"/>
  <c r="C20" i="334"/>
  <c r="I19" i="334"/>
  <c r="H19" i="334"/>
  <c r="G19" i="334"/>
  <c r="E19" i="334"/>
  <c r="K19" i="334" s="1"/>
  <c r="N19" i="334" s="1"/>
  <c r="C19" i="334"/>
  <c r="I18" i="334"/>
  <c r="H18" i="334"/>
  <c r="G18" i="334"/>
  <c r="E18" i="334"/>
  <c r="K18" i="334" s="1"/>
  <c r="N18" i="334" s="1"/>
  <c r="C18" i="334"/>
  <c r="I17" i="334"/>
  <c r="H17" i="334"/>
  <c r="G17" i="334"/>
  <c r="E17" i="334"/>
  <c r="K17" i="334" s="1"/>
  <c r="N17" i="334" s="1"/>
  <c r="C17" i="334"/>
  <c r="I16" i="334"/>
  <c r="H16" i="334"/>
  <c r="G16" i="334"/>
  <c r="E16" i="334"/>
  <c r="K16" i="334" s="1"/>
  <c r="N16" i="334" s="1"/>
  <c r="C16" i="334"/>
  <c r="I15" i="334"/>
  <c r="H15" i="334"/>
  <c r="G15" i="334"/>
  <c r="E15" i="334"/>
  <c r="K15" i="334" s="1"/>
  <c r="N15" i="334" s="1"/>
  <c r="C15" i="334"/>
  <c r="I14" i="334"/>
  <c r="H14" i="334"/>
  <c r="G14" i="334"/>
  <c r="E14" i="334"/>
  <c r="K14" i="334" s="1"/>
  <c r="N14" i="334" s="1"/>
  <c r="C14" i="334"/>
  <c r="I13" i="334"/>
  <c r="H13" i="334"/>
  <c r="G13" i="334"/>
  <c r="E13" i="334"/>
  <c r="K13" i="334" s="1"/>
  <c r="N13" i="334" s="1"/>
  <c r="C13" i="334"/>
  <c r="I12" i="334"/>
  <c r="H12" i="334"/>
  <c r="G12" i="334"/>
  <c r="E12" i="334"/>
  <c r="K12" i="334" s="1"/>
  <c r="N12" i="334" s="1"/>
  <c r="C12" i="334"/>
  <c r="I11" i="334"/>
  <c r="H11" i="334"/>
  <c r="G11" i="334"/>
  <c r="E11" i="334"/>
  <c r="K11" i="334" s="1"/>
  <c r="C11" i="334"/>
  <c r="I10" i="334"/>
  <c r="H10" i="334"/>
  <c r="G10" i="334"/>
  <c r="E10" i="334"/>
  <c r="K10" i="334" s="1"/>
  <c r="N10" i="334" s="1"/>
  <c r="C10" i="334"/>
  <c r="I9" i="334"/>
  <c r="H9" i="334"/>
  <c r="G9" i="334"/>
  <c r="E9" i="334"/>
  <c r="K9" i="334" s="1"/>
  <c r="N9" i="334" s="1"/>
  <c r="C9" i="334"/>
  <c r="I8" i="334"/>
  <c r="H8" i="334"/>
  <c r="G8" i="334"/>
  <c r="E8" i="334"/>
  <c r="K8" i="334" s="1"/>
  <c r="C8" i="334"/>
  <c r="I7" i="334"/>
  <c r="H7" i="334"/>
  <c r="G7" i="334"/>
  <c r="E7" i="334"/>
  <c r="K7" i="334" s="1"/>
  <c r="N7" i="334" s="1"/>
  <c r="C7" i="334"/>
  <c r="I6" i="334"/>
  <c r="H6" i="334"/>
  <c r="G6" i="334"/>
  <c r="E6" i="334"/>
  <c r="K6" i="334" s="1"/>
  <c r="N6" i="334" s="1"/>
  <c r="C6" i="334"/>
  <c r="I5" i="334"/>
  <c r="H5" i="334"/>
  <c r="G5" i="334"/>
  <c r="E5" i="334"/>
  <c r="K5" i="334" s="1"/>
  <c r="N5" i="334" s="1"/>
  <c r="C5" i="334"/>
  <c r="D59" i="333"/>
  <c r="H63" i="333" s="1"/>
  <c r="F24" i="181" s="1"/>
  <c r="M45" i="333"/>
  <c r="L45" i="333"/>
  <c r="F45" i="333"/>
  <c r="F63" i="333" s="1"/>
  <c r="D24" i="181" s="1"/>
  <c r="D45" i="333"/>
  <c r="D3" i="333" s="1"/>
  <c r="I44" i="333"/>
  <c r="H44" i="333"/>
  <c r="G44" i="333"/>
  <c r="E44" i="333"/>
  <c r="K44" i="333" s="1"/>
  <c r="C44" i="333"/>
  <c r="I43" i="333"/>
  <c r="H43" i="333"/>
  <c r="G43" i="333"/>
  <c r="E43" i="333"/>
  <c r="K43" i="333" s="1"/>
  <c r="C43" i="333"/>
  <c r="I42" i="333"/>
  <c r="H42" i="333"/>
  <c r="G42" i="333"/>
  <c r="E42" i="333"/>
  <c r="K42" i="333" s="1"/>
  <c r="C42" i="333"/>
  <c r="I41" i="333"/>
  <c r="H41" i="333"/>
  <c r="G41" i="333"/>
  <c r="E41" i="333"/>
  <c r="K41" i="333" s="1"/>
  <c r="C41" i="333"/>
  <c r="I40" i="333"/>
  <c r="H40" i="333"/>
  <c r="G40" i="333"/>
  <c r="E40" i="333"/>
  <c r="K40" i="333" s="1"/>
  <c r="C40" i="333"/>
  <c r="I39" i="333"/>
  <c r="H39" i="333"/>
  <c r="G39" i="333"/>
  <c r="E39" i="333"/>
  <c r="K39" i="333" s="1"/>
  <c r="N39" i="333" s="1"/>
  <c r="C39" i="333"/>
  <c r="I38" i="333"/>
  <c r="H38" i="333"/>
  <c r="G38" i="333"/>
  <c r="E38" i="333"/>
  <c r="K38" i="333" s="1"/>
  <c r="C38" i="333"/>
  <c r="I37" i="333"/>
  <c r="H37" i="333"/>
  <c r="G37" i="333"/>
  <c r="E37" i="333"/>
  <c r="K37" i="333" s="1"/>
  <c r="N37" i="333" s="1"/>
  <c r="C37" i="333"/>
  <c r="I36" i="333"/>
  <c r="H36" i="333"/>
  <c r="G36" i="333"/>
  <c r="E36" i="333"/>
  <c r="K36" i="333" s="1"/>
  <c r="C36" i="333"/>
  <c r="I35" i="333"/>
  <c r="H35" i="333"/>
  <c r="G35" i="333"/>
  <c r="E35" i="333"/>
  <c r="K35" i="333" s="1"/>
  <c r="C35" i="333"/>
  <c r="I34" i="333"/>
  <c r="H34" i="333"/>
  <c r="G34" i="333"/>
  <c r="E34" i="333"/>
  <c r="K34" i="333" s="1"/>
  <c r="C34" i="333"/>
  <c r="I33" i="333"/>
  <c r="H33" i="333"/>
  <c r="G33" i="333"/>
  <c r="E33" i="333"/>
  <c r="K33" i="333" s="1"/>
  <c r="C33" i="333"/>
  <c r="I32" i="333"/>
  <c r="H32" i="333"/>
  <c r="G32" i="333"/>
  <c r="E32" i="333"/>
  <c r="K32" i="333" s="1"/>
  <c r="N32" i="333" s="1"/>
  <c r="C32" i="333"/>
  <c r="I31" i="333"/>
  <c r="H31" i="333"/>
  <c r="G31" i="333"/>
  <c r="E31" i="333"/>
  <c r="K31" i="333" s="1"/>
  <c r="N31" i="333" s="1"/>
  <c r="C31" i="333"/>
  <c r="I30" i="333"/>
  <c r="H30" i="333"/>
  <c r="G30" i="333"/>
  <c r="E30" i="333"/>
  <c r="K30" i="333" s="1"/>
  <c r="C30" i="333"/>
  <c r="I29" i="333"/>
  <c r="H29" i="333"/>
  <c r="G29" i="333"/>
  <c r="E29" i="333"/>
  <c r="K29" i="333" s="1"/>
  <c r="N29" i="333" s="1"/>
  <c r="C29" i="333"/>
  <c r="I28" i="333"/>
  <c r="H28" i="333"/>
  <c r="G28" i="333"/>
  <c r="E28" i="333"/>
  <c r="K28" i="333" s="1"/>
  <c r="C28" i="333"/>
  <c r="I27" i="333"/>
  <c r="H27" i="333"/>
  <c r="G27" i="333"/>
  <c r="E27" i="333"/>
  <c r="K27" i="333" s="1"/>
  <c r="C27" i="333"/>
  <c r="I26" i="333"/>
  <c r="H26" i="333"/>
  <c r="G26" i="333"/>
  <c r="E26" i="333"/>
  <c r="K26" i="333" s="1"/>
  <c r="C26" i="333"/>
  <c r="I25" i="333"/>
  <c r="H25" i="333"/>
  <c r="G25" i="333"/>
  <c r="E25" i="333"/>
  <c r="K25" i="333" s="1"/>
  <c r="C25" i="333"/>
  <c r="I24" i="333"/>
  <c r="H24" i="333"/>
  <c r="G24" i="333"/>
  <c r="E24" i="333"/>
  <c r="K24" i="333" s="1"/>
  <c r="N24" i="333" s="1"/>
  <c r="C24" i="333"/>
  <c r="I23" i="333"/>
  <c r="H23" i="333"/>
  <c r="G23" i="333"/>
  <c r="E23" i="333"/>
  <c r="K23" i="333" s="1"/>
  <c r="N23" i="333" s="1"/>
  <c r="C23" i="333"/>
  <c r="I22" i="333"/>
  <c r="H22" i="333"/>
  <c r="G22" i="333"/>
  <c r="E22" i="333"/>
  <c r="K22" i="333" s="1"/>
  <c r="C22" i="333"/>
  <c r="I21" i="333"/>
  <c r="H21" i="333"/>
  <c r="G21" i="333"/>
  <c r="E21" i="333"/>
  <c r="K21" i="333" s="1"/>
  <c r="N21" i="333" s="1"/>
  <c r="C21" i="333"/>
  <c r="I20" i="333"/>
  <c r="H20" i="333"/>
  <c r="G20" i="333"/>
  <c r="E20" i="333"/>
  <c r="K20" i="333" s="1"/>
  <c r="C20" i="333"/>
  <c r="I19" i="333"/>
  <c r="H19" i="333"/>
  <c r="G19" i="333"/>
  <c r="E19" i="333"/>
  <c r="K19" i="333" s="1"/>
  <c r="C19" i="333"/>
  <c r="I18" i="333"/>
  <c r="H18" i="333"/>
  <c r="G18" i="333"/>
  <c r="E18" i="333"/>
  <c r="K18" i="333" s="1"/>
  <c r="C18" i="333"/>
  <c r="I17" i="333"/>
  <c r="H17" i="333"/>
  <c r="G17" i="333"/>
  <c r="E17" i="333"/>
  <c r="K17" i="333" s="1"/>
  <c r="C17" i="333"/>
  <c r="I16" i="333"/>
  <c r="H16" i="333"/>
  <c r="G16" i="333"/>
  <c r="E16" i="333"/>
  <c r="K16" i="333" s="1"/>
  <c r="N16" i="333" s="1"/>
  <c r="C16" i="333"/>
  <c r="I15" i="333"/>
  <c r="H15" i="333"/>
  <c r="G15" i="333"/>
  <c r="E15" i="333"/>
  <c r="K15" i="333" s="1"/>
  <c r="N15" i="333" s="1"/>
  <c r="C15" i="333"/>
  <c r="I14" i="333"/>
  <c r="H14" i="333"/>
  <c r="G14" i="333"/>
  <c r="E14" i="333"/>
  <c r="K14" i="333" s="1"/>
  <c r="N14" i="333" s="1"/>
  <c r="C14" i="333"/>
  <c r="I13" i="333"/>
  <c r="H13" i="333"/>
  <c r="G13" i="333"/>
  <c r="E13" i="333"/>
  <c r="K13" i="333" s="1"/>
  <c r="N13" i="333" s="1"/>
  <c r="C13" i="333"/>
  <c r="I12" i="333"/>
  <c r="H12" i="333"/>
  <c r="G12" i="333"/>
  <c r="E12" i="333"/>
  <c r="K12" i="333" s="1"/>
  <c r="N12" i="333" s="1"/>
  <c r="C12" i="333"/>
  <c r="I11" i="333"/>
  <c r="H11" i="333"/>
  <c r="G11" i="333"/>
  <c r="E11" i="333"/>
  <c r="K11" i="333" s="1"/>
  <c r="N11" i="333" s="1"/>
  <c r="C11" i="333"/>
  <c r="I10" i="333"/>
  <c r="H10" i="333"/>
  <c r="G10" i="333"/>
  <c r="E10" i="333"/>
  <c r="K10" i="333" s="1"/>
  <c r="N10" i="333" s="1"/>
  <c r="C10" i="333"/>
  <c r="I9" i="333"/>
  <c r="H9" i="333"/>
  <c r="G9" i="333"/>
  <c r="E9" i="333"/>
  <c r="K9" i="333" s="1"/>
  <c r="N9" i="333" s="1"/>
  <c r="C9" i="333"/>
  <c r="I8" i="333"/>
  <c r="H8" i="333"/>
  <c r="G8" i="333"/>
  <c r="E8" i="333"/>
  <c r="K8" i="333" s="1"/>
  <c r="N8" i="333" s="1"/>
  <c r="C8" i="333"/>
  <c r="I7" i="333"/>
  <c r="H7" i="333"/>
  <c r="G7" i="333"/>
  <c r="E7" i="333"/>
  <c r="K7" i="333" s="1"/>
  <c r="N7" i="333" s="1"/>
  <c r="C7" i="333"/>
  <c r="I6" i="333"/>
  <c r="H6" i="333"/>
  <c r="G6" i="333"/>
  <c r="E6" i="333"/>
  <c r="K6" i="333" s="1"/>
  <c r="N6" i="333" s="1"/>
  <c r="C6" i="333"/>
  <c r="I5" i="333"/>
  <c r="H5" i="333"/>
  <c r="G5" i="333"/>
  <c r="E5" i="333"/>
  <c r="C5" i="333"/>
  <c r="D59" i="332"/>
  <c r="F23" i="181" s="1"/>
  <c r="M45" i="332"/>
  <c r="L45" i="332"/>
  <c r="F45" i="332"/>
  <c r="F63" i="332" s="1"/>
  <c r="D23" i="181" s="1"/>
  <c r="D45" i="332"/>
  <c r="E63" i="332" s="1"/>
  <c r="I44" i="332"/>
  <c r="H44" i="332"/>
  <c r="G44" i="332"/>
  <c r="E44" i="332"/>
  <c r="K44" i="332" s="1"/>
  <c r="C44" i="332"/>
  <c r="I43" i="332"/>
  <c r="H43" i="332"/>
  <c r="G43" i="332"/>
  <c r="E43" i="332"/>
  <c r="K43" i="332" s="1"/>
  <c r="C43" i="332"/>
  <c r="I42" i="332"/>
  <c r="H42" i="332"/>
  <c r="G42" i="332"/>
  <c r="E42" i="332"/>
  <c r="K42" i="332" s="1"/>
  <c r="C42" i="332"/>
  <c r="I41" i="332"/>
  <c r="H41" i="332"/>
  <c r="G41" i="332"/>
  <c r="E41" i="332"/>
  <c r="K41" i="332" s="1"/>
  <c r="C41" i="332"/>
  <c r="I40" i="332"/>
  <c r="H40" i="332"/>
  <c r="G40" i="332"/>
  <c r="E40" i="332"/>
  <c r="K40" i="332" s="1"/>
  <c r="C40" i="332"/>
  <c r="I39" i="332"/>
  <c r="H39" i="332"/>
  <c r="G39" i="332"/>
  <c r="E39" i="332"/>
  <c r="K39" i="332" s="1"/>
  <c r="C39" i="332"/>
  <c r="I38" i="332"/>
  <c r="H38" i="332"/>
  <c r="G38" i="332"/>
  <c r="E38" i="332"/>
  <c r="K38" i="332" s="1"/>
  <c r="C38" i="332"/>
  <c r="I37" i="332"/>
  <c r="H37" i="332"/>
  <c r="G37" i="332"/>
  <c r="E37" i="332"/>
  <c r="K37" i="332" s="1"/>
  <c r="C37" i="332"/>
  <c r="I36" i="332"/>
  <c r="H36" i="332"/>
  <c r="G36" i="332"/>
  <c r="E36" i="332"/>
  <c r="K36" i="332" s="1"/>
  <c r="C36" i="332"/>
  <c r="I35" i="332"/>
  <c r="H35" i="332"/>
  <c r="G35" i="332"/>
  <c r="E35" i="332"/>
  <c r="K35" i="332" s="1"/>
  <c r="C35" i="332"/>
  <c r="I34" i="332"/>
  <c r="H34" i="332"/>
  <c r="G34" i="332"/>
  <c r="E34" i="332"/>
  <c r="K34" i="332" s="1"/>
  <c r="C34" i="332"/>
  <c r="I33" i="332"/>
  <c r="H33" i="332"/>
  <c r="G33" i="332"/>
  <c r="E33" i="332"/>
  <c r="K33" i="332" s="1"/>
  <c r="C33" i="332"/>
  <c r="I32" i="332"/>
  <c r="H32" i="332"/>
  <c r="G32" i="332"/>
  <c r="E32" i="332"/>
  <c r="K32" i="332" s="1"/>
  <c r="C32" i="332"/>
  <c r="I31" i="332"/>
  <c r="H31" i="332"/>
  <c r="G31" i="332"/>
  <c r="E31" i="332"/>
  <c r="K31" i="332" s="1"/>
  <c r="C31" i="332"/>
  <c r="I30" i="332"/>
  <c r="H30" i="332"/>
  <c r="G30" i="332"/>
  <c r="E30" i="332"/>
  <c r="K30" i="332" s="1"/>
  <c r="C30" i="332"/>
  <c r="I29" i="332"/>
  <c r="H29" i="332"/>
  <c r="G29" i="332"/>
  <c r="E29" i="332"/>
  <c r="K29" i="332" s="1"/>
  <c r="C29" i="332"/>
  <c r="I28" i="332"/>
  <c r="H28" i="332"/>
  <c r="G28" i="332"/>
  <c r="E28" i="332"/>
  <c r="K28" i="332" s="1"/>
  <c r="C28" i="332"/>
  <c r="I27" i="332"/>
  <c r="H27" i="332"/>
  <c r="G27" i="332"/>
  <c r="E27" i="332"/>
  <c r="K27" i="332" s="1"/>
  <c r="C27" i="332"/>
  <c r="I26" i="332"/>
  <c r="H26" i="332"/>
  <c r="G26" i="332"/>
  <c r="E26" i="332"/>
  <c r="K26" i="332" s="1"/>
  <c r="C26" i="332"/>
  <c r="I25" i="332"/>
  <c r="H25" i="332"/>
  <c r="G25" i="332"/>
  <c r="E25" i="332"/>
  <c r="K25" i="332" s="1"/>
  <c r="C25" i="332"/>
  <c r="I24" i="332"/>
  <c r="H24" i="332"/>
  <c r="G24" i="332"/>
  <c r="E24" i="332"/>
  <c r="K24" i="332" s="1"/>
  <c r="C24" i="332"/>
  <c r="I23" i="332"/>
  <c r="H23" i="332"/>
  <c r="G23" i="332"/>
  <c r="E23" i="332"/>
  <c r="K23" i="332" s="1"/>
  <c r="C23" i="332"/>
  <c r="I22" i="332"/>
  <c r="H22" i="332"/>
  <c r="G22" i="332"/>
  <c r="E22" i="332"/>
  <c r="K22" i="332" s="1"/>
  <c r="C22" i="332"/>
  <c r="I21" i="332"/>
  <c r="H21" i="332"/>
  <c r="G21" i="332"/>
  <c r="E21" i="332"/>
  <c r="K21" i="332" s="1"/>
  <c r="C21" i="332"/>
  <c r="I20" i="332"/>
  <c r="H20" i="332"/>
  <c r="G20" i="332"/>
  <c r="E20" i="332"/>
  <c r="K20" i="332" s="1"/>
  <c r="C20" i="332"/>
  <c r="I19" i="332"/>
  <c r="H19" i="332"/>
  <c r="G19" i="332"/>
  <c r="E19" i="332"/>
  <c r="K19" i="332" s="1"/>
  <c r="C19" i="332"/>
  <c r="I18" i="332"/>
  <c r="H18" i="332"/>
  <c r="G18" i="332"/>
  <c r="E18" i="332"/>
  <c r="K18" i="332" s="1"/>
  <c r="C18" i="332"/>
  <c r="I17" i="332"/>
  <c r="H17" i="332"/>
  <c r="G17" i="332"/>
  <c r="E17" i="332"/>
  <c r="K17" i="332" s="1"/>
  <c r="C17" i="332"/>
  <c r="I16" i="332"/>
  <c r="H16" i="332"/>
  <c r="G16" i="332"/>
  <c r="E16" i="332"/>
  <c r="K16" i="332" s="1"/>
  <c r="C16" i="332"/>
  <c r="I15" i="332"/>
  <c r="H15" i="332"/>
  <c r="G15" i="332"/>
  <c r="E15" i="332"/>
  <c r="K15" i="332" s="1"/>
  <c r="C15" i="332"/>
  <c r="I14" i="332"/>
  <c r="H14" i="332"/>
  <c r="G14" i="332"/>
  <c r="E14" i="332"/>
  <c r="K14" i="332" s="1"/>
  <c r="C14" i="332"/>
  <c r="I13" i="332"/>
  <c r="H13" i="332"/>
  <c r="G13" i="332"/>
  <c r="E13" i="332"/>
  <c r="K13" i="332" s="1"/>
  <c r="C13" i="332"/>
  <c r="I12" i="332"/>
  <c r="H12" i="332"/>
  <c r="G12" i="332"/>
  <c r="E12" i="332"/>
  <c r="K12" i="332" s="1"/>
  <c r="C12" i="332"/>
  <c r="I11" i="332"/>
  <c r="H11" i="332"/>
  <c r="G11" i="332"/>
  <c r="E11" i="332"/>
  <c r="K11" i="332" s="1"/>
  <c r="C11" i="332"/>
  <c r="I10" i="332"/>
  <c r="H10" i="332"/>
  <c r="G10" i="332"/>
  <c r="E10" i="332"/>
  <c r="K10" i="332" s="1"/>
  <c r="C10" i="332"/>
  <c r="I9" i="332"/>
  <c r="H9" i="332"/>
  <c r="G9" i="332"/>
  <c r="E9" i="332"/>
  <c r="K9" i="332" s="1"/>
  <c r="C9" i="332"/>
  <c r="I8" i="332"/>
  <c r="H8" i="332"/>
  <c r="G8" i="332"/>
  <c r="E8" i="332"/>
  <c r="K8" i="332" s="1"/>
  <c r="C8" i="332"/>
  <c r="I7" i="332"/>
  <c r="H7" i="332"/>
  <c r="G7" i="332"/>
  <c r="E7" i="332"/>
  <c r="K7" i="332" s="1"/>
  <c r="C7" i="332"/>
  <c r="I6" i="332"/>
  <c r="H6" i="332"/>
  <c r="G6" i="332"/>
  <c r="E6" i="332"/>
  <c r="K6" i="332" s="1"/>
  <c r="C6" i="332"/>
  <c r="I5" i="332"/>
  <c r="H5" i="332"/>
  <c r="G5" i="332"/>
  <c r="E5" i="332"/>
  <c r="C5" i="332"/>
  <c r="D59" i="331"/>
  <c r="H63" i="331" s="1"/>
  <c r="F22" i="181" s="1"/>
  <c r="M45" i="331"/>
  <c r="L45" i="331"/>
  <c r="F45" i="331"/>
  <c r="F63" i="331" s="1"/>
  <c r="D22" i="181" s="1"/>
  <c r="D45" i="331"/>
  <c r="E63" i="331" s="1"/>
  <c r="C22" i="181" s="1"/>
  <c r="I44" i="331"/>
  <c r="H44" i="331"/>
  <c r="G44" i="331"/>
  <c r="E44" i="331"/>
  <c r="K44" i="331" s="1"/>
  <c r="C44" i="331"/>
  <c r="I43" i="331"/>
  <c r="H43" i="331"/>
  <c r="G43" i="331"/>
  <c r="E43" i="331"/>
  <c r="K43" i="331" s="1"/>
  <c r="O43" i="331" s="1"/>
  <c r="C43" i="331"/>
  <c r="I42" i="331"/>
  <c r="H42" i="331"/>
  <c r="G42" i="331"/>
  <c r="E42" i="331"/>
  <c r="K42" i="331" s="1"/>
  <c r="C42" i="331"/>
  <c r="I41" i="331"/>
  <c r="H41" i="331"/>
  <c r="G41" i="331"/>
  <c r="E41" i="331"/>
  <c r="K41" i="331" s="1"/>
  <c r="O41" i="331" s="1"/>
  <c r="C41" i="331"/>
  <c r="I40" i="331"/>
  <c r="H40" i="331"/>
  <c r="G40" i="331"/>
  <c r="E40" i="331"/>
  <c r="K40" i="331" s="1"/>
  <c r="C40" i="331"/>
  <c r="I39" i="331"/>
  <c r="H39" i="331"/>
  <c r="G39" i="331"/>
  <c r="E39" i="331"/>
  <c r="K39" i="331" s="1"/>
  <c r="C39" i="331"/>
  <c r="I38" i="331"/>
  <c r="H38" i="331"/>
  <c r="G38" i="331"/>
  <c r="E38" i="331"/>
  <c r="K38" i="331" s="1"/>
  <c r="C38" i="331"/>
  <c r="I37" i="331"/>
  <c r="H37" i="331"/>
  <c r="G37" i="331"/>
  <c r="E37" i="331"/>
  <c r="K37" i="331" s="1"/>
  <c r="O37" i="331" s="1"/>
  <c r="C37" i="331"/>
  <c r="I36" i="331"/>
  <c r="H36" i="331"/>
  <c r="G36" i="331"/>
  <c r="E36" i="331"/>
  <c r="K36" i="331" s="1"/>
  <c r="C36" i="331"/>
  <c r="I35" i="331"/>
  <c r="H35" i="331"/>
  <c r="G35" i="331"/>
  <c r="E35" i="331"/>
  <c r="K35" i="331" s="1"/>
  <c r="O35" i="331" s="1"/>
  <c r="C35" i="331"/>
  <c r="I34" i="331"/>
  <c r="H34" i="331"/>
  <c r="G34" i="331"/>
  <c r="E34" i="331"/>
  <c r="K34" i="331" s="1"/>
  <c r="O34" i="331" s="1"/>
  <c r="C34" i="331"/>
  <c r="I33" i="331"/>
  <c r="H33" i="331"/>
  <c r="G33" i="331"/>
  <c r="E33" i="331"/>
  <c r="K33" i="331" s="1"/>
  <c r="O33" i="331" s="1"/>
  <c r="C33" i="331"/>
  <c r="I32" i="331"/>
  <c r="H32" i="331"/>
  <c r="G32" i="331"/>
  <c r="E32" i="331"/>
  <c r="K32" i="331" s="1"/>
  <c r="C32" i="331"/>
  <c r="I31" i="331"/>
  <c r="H31" i="331"/>
  <c r="G31" i="331"/>
  <c r="E31" i="331"/>
  <c r="K31" i="331" s="1"/>
  <c r="C31" i="331"/>
  <c r="I30" i="331"/>
  <c r="H30" i="331"/>
  <c r="G30" i="331"/>
  <c r="E30" i="331"/>
  <c r="K30" i="331" s="1"/>
  <c r="C30" i="331"/>
  <c r="I29" i="331"/>
  <c r="H29" i="331"/>
  <c r="G29" i="331"/>
  <c r="E29" i="331"/>
  <c r="K29" i="331" s="1"/>
  <c r="O29" i="331" s="1"/>
  <c r="C29" i="331"/>
  <c r="I28" i="331"/>
  <c r="H28" i="331"/>
  <c r="G28" i="331"/>
  <c r="E28" i="331"/>
  <c r="K28" i="331" s="1"/>
  <c r="C28" i="331"/>
  <c r="I27" i="331"/>
  <c r="H27" i="331"/>
  <c r="G27" i="331"/>
  <c r="E27" i="331"/>
  <c r="K27" i="331" s="1"/>
  <c r="O27" i="331" s="1"/>
  <c r="C27" i="331"/>
  <c r="I26" i="331"/>
  <c r="H26" i="331"/>
  <c r="G26" i="331"/>
  <c r="E26" i="331"/>
  <c r="K26" i="331" s="1"/>
  <c r="O26" i="331" s="1"/>
  <c r="C26" i="331"/>
  <c r="I25" i="331"/>
  <c r="H25" i="331"/>
  <c r="G25" i="331"/>
  <c r="E25" i="331"/>
  <c r="K25" i="331" s="1"/>
  <c r="C25" i="331"/>
  <c r="I24" i="331"/>
  <c r="H24" i="331"/>
  <c r="G24" i="331"/>
  <c r="E24" i="331"/>
  <c r="K24" i="331" s="1"/>
  <c r="C24" i="331"/>
  <c r="I23" i="331"/>
  <c r="H23" i="331"/>
  <c r="G23" i="331"/>
  <c r="E23" i="331"/>
  <c r="K23" i="331" s="1"/>
  <c r="C23" i="331"/>
  <c r="I22" i="331"/>
  <c r="H22" i="331"/>
  <c r="G22" i="331"/>
  <c r="E22" i="331"/>
  <c r="K22" i="331" s="1"/>
  <c r="C22" i="331"/>
  <c r="I21" i="331"/>
  <c r="H21" i="331"/>
  <c r="G21" i="331"/>
  <c r="E21" i="331"/>
  <c r="K21" i="331" s="1"/>
  <c r="O21" i="331" s="1"/>
  <c r="C21" i="331"/>
  <c r="I20" i="331"/>
  <c r="H20" i="331"/>
  <c r="G20" i="331"/>
  <c r="E20" i="331"/>
  <c r="K20" i="331" s="1"/>
  <c r="C20" i="331"/>
  <c r="I19" i="331"/>
  <c r="H19" i="331"/>
  <c r="G19" i="331"/>
  <c r="E19" i="331"/>
  <c r="K19" i="331" s="1"/>
  <c r="O19" i="331" s="1"/>
  <c r="C19" i="331"/>
  <c r="I18" i="331"/>
  <c r="H18" i="331"/>
  <c r="G18" i="331"/>
  <c r="E18" i="331"/>
  <c r="K18" i="331" s="1"/>
  <c r="O18" i="331" s="1"/>
  <c r="C18" i="331"/>
  <c r="I17" i="331"/>
  <c r="H17" i="331"/>
  <c r="G17" i="331"/>
  <c r="E17" i="331"/>
  <c r="K17" i="331" s="1"/>
  <c r="C17" i="331"/>
  <c r="I16" i="331"/>
  <c r="H16" i="331"/>
  <c r="G16" i="331"/>
  <c r="E16" i="331"/>
  <c r="K16" i="331" s="1"/>
  <c r="C16" i="331"/>
  <c r="I15" i="331"/>
  <c r="H15" i="331"/>
  <c r="G15" i="331"/>
  <c r="E15" i="331"/>
  <c r="K15" i="331" s="1"/>
  <c r="O15" i="331" s="1"/>
  <c r="C15" i="331"/>
  <c r="I14" i="331"/>
  <c r="H14" i="331"/>
  <c r="G14" i="331"/>
  <c r="E14" i="331"/>
  <c r="K14" i="331" s="1"/>
  <c r="C14" i="331"/>
  <c r="I13" i="331"/>
  <c r="H13" i="331"/>
  <c r="G13" i="331"/>
  <c r="E13" i="331"/>
  <c r="K13" i="331" s="1"/>
  <c r="O13" i="331" s="1"/>
  <c r="C13" i="331"/>
  <c r="I12" i="331"/>
  <c r="H12" i="331"/>
  <c r="G12" i="331"/>
  <c r="E12" i="331"/>
  <c r="K12" i="331" s="1"/>
  <c r="C12" i="331"/>
  <c r="I11" i="331"/>
  <c r="H11" i="331"/>
  <c r="G11" i="331"/>
  <c r="E11" i="331"/>
  <c r="K11" i="331" s="1"/>
  <c r="O11" i="331" s="1"/>
  <c r="C11" i="331"/>
  <c r="I10" i="331"/>
  <c r="H10" i="331"/>
  <c r="G10" i="331"/>
  <c r="E10" i="331"/>
  <c r="K10" i="331" s="1"/>
  <c r="O10" i="331" s="1"/>
  <c r="C10" i="331"/>
  <c r="I9" i="331"/>
  <c r="H9" i="331"/>
  <c r="G9" i="331"/>
  <c r="E9" i="331"/>
  <c r="K9" i="331" s="1"/>
  <c r="O9" i="331" s="1"/>
  <c r="C9" i="331"/>
  <c r="I8" i="331"/>
  <c r="H8" i="331"/>
  <c r="G8" i="331"/>
  <c r="E8" i="331"/>
  <c r="K8" i="331" s="1"/>
  <c r="C8" i="331"/>
  <c r="I7" i="331"/>
  <c r="H7" i="331"/>
  <c r="G7" i="331"/>
  <c r="E7" i="331"/>
  <c r="K7" i="331" s="1"/>
  <c r="O7" i="331" s="1"/>
  <c r="C7" i="331"/>
  <c r="I6" i="331"/>
  <c r="H6" i="331"/>
  <c r="G6" i="331"/>
  <c r="E6" i="331"/>
  <c r="K6" i="331" s="1"/>
  <c r="C6" i="331"/>
  <c r="I5" i="331"/>
  <c r="H5" i="331"/>
  <c r="G5" i="331"/>
  <c r="E5" i="331"/>
  <c r="C5" i="331"/>
  <c r="D59" i="330"/>
  <c r="H63" i="330" s="1"/>
  <c r="F21" i="181" s="1"/>
  <c r="M45" i="330"/>
  <c r="L45" i="330"/>
  <c r="F45" i="330"/>
  <c r="F63" i="330" s="1"/>
  <c r="D21" i="181" s="1"/>
  <c r="D45" i="330"/>
  <c r="D3" i="330" s="1"/>
  <c r="I44" i="330"/>
  <c r="H44" i="330"/>
  <c r="G44" i="330"/>
  <c r="E44" i="330"/>
  <c r="K44" i="330" s="1"/>
  <c r="O44" i="330" s="1"/>
  <c r="C44" i="330"/>
  <c r="I43" i="330"/>
  <c r="H43" i="330"/>
  <c r="G43" i="330"/>
  <c r="E43" i="330"/>
  <c r="K43" i="330" s="1"/>
  <c r="O43" i="330" s="1"/>
  <c r="C43" i="330"/>
  <c r="I42" i="330"/>
  <c r="H42" i="330"/>
  <c r="G42" i="330"/>
  <c r="E42" i="330"/>
  <c r="K42" i="330" s="1"/>
  <c r="N42" i="330" s="1"/>
  <c r="C42" i="330"/>
  <c r="I41" i="330"/>
  <c r="H41" i="330"/>
  <c r="G41" i="330"/>
  <c r="E41" i="330"/>
  <c r="K41" i="330" s="1"/>
  <c r="O41" i="330" s="1"/>
  <c r="C41" i="330"/>
  <c r="I40" i="330"/>
  <c r="H40" i="330"/>
  <c r="G40" i="330"/>
  <c r="E40" i="330"/>
  <c r="K40" i="330" s="1"/>
  <c r="O40" i="330" s="1"/>
  <c r="C40" i="330"/>
  <c r="I39" i="330"/>
  <c r="H39" i="330"/>
  <c r="G39" i="330"/>
  <c r="E39" i="330"/>
  <c r="K39" i="330" s="1"/>
  <c r="O39" i="330" s="1"/>
  <c r="C39" i="330"/>
  <c r="I38" i="330"/>
  <c r="H38" i="330"/>
  <c r="G38" i="330"/>
  <c r="E38" i="330"/>
  <c r="K38" i="330" s="1"/>
  <c r="N38" i="330" s="1"/>
  <c r="C38" i="330"/>
  <c r="I37" i="330"/>
  <c r="H37" i="330"/>
  <c r="G37" i="330"/>
  <c r="E37" i="330"/>
  <c r="K37" i="330" s="1"/>
  <c r="N37" i="330" s="1"/>
  <c r="C37" i="330"/>
  <c r="I36" i="330"/>
  <c r="H36" i="330"/>
  <c r="G36" i="330"/>
  <c r="E36" i="330"/>
  <c r="K36" i="330" s="1"/>
  <c r="O36" i="330" s="1"/>
  <c r="C36" i="330"/>
  <c r="I35" i="330"/>
  <c r="H35" i="330"/>
  <c r="G35" i="330"/>
  <c r="E35" i="330"/>
  <c r="K35" i="330" s="1"/>
  <c r="O35" i="330" s="1"/>
  <c r="C35" i="330"/>
  <c r="I34" i="330"/>
  <c r="H34" i="330"/>
  <c r="G34" i="330"/>
  <c r="E34" i="330"/>
  <c r="K34" i="330" s="1"/>
  <c r="N34" i="330" s="1"/>
  <c r="C34" i="330"/>
  <c r="I33" i="330"/>
  <c r="H33" i="330"/>
  <c r="G33" i="330"/>
  <c r="E33" i="330"/>
  <c r="K33" i="330" s="1"/>
  <c r="O33" i="330" s="1"/>
  <c r="C33" i="330"/>
  <c r="I32" i="330"/>
  <c r="H32" i="330"/>
  <c r="G32" i="330"/>
  <c r="E32" i="330"/>
  <c r="K32" i="330" s="1"/>
  <c r="O32" i="330" s="1"/>
  <c r="C32" i="330"/>
  <c r="I31" i="330"/>
  <c r="H31" i="330"/>
  <c r="G31" i="330"/>
  <c r="E31" i="330"/>
  <c r="K31" i="330" s="1"/>
  <c r="O31" i="330" s="1"/>
  <c r="C31" i="330"/>
  <c r="I30" i="330"/>
  <c r="H30" i="330"/>
  <c r="G30" i="330"/>
  <c r="E30" i="330"/>
  <c r="K30" i="330" s="1"/>
  <c r="N30" i="330" s="1"/>
  <c r="C30" i="330"/>
  <c r="I29" i="330"/>
  <c r="H29" i="330"/>
  <c r="G29" i="330"/>
  <c r="E29" i="330"/>
  <c r="K29" i="330" s="1"/>
  <c r="N29" i="330" s="1"/>
  <c r="C29" i="330"/>
  <c r="I28" i="330"/>
  <c r="H28" i="330"/>
  <c r="G28" i="330"/>
  <c r="E28" i="330"/>
  <c r="K28" i="330" s="1"/>
  <c r="O28" i="330" s="1"/>
  <c r="C28" i="330"/>
  <c r="I27" i="330"/>
  <c r="H27" i="330"/>
  <c r="G27" i="330"/>
  <c r="E27" i="330"/>
  <c r="K27" i="330" s="1"/>
  <c r="O27" i="330" s="1"/>
  <c r="C27" i="330"/>
  <c r="I26" i="330"/>
  <c r="H26" i="330"/>
  <c r="G26" i="330"/>
  <c r="E26" i="330"/>
  <c r="K26" i="330" s="1"/>
  <c r="N26" i="330" s="1"/>
  <c r="C26" i="330"/>
  <c r="I25" i="330"/>
  <c r="H25" i="330"/>
  <c r="G25" i="330"/>
  <c r="E25" i="330"/>
  <c r="K25" i="330" s="1"/>
  <c r="O25" i="330" s="1"/>
  <c r="C25" i="330"/>
  <c r="I24" i="330"/>
  <c r="H24" i="330"/>
  <c r="G24" i="330"/>
  <c r="E24" i="330"/>
  <c r="K24" i="330" s="1"/>
  <c r="O24" i="330" s="1"/>
  <c r="C24" i="330"/>
  <c r="I23" i="330"/>
  <c r="H23" i="330"/>
  <c r="G23" i="330"/>
  <c r="E23" i="330"/>
  <c r="K23" i="330" s="1"/>
  <c r="O23" i="330" s="1"/>
  <c r="C23" i="330"/>
  <c r="I22" i="330"/>
  <c r="H22" i="330"/>
  <c r="G22" i="330"/>
  <c r="E22" i="330"/>
  <c r="K22" i="330" s="1"/>
  <c r="N22" i="330" s="1"/>
  <c r="C22" i="330"/>
  <c r="I21" i="330"/>
  <c r="H21" i="330"/>
  <c r="G21" i="330"/>
  <c r="E21" i="330"/>
  <c r="K21" i="330" s="1"/>
  <c r="N21" i="330" s="1"/>
  <c r="C21" i="330"/>
  <c r="I20" i="330"/>
  <c r="H20" i="330"/>
  <c r="G20" i="330"/>
  <c r="E20" i="330"/>
  <c r="K20" i="330" s="1"/>
  <c r="O20" i="330" s="1"/>
  <c r="C20" i="330"/>
  <c r="I19" i="330"/>
  <c r="H19" i="330"/>
  <c r="G19" i="330"/>
  <c r="E19" i="330"/>
  <c r="K19" i="330" s="1"/>
  <c r="O19" i="330" s="1"/>
  <c r="C19" i="330"/>
  <c r="I18" i="330"/>
  <c r="H18" i="330"/>
  <c r="G18" i="330"/>
  <c r="E18" i="330"/>
  <c r="K18" i="330" s="1"/>
  <c r="N18" i="330" s="1"/>
  <c r="C18" i="330"/>
  <c r="I17" i="330"/>
  <c r="H17" i="330"/>
  <c r="G17" i="330"/>
  <c r="E17" i="330"/>
  <c r="K17" i="330" s="1"/>
  <c r="O17" i="330" s="1"/>
  <c r="C17" i="330"/>
  <c r="I16" i="330"/>
  <c r="H16" i="330"/>
  <c r="G16" i="330"/>
  <c r="E16" i="330"/>
  <c r="K16" i="330" s="1"/>
  <c r="O16" i="330" s="1"/>
  <c r="C16" i="330"/>
  <c r="I15" i="330"/>
  <c r="H15" i="330"/>
  <c r="G15" i="330"/>
  <c r="E15" i="330"/>
  <c r="K15" i="330" s="1"/>
  <c r="O15" i="330" s="1"/>
  <c r="C15" i="330"/>
  <c r="I14" i="330"/>
  <c r="H14" i="330"/>
  <c r="G14" i="330"/>
  <c r="E14" i="330"/>
  <c r="K14" i="330" s="1"/>
  <c r="N14" i="330" s="1"/>
  <c r="C14" i="330"/>
  <c r="I13" i="330"/>
  <c r="H13" i="330"/>
  <c r="G13" i="330"/>
  <c r="E13" i="330"/>
  <c r="K13" i="330" s="1"/>
  <c r="N13" i="330" s="1"/>
  <c r="C13" i="330"/>
  <c r="I12" i="330"/>
  <c r="H12" i="330"/>
  <c r="G12" i="330"/>
  <c r="E12" i="330"/>
  <c r="K12" i="330" s="1"/>
  <c r="O12" i="330" s="1"/>
  <c r="C12" i="330"/>
  <c r="I11" i="330"/>
  <c r="H11" i="330"/>
  <c r="G11" i="330"/>
  <c r="E11" i="330"/>
  <c r="K11" i="330" s="1"/>
  <c r="O11" i="330" s="1"/>
  <c r="C11" i="330"/>
  <c r="I10" i="330"/>
  <c r="H10" i="330"/>
  <c r="G10" i="330"/>
  <c r="E10" i="330"/>
  <c r="K10" i="330" s="1"/>
  <c r="N10" i="330" s="1"/>
  <c r="C10" i="330"/>
  <c r="I9" i="330"/>
  <c r="H9" i="330"/>
  <c r="G9" i="330"/>
  <c r="E9" i="330"/>
  <c r="K9" i="330" s="1"/>
  <c r="O9" i="330" s="1"/>
  <c r="C9" i="330"/>
  <c r="I8" i="330"/>
  <c r="H8" i="330"/>
  <c r="G8" i="330"/>
  <c r="E8" i="330"/>
  <c r="K8" i="330" s="1"/>
  <c r="O8" i="330" s="1"/>
  <c r="C8" i="330"/>
  <c r="I7" i="330"/>
  <c r="H7" i="330"/>
  <c r="G7" i="330"/>
  <c r="E7" i="330"/>
  <c r="K7" i="330" s="1"/>
  <c r="O7" i="330" s="1"/>
  <c r="C7" i="330"/>
  <c r="I6" i="330"/>
  <c r="H6" i="330"/>
  <c r="G6" i="330"/>
  <c r="E6" i="330"/>
  <c r="K6" i="330" s="1"/>
  <c r="O6" i="330" s="1"/>
  <c r="C6" i="330"/>
  <c r="I5" i="330"/>
  <c r="H5" i="330"/>
  <c r="G5" i="330"/>
  <c r="E5" i="330"/>
  <c r="K5" i="330" s="1"/>
  <c r="O5" i="330" s="1"/>
  <c r="C5" i="330"/>
  <c r="D59" i="329"/>
  <c r="H63" i="329" s="1"/>
  <c r="F20" i="181" s="1"/>
  <c r="M45" i="329"/>
  <c r="L45" i="329"/>
  <c r="F45" i="329"/>
  <c r="D45" i="329"/>
  <c r="E63" i="329" s="1"/>
  <c r="C20" i="181" s="1"/>
  <c r="I44" i="329"/>
  <c r="H44" i="329"/>
  <c r="G44" i="329"/>
  <c r="E44" i="329"/>
  <c r="K44" i="329" s="1"/>
  <c r="C44" i="329"/>
  <c r="I43" i="329"/>
  <c r="H43" i="329"/>
  <c r="G43" i="329"/>
  <c r="E43" i="329"/>
  <c r="K43" i="329" s="1"/>
  <c r="C43" i="329"/>
  <c r="I42" i="329"/>
  <c r="H42" i="329"/>
  <c r="G42" i="329"/>
  <c r="E42" i="329"/>
  <c r="K42" i="329" s="1"/>
  <c r="C42" i="329"/>
  <c r="I41" i="329"/>
  <c r="H41" i="329"/>
  <c r="G41" i="329"/>
  <c r="E41" i="329"/>
  <c r="K41" i="329" s="1"/>
  <c r="C41" i="329"/>
  <c r="I40" i="329"/>
  <c r="H40" i="329"/>
  <c r="G40" i="329"/>
  <c r="E40" i="329"/>
  <c r="K40" i="329" s="1"/>
  <c r="C40" i="329"/>
  <c r="I39" i="329"/>
  <c r="H39" i="329"/>
  <c r="G39" i="329"/>
  <c r="E39" i="329"/>
  <c r="K39" i="329" s="1"/>
  <c r="C39" i="329"/>
  <c r="I38" i="329"/>
  <c r="H38" i="329"/>
  <c r="G38" i="329"/>
  <c r="E38" i="329"/>
  <c r="K38" i="329" s="1"/>
  <c r="C38" i="329"/>
  <c r="I37" i="329"/>
  <c r="H37" i="329"/>
  <c r="G37" i="329"/>
  <c r="E37" i="329"/>
  <c r="K37" i="329" s="1"/>
  <c r="C37" i="329"/>
  <c r="I36" i="329"/>
  <c r="H36" i="329"/>
  <c r="G36" i="329"/>
  <c r="E36" i="329"/>
  <c r="K36" i="329" s="1"/>
  <c r="C36" i="329"/>
  <c r="I35" i="329"/>
  <c r="H35" i="329"/>
  <c r="G35" i="329"/>
  <c r="E35" i="329"/>
  <c r="K35" i="329" s="1"/>
  <c r="C35" i="329"/>
  <c r="I34" i="329"/>
  <c r="H34" i="329"/>
  <c r="G34" i="329"/>
  <c r="E34" i="329"/>
  <c r="K34" i="329" s="1"/>
  <c r="C34" i="329"/>
  <c r="I33" i="329"/>
  <c r="H33" i="329"/>
  <c r="G33" i="329"/>
  <c r="E33" i="329"/>
  <c r="K33" i="329" s="1"/>
  <c r="C33" i="329"/>
  <c r="I32" i="329"/>
  <c r="H32" i="329"/>
  <c r="G32" i="329"/>
  <c r="E32" i="329"/>
  <c r="K32" i="329" s="1"/>
  <c r="C32" i="329"/>
  <c r="I31" i="329"/>
  <c r="H31" i="329"/>
  <c r="G31" i="329"/>
  <c r="E31" i="329"/>
  <c r="K31" i="329" s="1"/>
  <c r="C31" i="329"/>
  <c r="I30" i="329"/>
  <c r="H30" i="329"/>
  <c r="G30" i="329"/>
  <c r="E30" i="329"/>
  <c r="K30" i="329" s="1"/>
  <c r="C30" i="329"/>
  <c r="I29" i="329"/>
  <c r="H29" i="329"/>
  <c r="G29" i="329"/>
  <c r="E29" i="329"/>
  <c r="K29" i="329" s="1"/>
  <c r="C29" i="329"/>
  <c r="I28" i="329"/>
  <c r="H28" i="329"/>
  <c r="G28" i="329"/>
  <c r="E28" i="329"/>
  <c r="K28" i="329" s="1"/>
  <c r="C28" i="329"/>
  <c r="I27" i="329"/>
  <c r="H27" i="329"/>
  <c r="G27" i="329"/>
  <c r="E27" i="329"/>
  <c r="K27" i="329" s="1"/>
  <c r="C27" i="329"/>
  <c r="I26" i="329"/>
  <c r="H26" i="329"/>
  <c r="G26" i="329"/>
  <c r="E26" i="329"/>
  <c r="K26" i="329" s="1"/>
  <c r="C26" i="329"/>
  <c r="I25" i="329"/>
  <c r="H25" i="329"/>
  <c r="G25" i="329"/>
  <c r="E25" i="329"/>
  <c r="K25" i="329" s="1"/>
  <c r="C25" i="329"/>
  <c r="I24" i="329"/>
  <c r="H24" i="329"/>
  <c r="G24" i="329"/>
  <c r="E24" i="329"/>
  <c r="K24" i="329" s="1"/>
  <c r="C24" i="329"/>
  <c r="I23" i="329"/>
  <c r="H23" i="329"/>
  <c r="G23" i="329"/>
  <c r="E23" i="329"/>
  <c r="K23" i="329" s="1"/>
  <c r="C23" i="329"/>
  <c r="I22" i="329"/>
  <c r="H22" i="329"/>
  <c r="G22" i="329"/>
  <c r="E22" i="329"/>
  <c r="K22" i="329" s="1"/>
  <c r="C22" i="329"/>
  <c r="I21" i="329"/>
  <c r="H21" i="329"/>
  <c r="G21" i="329"/>
  <c r="E21" i="329"/>
  <c r="K21" i="329" s="1"/>
  <c r="C21" i="329"/>
  <c r="I20" i="329"/>
  <c r="H20" i="329"/>
  <c r="G20" i="329"/>
  <c r="E20" i="329"/>
  <c r="K20" i="329" s="1"/>
  <c r="C20" i="329"/>
  <c r="I19" i="329"/>
  <c r="H19" i="329"/>
  <c r="G19" i="329"/>
  <c r="E19" i="329"/>
  <c r="K19" i="329" s="1"/>
  <c r="C19" i="329"/>
  <c r="I18" i="329"/>
  <c r="H18" i="329"/>
  <c r="G18" i="329"/>
  <c r="E18" i="329"/>
  <c r="K18" i="329" s="1"/>
  <c r="C18" i="329"/>
  <c r="I17" i="329"/>
  <c r="H17" i="329"/>
  <c r="G17" i="329"/>
  <c r="E17" i="329"/>
  <c r="K17" i="329" s="1"/>
  <c r="C17" i="329"/>
  <c r="I16" i="329"/>
  <c r="H16" i="329"/>
  <c r="G16" i="329"/>
  <c r="E16" i="329"/>
  <c r="K16" i="329" s="1"/>
  <c r="C16" i="329"/>
  <c r="I15" i="329"/>
  <c r="H15" i="329"/>
  <c r="G15" i="329"/>
  <c r="E15" i="329"/>
  <c r="K15" i="329" s="1"/>
  <c r="C15" i="329"/>
  <c r="I14" i="329"/>
  <c r="H14" i="329"/>
  <c r="G14" i="329"/>
  <c r="E14" i="329"/>
  <c r="K14" i="329" s="1"/>
  <c r="C14" i="329"/>
  <c r="I13" i="329"/>
  <c r="H13" i="329"/>
  <c r="G13" i="329"/>
  <c r="E13" i="329"/>
  <c r="K13" i="329" s="1"/>
  <c r="C13" i="329"/>
  <c r="I12" i="329"/>
  <c r="H12" i="329"/>
  <c r="G12" i="329"/>
  <c r="E12" i="329"/>
  <c r="K12" i="329" s="1"/>
  <c r="C12" i="329"/>
  <c r="I11" i="329"/>
  <c r="H11" i="329"/>
  <c r="G11" i="329"/>
  <c r="E11" i="329"/>
  <c r="K11" i="329" s="1"/>
  <c r="C11" i="329"/>
  <c r="I10" i="329"/>
  <c r="H10" i="329"/>
  <c r="G10" i="329"/>
  <c r="E10" i="329"/>
  <c r="K10" i="329" s="1"/>
  <c r="C10" i="329"/>
  <c r="I9" i="329"/>
  <c r="H9" i="329"/>
  <c r="G9" i="329"/>
  <c r="E9" i="329"/>
  <c r="K9" i="329" s="1"/>
  <c r="C9" i="329"/>
  <c r="I8" i="329"/>
  <c r="H8" i="329"/>
  <c r="G8" i="329"/>
  <c r="E8" i="329"/>
  <c r="K8" i="329" s="1"/>
  <c r="C8" i="329"/>
  <c r="I7" i="329"/>
  <c r="H7" i="329"/>
  <c r="G7" i="329"/>
  <c r="E7" i="329"/>
  <c r="K7" i="329" s="1"/>
  <c r="C7" i="329"/>
  <c r="I6" i="329"/>
  <c r="H6" i="329"/>
  <c r="G6" i="329"/>
  <c r="E6" i="329"/>
  <c r="K6" i="329" s="1"/>
  <c r="C6" i="329"/>
  <c r="I5" i="329"/>
  <c r="H5" i="329"/>
  <c r="G5" i="329"/>
  <c r="E5" i="329"/>
  <c r="K5" i="329" s="1"/>
  <c r="C5" i="329"/>
  <c r="D59" i="328"/>
  <c r="H63" i="328" s="1"/>
  <c r="F19" i="181" s="1"/>
  <c r="M45" i="328"/>
  <c r="L45" i="328"/>
  <c r="F45" i="328"/>
  <c r="F63" i="328" s="1"/>
  <c r="D19" i="181" s="1"/>
  <c r="D45" i="328"/>
  <c r="E63" i="328" s="1"/>
  <c r="C19" i="181" s="1"/>
  <c r="I44" i="328"/>
  <c r="H44" i="328"/>
  <c r="G44" i="328"/>
  <c r="E44" i="328"/>
  <c r="K44" i="328" s="1"/>
  <c r="C44" i="328"/>
  <c r="I43" i="328"/>
  <c r="H43" i="328"/>
  <c r="G43" i="328"/>
  <c r="E43" i="328"/>
  <c r="K43" i="328" s="1"/>
  <c r="N43" i="328" s="1"/>
  <c r="C43" i="328"/>
  <c r="I42" i="328"/>
  <c r="H42" i="328"/>
  <c r="G42" i="328"/>
  <c r="E42" i="328"/>
  <c r="K42" i="328" s="1"/>
  <c r="C42" i="328"/>
  <c r="I41" i="328"/>
  <c r="H41" i="328"/>
  <c r="G41" i="328"/>
  <c r="E41" i="328"/>
  <c r="K41" i="328" s="1"/>
  <c r="C41" i="328"/>
  <c r="I40" i="328"/>
  <c r="H40" i="328"/>
  <c r="G40" i="328"/>
  <c r="E40" i="328"/>
  <c r="K40" i="328" s="1"/>
  <c r="N40" i="328" s="1"/>
  <c r="C40" i="328"/>
  <c r="I39" i="328"/>
  <c r="H39" i="328"/>
  <c r="G39" i="328"/>
  <c r="E39" i="328"/>
  <c r="K39" i="328" s="1"/>
  <c r="C39" i="328"/>
  <c r="I38" i="328"/>
  <c r="H38" i="328"/>
  <c r="G38" i="328"/>
  <c r="E38" i="328"/>
  <c r="K38" i="328" s="1"/>
  <c r="N38" i="328" s="1"/>
  <c r="C38" i="328"/>
  <c r="I37" i="328"/>
  <c r="H37" i="328"/>
  <c r="G37" i="328"/>
  <c r="E37" i="328"/>
  <c r="K37" i="328" s="1"/>
  <c r="N37" i="328" s="1"/>
  <c r="C37" i="328"/>
  <c r="I36" i="328"/>
  <c r="H36" i="328"/>
  <c r="G36" i="328"/>
  <c r="E36" i="328"/>
  <c r="K36" i="328" s="1"/>
  <c r="N36" i="328" s="1"/>
  <c r="C36" i="328"/>
  <c r="I35" i="328"/>
  <c r="H35" i="328"/>
  <c r="G35" i="328"/>
  <c r="E35" i="328"/>
  <c r="K35" i="328" s="1"/>
  <c r="C35" i="328"/>
  <c r="I34" i="328"/>
  <c r="H34" i="328"/>
  <c r="G34" i="328"/>
  <c r="E34" i="328"/>
  <c r="K34" i="328" s="1"/>
  <c r="N34" i="328" s="1"/>
  <c r="C34" i="328"/>
  <c r="I33" i="328"/>
  <c r="H33" i="328"/>
  <c r="G33" i="328"/>
  <c r="E33" i="328"/>
  <c r="K33" i="328" s="1"/>
  <c r="C33" i="328"/>
  <c r="I32" i="328"/>
  <c r="H32" i="328"/>
  <c r="G32" i="328"/>
  <c r="E32" i="328"/>
  <c r="K32" i="328" s="1"/>
  <c r="C32" i="328"/>
  <c r="I31" i="328"/>
  <c r="H31" i="328"/>
  <c r="G31" i="328"/>
  <c r="E31" i="328"/>
  <c r="K31" i="328" s="1"/>
  <c r="C31" i="328"/>
  <c r="I30" i="328"/>
  <c r="H30" i="328"/>
  <c r="G30" i="328"/>
  <c r="E30" i="328"/>
  <c r="K30" i="328" s="1"/>
  <c r="N30" i="328" s="1"/>
  <c r="C30" i="328"/>
  <c r="I29" i="328"/>
  <c r="H29" i="328"/>
  <c r="G29" i="328"/>
  <c r="E29" i="328"/>
  <c r="K29" i="328" s="1"/>
  <c r="N29" i="328" s="1"/>
  <c r="C29" i="328"/>
  <c r="I28" i="328"/>
  <c r="H28" i="328"/>
  <c r="G28" i="328"/>
  <c r="E28" i="328"/>
  <c r="K28" i="328" s="1"/>
  <c r="N28" i="328" s="1"/>
  <c r="C28" i="328"/>
  <c r="I27" i="328"/>
  <c r="H27" i="328"/>
  <c r="G27" i="328"/>
  <c r="E27" i="328"/>
  <c r="K27" i="328" s="1"/>
  <c r="N27" i="328" s="1"/>
  <c r="C27" i="328"/>
  <c r="I26" i="328"/>
  <c r="H26" i="328"/>
  <c r="G26" i="328"/>
  <c r="E26" i="328"/>
  <c r="K26" i="328" s="1"/>
  <c r="C26" i="328"/>
  <c r="I25" i="328"/>
  <c r="H25" i="328"/>
  <c r="G25" i="328"/>
  <c r="E25" i="328"/>
  <c r="K25" i="328" s="1"/>
  <c r="C25" i="328"/>
  <c r="I24" i="328"/>
  <c r="H24" i="328"/>
  <c r="G24" i="328"/>
  <c r="E24" i="328"/>
  <c r="K24" i="328" s="1"/>
  <c r="C24" i="328"/>
  <c r="I23" i="328"/>
  <c r="H23" i="328"/>
  <c r="G23" i="328"/>
  <c r="E23" i="328"/>
  <c r="K23" i="328" s="1"/>
  <c r="C23" i="328"/>
  <c r="I22" i="328"/>
  <c r="H22" i="328"/>
  <c r="G22" i="328"/>
  <c r="E22" i="328"/>
  <c r="K22" i="328" s="1"/>
  <c r="N22" i="328" s="1"/>
  <c r="C22" i="328"/>
  <c r="I21" i="328"/>
  <c r="H21" i="328"/>
  <c r="G21" i="328"/>
  <c r="E21" i="328"/>
  <c r="K21" i="328" s="1"/>
  <c r="C21" i="328"/>
  <c r="I20" i="328"/>
  <c r="H20" i="328"/>
  <c r="G20" i="328"/>
  <c r="E20" i="328"/>
  <c r="K20" i="328" s="1"/>
  <c r="C20" i="328"/>
  <c r="I19" i="328"/>
  <c r="H19" i="328"/>
  <c r="G19" i="328"/>
  <c r="E19" i="328"/>
  <c r="K19" i="328" s="1"/>
  <c r="N19" i="328" s="1"/>
  <c r="C19" i="328"/>
  <c r="I18" i="328"/>
  <c r="H18" i="328"/>
  <c r="G18" i="328"/>
  <c r="E18" i="328"/>
  <c r="K18" i="328" s="1"/>
  <c r="C18" i="328"/>
  <c r="I17" i="328"/>
  <c r="H17" i="328"/>
  <c r="G17" i="328"/>
  <c r="E17" i="328"/>
  <c r="K17" i="328" s="1"/>
  <c r="C17" i="328"/>
  <c r="I16" i="328"/>
  <c r="H16" i="328"/>
  <c r="G16" i="328"/>
  <c r="E16" i="328"/>
  <c r="K16" i="328" s="1"/>
  <c r="C16" i="328"/>
  <c r="I15" i="328"/>
  <c r="H15" i="328"/>
  <c r="G15" i="328"/>
  <c r="E15" i="328"/>
  <c r="K15" i="328" s="1"/>
  <c r="C15" i="328"/>
  <c r="I14" i="328"/>
  <c r="H14" i="328"/>
  <c r="G14" i="328"/>
  <c r="E14" i="328"/>
  <c r="K14" i="328" s="1"/>
  <c r="N14" i="328" s="1"/>
  <c r="C14" i="328"/>
  <c r="I13" i="328"/>
  <c r="H13" i="328"/>
  <c r="G13" i="328"/>
  <c r="E13" i="328"/>
  <c r="K13" i="328" s="1"/>
  <c r="C13" i="328"/>
  <c r="I12" i="328"/>
  <c r="H12" i="328"/>
  <c r="G12" i="328"/>
  <c r="E12" i="328"/>
  <c r="K12" i="328" s="1"/>
  <c r="C12" i="328"/>
  <c r="I11" i="328"/>
  <c r="H11" i="328"/>
  <c r="G11" i="328"/>
  <c r="E11" i="328"/>
  <c r="K11" i="328" s="1"/>
  <c r="N11" i="328" s="1"/>
  <c r="C11" i="328"/>
  <c r="I10" i="328"/>
  <c r="H10" i="328"/>
  <c r="G10" i="328"/>
  <c r="E10" i="328"/>
  <c r="K10" i="328" s="1"/>
  <c r="C10" i="328"/>
  <c r="I9" i="328"/>
  <c r="H9" i="328"/>
  <c r="G9" i="328"/>
  <c r="E9" i="328"/>
  <c r="K9" i="328" s="1"/>
  <c r="C9" i="328"/>
  <c r="I8" i="328"/>
  <c r="H8" i="328"/>
  <c r="G8" i="328"/>
  <c r="E8" i="328"/>
  <c r="K8" i="328" s="1"/>
  <c r="C8" i="328"/>
  <c r="I7" i="328"/>
  <c r="H7" i="328"/>
  <c r="G7" i="328"/>
  <c r="E7" i="328"/>
  <c r="C7" i="328"/>
  <c r="I6" i="328"/>
  <c r="H6" i="328"/>
  <c r="G6" i="328"/>
  <c r="E6" i="328"/>
  <c r="K6" i="328" s="1"/>
  <c r="N6" i="328" s="1"/>
  <c r="C6" i="328"/>
  <c r="I5" i="328"/>
  <c r="H5" i="328"/>
  <c r="G5" i="328"/>
  <c r="E5" i="328"/>
  <c r="K5" i="328" s="1"/>
  <c r="C5" i="328"/>
  <c r="D59" i="327"/>
  <c r="H63" i="327" s="1"/>
  <c r="F18" i="181" s="1"/>
  <c r="M45" i="327"/>
  <c r="L45" i="327"/>
  <c r="F45" i="327"/>
  <c r="F63" i="327" s="1"/>
  <c r="D18" i="181" s="1"/>
  <c r="D45" i="327"/>
  <c r="I44" i="327"/>
  <c r="H44" i="327"/>
  <c r="G44" i="327"/>
  <c r="E44" i="327"/>
  <c r="K44" i="327" s="1"/>
  <c r="N44" i="327" s="1"/>
  <c r="C44" i="327"/>
  <c r="I43" i="327"/>
  <c r="H43" i="327"/>
  <c r="G43" i="327"/>
  <c r="E43" i="327"/>
  <c r="K43" i="327" s="1"/>
  <c r="N43" i="327" s="1"/>
  <c r="C43" i="327"/>
  <c r="I42" i="327"/>
  <c r="H42" i="327"/>
  <c r="G42" i="327"/>
  <c r="E42" i="327"/>
  <c r="K42" i="327" s="1"/>
  <c r="N42" i="327" s="1"/>
  <c r="C42" i="327"/>
  <c r="I41" i="327"/>
  <c r="H41" i="327"/>
  <c r="G41" i="327"/>
  <c r="E41" i="327"/>
  <c r="K41" i="327" s="1"/>
  <c r="N41" i="327" s="1"/>
  <c r="C41" i="327"/>
  <c r="I40" i="327"/>
  <c r="H40" i="327"/>
  <c r="G40" i="327"/>
  <c r="E40" i="327"/>
  <c r="K40" i="327" s="1"/>
  <c r="N40" i="327" s="1"/>
  <c r="C40" i="327"/>
  <c r="I39" i="327"/>
  <c r="H39" i="327"/>
  <c r="G39" i="327"/>
  <c r="E39" i="327"/>
  <c r="K39" i="327" s="1"/>
  <c r="N39" i="327" s="1"/>
  <c r="C39" i="327"/>
  <c r="I38" i="327"/>
  <c r="H38" i="327"/>
  <c r="G38" i="327"/>
  <c r="E38" i="327"/>
  <c r="K38" i="327" s="1"/>
  <c r="N38" i="327" s="1"/>
  <c r="C38" i="327"/>
  <c r="I37" i="327"/>
  <c r="H37" i="327"/>
  <c r="G37" i="327"/>
  <c r="E37" i="327"/>
  <c r="K37" i="327" s="1"/>
  <c r="N37" i="327" s="1"/>
  <c r="C37" i="327"/>
  <c r="I36" i="327"/>
  <c r="H36" i="327"/>
  <c r="G36" i="327"/>
  <c r="E36" i="327"/>
  <c r="K36" i="327" s="1"/>
  <c r="N36" i="327" s="1"/>
  <c r="C36" i="327"/>
  <c r="I35" i="327"/>
  <c r="H35" i="327"/>
  <c r="G35" i="327"/>
  <c r="E35" i="327"/>
  <c r="K35" i="327" s="1"/>
  <c r="N35" i="327" s="1"/>
  <c r="C35" i="327"/>
  <c r="I34" i="327"/>
  <c r="H34" i="327"/>
  <c r="G34" i="327"/>
  <c r="E34" i="327"/>
  <c r="K34" i="327" s="1"/>
  <c r="N34" i="327" s="1"/>
  <c r="C34" i="327"/>
  <c r="I33" i="327"/>
  <c r="H33" i="327"/>
  <c r="G33" i="327"/>
  <c r="E33" i="327"/>
  <c r="K33" i="327" s="1"/>
  <c r="N33" i="327" s="1"/>
  <c r="C33" i="327"/>
  <c r="I32" i="327"/>
  <c r="H32" i="327"/>
  <c r="G32" i="327"/>
  <c r="E32" i="327"/>
  <c r="K32" i="327" s="1"/>
  <c r="N32" i="327" s="1"/>
  <c r="C32" i="327"/>
  <c r="I31" i="327"/>
  <c r="H31" i="327"/>
  <c r="G31" i="327"/>
  <c r="E31" i="327"/>
  <c r="K31" i="327" s="1"/>
  <c r="N31" i="327" s="1"/>
  <c r="C31" i="327"/>
  <c r="I30" i="327"/>
  <c r="H30" i="327"/>
  <c r="G30" i="327"/>
  <c r="E30" i="327"/>
  <c r="K30" i="327" s="1"/>
  <c r="N30" i="327" s="1"/>
  <c r="C30" i="327"/>
  <c r="I29" i="327"/>
  <c r="H29" i="327"/>
  <c r="G29" i="327"/>
  <c r="E29" i="327"/>
  <c r="K29" i="327" s="1"/>
  <c r="N29" i="327" s="1"/>
  <c r="C29" i="327"/>
  <c r="I28" i="327"/>
  <c r="H28" i="327"/>
  <c r="G28" i="327"/>
  <c r="E28" i="327"/>
  <c r="K28" i="327" s="1"/>
  <c r="N28" i="327" s="1"/>
  <c r="C28" i="327"/>
  <c r="I27" i="327"/>
  <c r="H27" i="327"/>
  <c r="G27" i="327"/>
  <c r="E27" i="327"/>
  <c r="K27" i="327" s="1"/>
  <c r="N27" i="327" s="1"/>
  <c r="C27" i="327"/>
  <c r="I26" i="327"/>
  <c r="H26" i="327"/>
  <c r="G26" i="327"/>
  <c r="E26" i="327"/>
  <c r="K26" i="327" s="1"/>
  <c r="N26" i="327" s="1"/>
  <c r="C26" i="327"/>
  <c r="I25" i="327"/>
  <c r="H25" i="327"/>
  <c r="G25" i="327"/>
  <c r="E25" i="327"/>
  <c r="K25" i="327" s="1"/>
  <c r="N25" i="327" s="1"/>
  <c r="C25" i="327"/>
  <c r="I24" i="327"/>
  <c r="H24" i="327"/>
  <c r="G24" i="327"/>
  <c r="E24" i="327"/>
  <c r="K24" i="327" s="1"/>
  <c r="N24" i="327" s="1"/>
  <c r="C24" i="327"/>
  <c r="I23" i="327"/>
  <c r="H23" i="327"/>
  <c r="G23" i="327"/>
  <c r="E23" i="327"/>
  <c r="K23" i="327" s="1"/>
  <c r="N23" i="327" s="1"/>
  <c r="C23" i="327"/>
  <c r="I22" i="327"/>
  <c r="H22" i="327"/>
  <c r="G22" i="327"/>
  <c r="E22" i="327"/>
  <c r="K22" i="327" s="1"/>
  <c r="N22" i="327" s="1"/>
  <c r="C22" i="327"/>
  <c r="I21" i="327"/>
  <c r="H21" i="327"/>
  <c r="G21" i="327"/>
  <c r="E21" i="327"/>
  <c r="K21" i="327" s="1"/>
  <c r="N21" i="327" s="1"/>
  <c r="C21" i="327"/>
  <c r="I20" i="327"/>
  <c r="H20" i="327"/>
  <c r="G20" i="327"/>
  <c r="E20" i="327"/>
  <c r="K20" i="327" s="1"/>
  <c r="N20" i="327" s="1"/>
  <c r="C20" i="327"/>
  <c r="I19" i="327"/>
  <c r="H19" i="327"/>
  <c r="G19" i="327"/>
  <c r="E19" i="327"/>
  <c r="K19" i="327" s="1"/>
  <c r="N19" i="327" s="1"/>
  <c r="C19" i="327"/>
  <c r="I18" i="327"/>
  <c r="H18" i="327"/>
  <c r="G18" i="327"/>
  <c r="E18" i="327"/>
  <c r="K18" i="327" s="1"/>
  <c r="N18" i="327" s="1"/>
  <c r="C18" i="327"/>
  <c r="I17" i="327"/>
  <c r="H17" i="327"/>
  <c r="G17" i="327"/>
  <c r="E17" i="327"/>
  <c r="K17" i="327" s="1"/>
  <c r="N17" i="327" s="1"/>
  <c r="C17" i="327"/>
  <c r="I16" i="327"/>
  <c r="H16" i="327"/>
  <c r="G16" i="327"/>
  <c r="E16" i="327"/>
  <c r="K16" i="327" s="1"/>
  <c r="N16" i="327" s="1"/>
  <c r="C16" i="327"/>
  <c r="I15" i="327"/>
  <c r="H15" i="327"/>
  <c r="G15" i="327"/>
  <c r="E15" i="327"/>
  <c r="K15" i="327" s="1"/>
  <c r="N15" i="327" s="1"/>
  <c r="C15" i="327"/>
  <c r="I14" i="327"/>
  <c r="H14" i="327"/>
  <c r="G14" i="327"/>
  <c r="E14" i="327"/>
  <c r="K14" i="327" s="1"/>
  <c r="N14" i="327" s="1"/>
  <c r="C14" i="327"/>
  <c r="I13" i="327"/>
  <c r="H13" i="327"/>
  <c r="G13" i="327"/>
  <c r="E13" i="327"/>
  <c r="K13" i="327" s="1"/>
  <c r="N13" i="327" s="1"/>
  <c r="C13" i="327"/>
  <c r="I12" i="327"/>
  <c r="H12" i="327"/>
  <c r="G12" i="327"/>
  <c r="E12" i="327"/>
  <c r="K12" i="327" s="1"/>
  <c r="N12" i="327" s="1"/>
  <c r="C12" i="327"/>
  <c r="I11" i="327"/>
  <c r="H11" i="327"/>
  <c r="G11" i="327"/>
  <c r="E11" i="327"/>
  <c r="K11" i="327" s="1"/>
  <c r="N11" i="327" s="1"/>
  <c r="C11" i="327"/>
  <c r="I10" i="327"/>
  <c r="H10" i="327"/>
  <c r="G10" i="327"/>
  <c r="E10" i="327"/>
  <c r="K10" i="327" s="1"/>
  <c r="N10" i="327" s="1"/>
  <c r="C10" i="327"/>
  <c r="I9" i="327"/>
  <c r="H9" i="327"/>
  <c r="G9" i="327"/>
  <c r="E9" i="327"/>
  <c r="K9" i="327" s="1"/>
  <c r="N9" i="327" s="1"/>
  <c r="C9" i="327"/>
  <c r="I8" i="327"/>
  <c r="H8" i="327"/>
  <c r="G8" i="327"/>
  <c r="E8" i="327"/>
  <c r="K8" i="327" s="1"/>
  <c r="N8" i="327" s="1"/>
  <c r="C8" i="327"/>
  <c r="I7" i="327"/>
  <c r="H7" i="327"/>
  <c r="G7" i="327"/>
  <c r="E7" i="327"/>
  <c r="K7" i="327" s="1"/>
  <c r="N7" i="327" s="1"/>
  <c r="C7" i="327"/>
  <c r="I6" i="327"/>
  <c r="H6" i="327"/>
  <c r="G6" i="327"/>
  <c r="E6" i="327"/>
  <c r="K6" i="327" s="1"/>
  <c r="N6" i="327" s="1"/>
  <c r="C6" i="327"/>
  <c r="I5" i="327"/>
  <c r="H5" i="327"/>
  <c r="G5" i="327"/>
  <c r="E5" i="327"/>
  <c r="C5" i="327"/>
  <c r="D59" i="326"/>
  <c r="H63" i="326" s="1"/>
  <c r="F17" i="181" s="1"/>
  <c r="M45" i="326"/>
  <c r="L45" i="326"/>
  <c r="F45" i="326"/>
  <c r="F63" i="326" s="1"/>
  <c r="D17" i="181" s="1"/>
  <c r="D45" i="326"/>
  <c r="E63" i="326" s="1"/>
  <c r="I44" i="326"/>
  <c r="H44" i="326"/>
  <c r="G44" i="326"/>
  <c r="E44" i="326"/>
  <c r="K44" i="326" s="1"/>
  <c r="C44" i="326"/>
  <c r="I43" i="326"/>
  <c r="H43" i="326"/>
  <c r="G43" i="326"/>
  <c r="E43" i="326"/>
  <c r="K43" i="326" s="1"/>
  <c r="C43" i="326"/>
  <c r="I42" i="326"/>
  <c r="H42" i="326"/>
  <c r="G42" i="326"/>
  <c r="E42" i="326"/>
  <c r="K42" i="326" s="1"/>
  <c r="C42" i="326"/>
  <c r="I41" i="326"/>
  <c r="H41" i="326"/>
  <c r="G41" i="326"/>
  <c r="E41" i="326"/>
  <c r="K41" i="326" s="1"/>
  <c r="C41" i="326"/>
  <c r="I40" i="326"/>
  <c r="H40" i="326"/>
  <c r="G40" i="326"/>
  <c r="E40" i="326"/>
  <c r="K40" i="326" s="1"/>
  <c r="C40" i="326"/>
  <c r="I39" i="326"/>
  <c r="H39" i="326"/>
  <c r="G39" i="326"/>
  <c r="E39" i="326"/>
  <c r="K39" i="326" s="1"/>
  <c r="C39" i="326"/>
  <c r="I38" i="326"/>
  <c r="H38" i="326"/>
  <c r="G38" i="326"/>
  <c r="E38" i="326"/>
  <c r="K38" i="326" s="1"/>
  <c r="C38" i="326"/>
  <c r="I37" i="326"/>
  <c r="H37" i="326"/>
  <c r="G37" i="326"/>
  <c r="E37" i="326"/>
  <c r="K37" i="326" s="1"/>
  <c r="C37" i="326"/>
  <c r="I36" i="326"/>
  <c r="H36" i="326"/>
  <c r="G36" i="326"/>
  <c r="E36" i="326"/>
  <c r="K36" i="326" s="1"/>
  <c r="C36" i="326"/>
  <c r="I35" i="326"/>
  <c r="H35" i="326"/>
  <c r="G35" i="326"/>
  <c r="E35" i="326"/>
  <c r="K35" i="326" s="1"/>
  <c r="C35" i="326"/>
  <c r="I34" i="326"/>
  <c r="H34" i="326"/>
  <c r="G34" i="326"/>
  <c r="E34" i="326"/>
  <c r="K34" i="326" s="1"/>
  <c r="C34" i="326"/>
  <c r="I33" i="326"/>
  <c r="H33" i="326"/>
  <c r="G33" i="326"/>
  <c r="E33" i="326"/>
  <c r="K33" i="326" s="1"/>
  <c r="C33" i="326"/>
  <c r="I32" i="326"/>
  <c r="H32" i="326"/>
  <c r="G32" i="326"/>
  <c r="E32" i="326"/>
  <c r="K32" i="326" s="1"/>
  <c r="C32" i="326"/>
  <c r="I31" i="326"/>
  <c r="H31" i="326"/>
  <c r="G31" i="326"/>
  <c r="E31" i="326"/>
  <c r="K31" i="326" s="1"/>
  <c r="C31" i="326"/>
  <c r="I30" i="326"/>
  <c r="H30" i="326"/>
  <c r="G30" i="326"/>
  <c r="E30" i="326"/>
  <c r="K30" i="326" s="1"/>
  <c r="C30" i="326"/>
  <c r="I29" i="326"/>
  <c r="H29" i="326"/>
  <c r="G29" i="326"/>
  <c r="E29" i="326"/>
  <c r="K29" i="326" s="1"/>
  <c r="C29" i="326"/>
  <c r="I28" i="326"/>
  <c r="H28" i="326"/>
  <c r="G28" i="326"/>
  <c r="E28" i="326"/>
  <c r="K28" i="326" s="1"/>
  <c r="C28" i="326"/>
  <c r="I27" i="326"/>
  <c r="H27" i="326"/>
  <c r="G27" i="326"/>
  <c r="E27" i="326"/>
  <c r="K27" i="326" s="1"/>
  <c r="C27" i="326"/>
  <c r="I26" i="326"/>
  <c r="H26" i="326"/>
  <c r="G26" i="326"/>
  <c r="E26" i="326"/>
  <c r="K26" i="326" s="1"/>
  <c r="C26" i="326"/>
  <c r="I25" i="326"/>
  <c r="H25" i="326"/>
  <c r="G25" i="326"/>
  <c r="E25" i="326"/>
  <c r="K25" i="326" s="1"/>
  <c r="C25" i="326"/>
  <c r="I24" i="326"/>
  <c r="H24" i="326"/>
  <c r="G24" i="326"/>
  <c r="E24" i="326"/>
  <c r="K24" i="326" s="1"/>
  <c r="C24" i="326"/>
  <c r="I23" i="326"/>
  <c r="H23" i="326"/>
  <c r="G23" i="326"/>
  <c r="E23" i="326"/>
  <c r="K23" i="326" s="1"/>
  <c r="C23" i="326"/>
  <c r="I22" i="326"/>
  <c r="H22" i="326"/>
  <c r="G22" i="326"/>
  <c r="E22" i="326"/>
  <c r="K22" i="326" s="1"/>
  <c r="C22" i="326"/>
  <c r="I21" i="326"/>
  <c r="H21" i="326"/>
  <c r="G21" i="326"/>
  <c r="E21" i="326"/>
  <c r="K21" i="326" s="1"/>
  <c r="C21" i="326"/>
  <c r="I20" i="326"/>
  <c r="H20" i="326"/>
  <c r="G20" i="326"/>
  <c r="E20" i="326"/>
  <c r="K20" i="326" s="1"/>
  <c r="C20" i="326"/>
  <c r="I19" i="326"/>
  <c r="H19" i="326"/>
  <c r="G19" i="326"/>
  <c r="E19" i="326"/>
  <c r="K19" i="326" s="1"/>
  <c r="C19" i="326"/>
  <c r="I18" i="326"/>
  <c r="H18" i="326"/>
  <c r="G18" i="326"/>
  <c r="E18" i="326"/>
  <c r="K18" i="326" s="1"/>
  <c r="C18" i="326"/>
  <c r="I17" i="326"/>
  <c r="H17" i="326"/>
  <c r="G17" i="326"/>
  <c r="E17" i="326"/>
  <c r="K17" i="326" s="1"/>
  <c r="C17" i="326"/>
  <c r="I16" i="326"/>
  <c r="H16" i="326"/>
  <c r="G16" i="326"/>
  <c r="E16" i="326"/>
  <c r="K16" i="326" s="1"/>
  <c r="C16" i="326"/>
  <c r="I15" i="326"/>
  <c r="H15" i="326"/>
  <c r="G15" i="326"/>
  <c r="E15" i="326"/>
  <c r="K15" i="326" s="1"/>
  <c r="C15" i="326"/>
  <c r="I14" i="326"/>
  <c r="H14" i="326"/>
  <c r="G14" i="326"/>
  <c r="E14" i="326"/>
  <c r="K14" i="326" s="1"/>
  <c r="C14" i="326"/>
  <c r="I13" i="326"/>
  <c r="H13" i="326"/>
  <c r="G13" i="326"/>
  <c r="E13" i="326"/>
  <c r="K13" i="326" s="1"/>
  <c r="C13" i="326"/>
  <c r="I12" i="326"/>
  <c r="H12" i="326"/>
  <c r="G12" i="326"/>
  <c r="E12" i="326"/>
  <c r="K12" i="326" s="1"/>
  <c r="C12" i="326"/>
  <c r="I11" i="326"/>
  <c r="H11" i="326"/>
  <c r="G11" i="326"/>
  <c r="E11" i="326"/>
  <c r="K11" i="326" s="1"/>
  <c r="C11" i="326"/>
  <c r="I10" i="326"/>
  <c r="H10" i="326"/>
  <c r="G10" i="326"/>
  <c r="E10" i="326"/>
  <c r="K10" i="326" s="1"/>
  <c r="C10" i="326"/>
  <c r="I9" i="326"/>
  <c r="H9" i="326"/>
  <c r="G9" i="326"/>
  <c r="E9" i="326"/>
  <c r="K9" i="326" s="1"/>
  <c r="C9" i="326"/>
  <c r="I8" i="326"/>
  <c r="H8" i="326"/>
  <c r="G8" i="326"/>
  <c r="E8" i="326"/>
  <c r="K8" i="326" s="1"/>
  <c r="C8" i="326"/>
  <c r="I7" i="326"/>
  <c r="H7" i="326"/>
  <c r="G7" i="326"/>
  <c r="E7" i="326"/>
  <c r="K7" i="326" s="1"/>
  <c r="C7" i="326"/>
  <c r="I6" i="326"/>
  <c r="H6" i="326"/>
  <c r="G6" i="326"/>
  <c r="E6" i="326"/>
  <c r="K6" i="326" s="1"/>
  <c r="C6" i="326"/>
  <c r="I5" i="326"/>
  <c r="H5" i="326"/>
  <c r="G5" i="326"/>
  <c r="E5" i="326"/>
  <c r="K5" i="326" s="1"/>
  <c r="C5" i="326"/>
  <c r="D59" i="325"/>
  <c r="H63" i="325" s="1"/>
  <c r="F16" i="181" s="1"/>
  <c r="M45" i="325"/>
  <c r="L45" i="325"/>
  <c r="F45" i="325"/>
  <c r="F63" i="325" s="1"/>
  <c r="D16" i="181" s="1"/>
  <c r="D45" i="325"/>
  <c r="E63" i="325" s="1"/>
  <c r="C16" i="181" s="1"/>
  <c r="I44" i="325"/>
  <c r="H44" i="325"/>
  <c r="G44" i="325"/>
  <c r="E44" i="325"/>
  <c r="K44" i="325" s="1"/>
  <c r="N44" i="325" s="1"/>
  <c r="C44" i="325"/>
  <c r="I43" i="325"/>
  <c r="H43" i="325"/>
  <c r="G43" i="325"/>
  <c r="E43" i="325"/>
  <c r="K43" i="325" s="1"/>
  <c r="N43" i="325" s="1"/>
  <c r="C43" i="325"/>
  <c r="I42" i="325"/>
  <c r="H42" i="325"/>
  <c r="G42" i="325"/>
  <c r="E42" i="325"/>
  <c r="K42" i="325" s="1"/>
  <c r="N42" i="325" s="1"/>
  <c r="C42" i="325"/>
  <c r="I41" i="325"/>
  <c r="H41" i="325"/>
  <c r="G41" i="325"/>
  <c r="E41" i="325"/>
  <c r="K41" i="325" s="1"/>
  <c r="C41" i="325"/>
  <c r="I40" i="325"/>
  <c r="H40" i="325"/>
  <c r="G40" i="325"/>
  <c r="E40" i="325"/>
  <c r="K40" i="325" s="1"/>
  <c r="C40" i="325"/>
  <c r="I39" i="325"/>
  <c r="H39" i="325"/>
  <c r="G39" i="325"/>
  <c r="E39" i="325"/>
  <c r="K39" i="325" s="1"/>
  <c r="C39" i="325"/>
  <c r="I38" i="325"/>
  <c r="H38" i="325"/>
  <c r="G38" i="325"/>
  <c r="E38" i="325"/>
  <c r="K38" i="325" s="1"/>
  <c r="C38" i="325"/>
  <c r="I37" i="325"/>
  <c r="H37" i="325"/>
  <c r="G37" i="325"/>
  <c r="E37" i="325"/>
  <c r="K37" i="325" s="1"/>
  <c r="N37" i="325" s="1"/>
  <c r="C37" i="325"/>
  <c r="I36" i="325"/>
  <c r="H36" i="325"/>
  <c r="G36" i="325"/>
  <c r="E36" i="325"/>
  <c r="K36" i="325" s="1"/>
  <c r="N36" i="325" s="1"/>
  <c r="C36" i="325"/>
  <c r="I35" i="325"/>
  <c r="H35" i="325"/>
  <c r="G35" i="325"/>
  <c r="E35" i="325"/>
  <c r="K35" i="325" s="1"/>
  <c r="N35" i="325" s="1"/>
  <c r="C35" i="325"/>
  <c r="I34" i="325"/>
  <c r="H34" i="325"/>
  <c r="G34" i="325"/>
  <c r="E34" i="325"/>
  <c r="K34" i="325" s="1"/>
  <c r="N34" i="325" s="1"/>
  <c r="C34" i="325"/>
  <c r="I33" i="325"/>
  <c r="H33" i="325"/>
  <c r="G33" i="325"/>
  <c r="E33" i="325"/>
  <c r="K33" i="325" s="1"/>
  <c r="C33" i="325"/>
  <c r="I32" i="325"/>
  <c r="H32" i="325"/>
  <c r="G32" i="325"/>
  <c r="E32" i="325"/>
  <c r="K32" i="325" s="1"/>
  <c r="C32" i="325"/>
  <c r="I31" i="325"/>
  <c r="H31" i="325"/>
  <c r="G31" i="325"/>
  <c r="E31" i="325"/>
  <c r="K31" i="325" s="1"/>
  <c r="C31" i="325"/>
  <c r="I30" i="325"/>
  <c r="H30" i="325"/>
  <c r="G30" i="325"/>
  <c r="E30" i="325"/>
  <c r="K30" i="325" s="1"/>
  <c r="C30" i="325"/>
  <c r="I29" i="325"/>
  <c r="H29" i="325"/>
  <c r="G29" i="325"/>
  <c r="E29" i="325"/>
  <c r="K29" i="325" s="1"/>
  <c r="N29" i="325" s="1"/>
  <c r="C29" i="325"/>
  <c r="I28" i="325"/>
  <c r="H28" i="325"/>
  <c r="G28" i="325"/>
  <c r="E28" i="325"/>
  <c r="K28" i="325" s="1"/>
  <c r="N28" i="325" s="1"/>
  <c r="C28" i="325"/>
  <c r="I27" i="325"/>
  <c r="H27" i="325"/>
  <c r="G27" i="325"/>
  <c r="E27" i="325"/>
  <c r="K27" i="325" s="1"/>
  <c r="N27" i="325" s="1"/>
  <c r="C27" i="325"/>
  <c r="I26" i="325"/>
  <c r="H26" i="325"/>
  <c r="G26" i="325"/>
  <c r="E26" i="325"/>
  <c r="K26" i="325" s="1"/>
  <c r="N26" i="325" s="1"/>
  <c r="C26" i="325"/>
  <c r="I25" i="325"/>
  <c r="H25" i="325"/>
  <c r="G25" i="325"/>
  <c r="E25" i="325"/>
  <c r="K25" i="325" s="1"/>
  <c r="C25" i="325"/>
  <c r="I24" i="325"/>
  <c r="H24" i="325"/>
  <c r="G24" i="325"/>
  <c r="E24" i="325"/>
  <c r="K24" i="325" s="1"/>
  <c r="C24" i="325"/>
  <c r="I23" i="325"/>
  <c r="H23" i="325"/>
  <c r="G23" i="325"/>
  <c r="E23" i="325"/>
  <c r="K23" i="325" s="1"/>
  <c r="C23" i="325"/>
  <c r="I22" i="325"/>
  <c r="H22" i="325"/>
  <c r="G22" i="325"/>
  <c r="E22" i="325"/>
  <c r="K22" i="325" s="1"/>
  <c r="C22" i="325"/>
  <c r="I21" i="325"/>
  <c r="H21" i="325"/>
  <c r="G21" i="325"/>
  <c r="E21" i="325"/>
  <c r="K21" i="325" s="1"/>
  <c r="N21" i="325" s="1"/>
  <c r="C21" i="325"/>
  <c r="I20" i="325"/>
  <c r="H20" i="325"/>
  <c r="G20" i="325"/>
  <c r="E20" i="325"/>
  <c r="K20" i="325" s="1"/>
  <c r="N20" i="325" s="1"/>
  <c r="C20" i="325"/>
  <c r="I19" i="325"/>
  <c r="H19" i="325"/>
  <c r="G19" i="325"/>
  <c r="E19" i="325"/>
  <c r="K19" i="325" s="1"/>
  <c r="N19" i="325" s="1"/>
  <c r="C19" i="325"/>
  <c r="I18" i="325"/>
  <c r="H18" i="325"/>
  <c r="G18" i="325"/>
  <c r="E18" i="325"/>
  <c r="K18" i="325" s="1"/>
  <c r="N18" i="325" s="1"/>
  <c r="C18" i="325"/>
  <c r="I17" i="325"/>
  <c r="H17" i="325"/>
  <c r="G17" i="325"/>
  <c r="E17" i="325"/>
  <c r="K17" i="325" s="1"/>
  <c r="C17" i="325"/>
  <c r="I16" i="325"/>
  <c r="H16" i="325"/>
  <c r="G16" i="325"/>
  <c r="E16" i="325"/>
  <c r="K16" i="325" s="1"/>
  <c r="C16" i="325"/>
  <c r="I15" i="325"/>
  <c r="H15" i="325"/>
  <c r="G15" i="325"/>
  <c r="E15" i="325"/>
  <c r="K15" i="325" s="1"/>
  <c r="C15" i="325"/>
  <c r="I14" i="325"/>
  <c r="H14" i="325"/>
  <c r="G14" i="325"/>
  <c r="E14" i="325"/>
  <c r="K14" i="325" s="1"/>
  <c r="C14" i="325"/>
  <c r="I13" i="325"/>
  <c r="H13" i="325"/>
  <c r="G13" i="325"/>
  <c r="E13" i="325"/>
  <c r="K13" i="325" s="1"/>
  <c r="N13" i="325" s="1"/>
  <c r="C13" i="325"/>
  <c r="I12" i="325"/>
  <c r="H12" i="325"/>
  <c r="G12" i="325"/>
  <c r="E12" i="325"/>
  <c r="K12" i="325" s="1"/>
  <c r="N12" i="325" s="1"/>
  <c r="C12" i="325"/>
  <c r="I11" i="325"/>
  <c r="H11" i="325"/>
  <c r="G11" i="325"/>
  <c r="E11" i="325"/>
  <c r="K11" i="325" s="1"/>
  <c r="N11" i="325" s="1"/>
  <c r="C11" i="325"/>
  <c r="I10" i="325"/>
  <c r="H10" i="325"/>
  <c r="G10" i="325"/>
  <c r="E10" i="325"/>
  <c r="K10" i="325" s="1"/>
  <c r="N10" i="325" s="1"/>
  <c r="C10" i="325"/>
  <c r="I9" i="325"/>
  <c r="H9" i="325"/>
  <c r="G9" i="325"/>
  <c r="E9" i="325"/>
  <c r="K9" i="325" s="1"/>
  <c r="C9" i="325"/>
  <c r="I8" i="325"/>
  <c r="H8" i="325"/>
  <c r="G8" i="325"/>
  <c r="E8" i="325"/>
  <c r="K8" i="325" s="1"/>
  <c r="C8" i="325"/>
  <c r="I7" i="325"/>
  <c r="H7" i="325"/>
  <c r="G7" i="325"/>
  <c r="E7" i="325"/>
  <c r="K7" i="325" s="1"/>
  <c r="C7" i="325"/>
  <c r="I6" i="325"/>
  <c r="H6" i="325"/>
  <c r="G6" i="325"/>
  <c r="E6" i="325"/>
  <c r="K6" i="325" s="1"/>
  <c r="C6" i="325"/>
  <c r="I5" i="325"/>
  <c r="H5" i="325"/>
  <c r="G5" i="325"/>
  <c r="E5" i="325"/>
  <c r="K5" i="325" s="1"/>
  <c r="C5" i="325"/>
  <c r="D59" i="324"/>
  <c r="H63" i="324" s="1"/>
  <c r="F15" i="181" s="1"/>
  <c r="M45" i="324"/>
  <c r="L45" i="324"/>
  <c r="F45" i="324"/>
  <c r="D45" i="324"/>
  <c r="E63" i="324" s="1"/>
  <c r="C15" i="181" s="1"/>
  <c r="I44" i="324"/>
  <c r="H44" i="324"/>
  <c r="G44" i="324"/>
  <c r="E44" i="324"/>
  <c r="K44" i="324" s="1"/>
  <c r="C44" i="324"/>
  <c r="I43" i="324"/>
  <c r="H43" i="324"/>
  <c r="G43" i="324"/>
  <c r="E43" i="324"/>
  <c r="K43" i="324" s="1"/>
  <c r="C43" i="324"/>
  <c r="I42" i="324"/>
  <c r="H42" i="324"/>
  <c r="G42" i="324"/>
  <c r="E42" i="324"/>
  <c r="K42" i="324" s="1"/>
  <c r="C42" i="324"/>
  <c r="I41" i="324"/>
  <c r="H41" i="324"/>
  <c r="G41" i="324"/>
  <c r="E41" i="324"/>
  <c r="K41" i="324" s="1"/>
  <c r="C41" i="324"/>
  <c r="I40" i="324"/>
  <c r="H40" i="324"/>
  <c r="G40" i="324"/>
  <c r="E40" i="324"/>
  <c r="K40" i="324" s="1"/>
  <c r="C40" i="324"/>
  <c r="I39" i="324"/>
  <c r="H39" i="324"/>
  <c r="G39" i="324"/>
  <c r="E39" i="324"/>
  <c r="K39" i="324" s="1"/>
  <c r="C39" i="324"/>
  <c r="I38" i="324"/>
  <c r="H38" i="324"/>
  <c r="G38" i="324"/>
  <c r="E38" i="324"/>
  <c r="K38" i="324" s="1"/>
  <c r="C38" i="324"/>
  <c r="I37" i="324"/>
  <c r="H37" i="324"/>
  <c r="G37" i="324"/>
  <c r="E37" i="324"/>
  <c r="K37" i="324" s="1"/>
  <c r="C37" i="324"/>
  <c r="I36" i="324"/>
  <c r="H36" i="324"/>
  <c r="G36" i="324"/>
  <c r="E36" i="324"/>
  <c r="K36" i="324" s="1"/>
  <c r="C36" i="324"/>
  <c r="I35" i="324"/>
  <c r="H35" i="324"/>
  <c r="G35" i="324"/>
  <c r="E35" i="324"/>
  <c r="K35" i="324" s="1"/>
  <c r="C35" i="324"/>
  <c r="I34" i="324"/>
  <c r="H34" i="324"/>
  <c r="G34" i="324"/>
  <c r="E34" i="324"/>
  <c r="K34" i="324" s="1"/>
  <c r="C34" i="324"/>
  <c r="I33" i="324"/>
  <c r="H33" i="324"/>
  <c r="G33" i="324"/>
  <c r="E33" i="324"/>
  <c r="K33" i="324" s="1"/>
  <c r="C33" i="324"/>
  <c r="I32" i="324"/>
  <c r="H32" i="324"/>
  <c r="G32" i="324"/>
  <c r="E32" i="324"/>
  <c r="K32" i="324" s="1"/>
  <c r="C32" i="324"/>
  <c r="I31" i="324"/>
  <c r="H31" i="324"/>
  <c r="G31" i="324"/>
  <c r="E31" i="324"/>
  <c r="K31" i="324" s="1"/>
  <c r="C31" i="324"/>
  <c r="I30" i="324"/>
  <c r="H30" i="324"/>
  <c r="G30" i="324"/>
  <c r="E30" i="324"/>
  <c r="K30" i="324" s="1"/>
  <c r="C30" i="324"/>
  <c r="I29" i="324"/>
  <c r="H29" i="324"/>
  <c r="G29" i="324"/>
  <c r="E29" i="324"/>
  <c r="K29" i="324" s="1"/>
  <c r="C29" i="324"/>
  <c r="I28" i="324"/>
  <c r="H28" i="324"/>
  <c r="G28" i="324"/>
  <c r="E28" i="324"/>
  <c r="K28" i="324" s="1"/>
  <c r="C28" i="324"/>
  <c r="I27" i="324"/>
  <c r="H27" i="324"/>
  <c r="G27" i="324"/>
  <c r="E27" i="324"/>
  <c r="K27" i="324" s="1"/>
  <c r="C27" i="324"/>
  <c r="I26" i="324"/>
  <c r="H26" i="324"/>
  <c r="G26" i="324"/>
  <c r="E26" i="324"/>
  <c r="K26" i="324" s="1"/>
  <c r="C26" i="324"/>
  <c r="I25" i="324"/>
  <c r="H25" i="324"/>
  <c r="G25" i="324"/>
  <c r="E25" i="324"/>
  <c r="K25" i="324" s="1"/>
  <c r="C25" i="324"/>
  <c r="I24" i="324"/>
  <c r="H24" i="324"/>
  <c r="G24" i="324"/>
  <c r="E24" i="324"/>
  <c r="K24" i="324" s="1"/>
  <c r="C24" i="324"/>
  <c r="I23" i="324"/>
  <c r="H23" i="324"/>
  <c r="G23" i="324"/>
  <c r="E23" i="324"/>
  <c r="K23" i="324" s="1"/>
  <c r="C23" i="324"/>
  <c r="I22" i="324"/>
  <c r="H22" i="324"/>
  <c r="G22" i="324"/>
  <c r="E22" i="324"/>
  <c r="K22" i="324" s="1"/>
  <c r="C22" i="324"/>
  <c r="I21" i="324"/>
  <c r="H21" i="324"/>
  <c r="G21" i="324"/>
  <c r="E21" i="324"/>
  <c r="K21" i="324" s="1"/>
  <c r="C21" i="324"/>
  <c r="I20" i="324"/>
  <c r="H20" i="324"/>
  <c r="G20" i="324"/>
  <c r="E20" i="324"/>
  <c r="K20" i="324" s="1"/>
  <c r="C20" i="324"/>
  <c r="I19" i="324"/>
  <c r="H19" i="324"/>
  <c r="G19" i="324"/>
  <c r="E19" i="324"/>
  <c r="K19" i="324" s="1"/>
  <c r="C19" i="324"/>
  <c r="I18" i="324"/>
  <c r="H18" i="324"/>
  <c r="G18" i="324"/>
  <c r="E18" i="324"/>
  <c r="K18" i="324" s="1"/>
  <c r="C18" i="324"/>
  <c r="I17" i="324"/>
  <c r="H17" i="324"/>
  <c r="G17" i="324"/>
  <c r="E17" i="324"/>
  <c r="K17" i="324" s="1"/>
  <c r="C17" i="324"/>
  <c r="I16" i="324"/>
  <c r="H16" i="324"/>
  <c r="G16" i="324"/>
  <c r="E16" i="324"/>
  <c r="K16" i="324" s="1"/>
  <c r="C16" i="324"/>
  <c r="I15" i="324"/>
  <c r="H15" i="324"/>
  <c r="G15" i="324"/>
  <c r="E15" i="324"/>
  <c r="K15" i="324" s="1"/>
  <c r="C15" i="324"/>
  <c r="I14" i="324"/>
  <c r="H14" i="324"/>
  <c r="G14" i="324"/>
  <c r="E14" i="324"/>
  <c r="K14" i="324" s="1"/>
  <c r="C14" i="324"/>
  <c r="I13" i="324"/>
  <c r="H13" i="324"/>
  <c r="G13" i="324"/>
  <c r="E13" i="324"/>
  <c r="K13" i="324" s="1"/>
  <c r="C13" i="324"/>
  <c r="I12" i="324"/>
  <c r="H12" i="324"/>
  <c r="G12" i="324"/>
  <c r="E12" i="324"/>
  <c r="K12" i="324" s="1"/>
  <c r="C12" i="324"/>
  <c r="I11" i="324"/>
  <c r="H11" i="324"/>
  <c r="G11" i="324"/>
  <c r="E11" i="324"/>
  <c r="K11" i="324" s="1"/>
  <c r="C11" i="324"/>
  <c r="I10" i="324"/>
  <c r="H10" i="324"/>
  <c r="G10" i="324"/>
  <c r="E10" i="324"/>
  <c r="K10" i="324" s="1"/>
  <c r="C10" i="324"/>
  <c r="I9" i="324"/>
  <c r="H9" i="324"/>
  <c r="G9" i="324"/>
  <c r="E9" i="324"/>
  <c r="K9" i="324" s="1"/>
  <c r="C9" i="324"/>
  <c r="I8" i="324"/>
  <c r="H8" i="324"/>
  <c r="G8" i="324"/>
  <c r="E8" i="324"/>
  <c r="K8" i="324" s="1"/>
  <c r="C8" i="324"/>
  <c r="I7" i="324"/>
  <c r="H7" i="324"/>
  <c r="G7" i="324"/>
  <c r="E7" i="324"/>
  <c r="K7" i="324" s="1"/>
  <c r="C7" i="324"/>
  <c r="I6" i="324"/>
  <c r="H6" i="324"/>
  <c r="G6" i="324"/>
  <c r="E6" i="324"/>
  <c r="K6" i="324" s="1"/>
  <c r="C6" i="324"/>
  <c r="I5" i="324"/>
  <c r="H5" i="324"/>
  <c r="G5" i="324"/>
  <c r="E5" i="324"/>
  <c r="K5" i="324" s="1"/>
  <c r="C5" i="324"/>
  <c r="D59" i="323"/>
  <c r="H63" i="323" s="1"/>
  <c r="F14" i="181" s="1"/>
  <c r="M45" i="323"/>
  <c r="L45" i="323"/>
  <c r="F45" i="323"/>
  <c r="F63" i="323" s="1"/>
  <c r="D14" i="181" s="1"/>
  <c r="I44" i="323"/>
  <c r="H44" i="323"/>
  <c r="G44" i="323"/>
  <c r="E44" i="323"/>
  <c r="K44" i="323" s="1"/>
  <c r="N44" i="323" s="1"/>
  <c r="C44" i="323"/>
  <c r="I43" i="323"/>
  <c r="H43" i="323"/>
  <c r="G43" i="323"/>
  <c r="E43" i="323"/>
  <c r="K43" i="323" s="1"/>
  <c r="N43" i="323" s="1"/>
  <c r="C43" i="323"/>
  <c r="I42" i="323"/>
  <c r="H42" i="323"/>
  <c r="G42" i="323"/>
  <c r="E42" i="323"/>
  <c r="K42" i="323" s="1"/>
  <c r="N42" i="323" s="1"/>
  <c r="C42" i="323"/>
  <c r="I41" i="323"/>
  <c r="H41" i="323"/>
  <c r="G41" i="323"/>
  <c r="E41" i="323"/>
  <c r="K41" i="323" s="1"/>
  <c r="N41" i="323" s="1"/>
  <c r="C41" i="323"/>
  <c r="I40" i="323"/>
  <c r="H40" i="323"/>
  <c r="G40" i="323"/>
  <c r="E40" i="323"/>
  <c r="K40" i="323" s="1"/>
  <c r="N40" i="323" s="1"/>
  <c r="C40" i="323"/>
  <c r="I39" i="323"/>
  <c r="H39" i="323"/>
  <c r="G39" i="323"/>
  <c r="E39" i="323"/>
  <c r="K39" i="323" s="1"/>
  <c r="N39" i="323" s="1"/>
  <c r="C39" i="323"/>
  <c r="I38" i="323"/>
  <c r="H38" i="323"/>
  <c r="G38" i="323"/>
  <c r="E38" i="323"/>
  <c r="K38" i="323" s="1"/>
  <c r="N38" i="323" s="1"/>
  <c r="C38" i="323"/>
  <c r="I37" i="323"/>
  <c r="H37" i="323"/>
  <c r="G37" i="323"/>
  <c r="E37" i="323"/>
  <c r="K37" i="323" s="1"/>
  <c r="N37" i="323" s="1"/>
  <c r="C37" i="323"/>
  <c r="I36" i="323"/>
  <c r="H36" i="323"/>
  <c r="G36" i="323"/>
  <c r="E36" i="323"/>
  <c r="K36" i="323" s="1"/>
  <c r="N36" i="323" s="1"/>
  <c r="C36" i="323"/>
  <c r="I35" i="323"/>
  <c r="H35" i="323"/>
  <c r="G35" i="323"/>
  <c r="E35" i="323"/>
  <c r="K35" i="323" s="1"/>
  <c r="N35" i="323" s="1"/>
  <c r="C35" i="323"/>
  <c r="I34" i="323"/>
  <c r="H34" i="323"/>
  <c r="G34" i="323"/>
  <c r="E34" i="323"/>
  <c r="K34" i="323" s="1"/>
  <c r="N34" i="323" s="1"/>
  <c r="C34" i="323"/>
  <c r="I33" i="323"/>
  <c r="H33" i="323"/>
  <c r="G33" i="323"/>
  <c r="E33" i="323"/>
  <c r="K33" i="323" s="1"/>
  <c r="N33" i="323" s="1"/>
  <c r="C33" i="323"/>
  <c r="I32" i="323"/>
  <c r="H32" i="323"/>
  <c r="G32" i="323"/>
  <c r="E32" i="323"/>
  <c r="K32" i="323" s="1"/>
  <c r="N32" i="323" s="1"/>
  <c r="C32" i="323"/>
  <c r="I31" i="323"/>
  <c r="H31" i="323"/>
  <c r="G31" i="323"/>
  <c r="E31" i="323"/>
  <c r="K31" i="323" s="1"/>
  <c r="N31" i="323" s="1"/>
  <c r="C31" i="323"/>
  <c r="I30" i="323"/>
  <c r="H30" i="323"/>
  <c r="G30" i="323"/>
  <c r="E30" i="323"/>
  <c r="K30" i="323" s="1"/>
  <c r="N30" i="323" s="1"/>
  <c r="C30" i="323"/>
  <c r="I29" i="323"/>
  <c r="H29" i="323"/>
  <c r="G29" i="323"/>
  <c r="E29" i="323"/>
  <c r="K29" i="323" s="1"/>
  <c r="N29" i="323" s="1"/>
  <c r="C29" i="323"/>
  <c r="I28" i="323"/>
  <c r="H28" i="323"/>
  <c r="G28" i="323"/>
  <c r="E28" i="323"/>
  <c r="K28" i="323" s="1"/>
  <c r="N28" i="323" s="1"/>
  <c r="C28" i="323"/>
  <c r="I27" i="323"/>
  <c r="E27" i="323"/>
  <c r="K27" i="323" s="1"/>
  <c r="N27" i="323" s="1"/>
  <c r="C27" i="323"/>
  <c r="I26" i="323"/>
  <c r="H26" i="323"/>
  <c r="G26" i="323"/>
  <c r="E26" i="323"/>
  <c r="K26" i="323" s="1"/>
  <c r="N26" i="323" s="1"/>
  <c r="C26" i="323"/>
  <c r="I25" i="323"/>
  <c r="H25" i="323"/>
  <c r="G25" i="323"/>
  <c r="E25" i="323"/>
  <c r="K25" i="323" s="1"/>
  <c r="N25" i="323" s="1"/>
  <c r="C25" i="323"/>
  <c r="I24" i="323"/>
  <c r="H24" i="323"/>
  <c r="G24" i="323"/>
  <c r="E24" i="323"/>
  <c r="K24" i="323" s="1"/>
  <c r="N24" i="323" s="1"/>
  <c r="C24" i="323"/>
  <c r="I23" i="323"/>
  <c r="E23" i="323"/>
  <c r="K23" i="323" s="1"/>
  <c r="N23" i="323" s="1"/>
  <c r="C23" i="323"/>
  <c r="I22" i="323"/>
  <c r="H22" i="323"/>
  <c r="G22" i="323"/>
  <c r="E22" i="323"/>
  <c r="K22" i="323" s="1"/>
  <c r="N22" i="323" s="1"/>
  <c r="C22" i="323"/>
  <c r="I21" i="323"/>
  <c r="H21" i="323"/>
  <c r="G21" i="323"/>
  <c r="E21" i="323"/>
  <c r="K21" i="323" s="1"/>
  <c r="N21" i="323" s="1"/>
  <c r="C21" i="323"/>
  <c r="I20" i="323"/>
  <c r="H20" i="323"/>
  <c r="G20" i="323"/>
  <c r="E20" i="323"/>
  <c r="K20" i="323" s="1"/>
  <c r="N20" i="323" s="1"/>
  <c r="C20" i="323"/>
  <c r="I19" i="323"/>
  <c r="H19" i="323"/>
  <c r="G19" i="323"/>
  <c r="E19" i="323"/>
  <c r="K19" i="323" s="1"/>
  <c r="N19" i="323" s="1"/>
  <c r="C19" i="323"/>
  <c r="I18" i="323"/>
  <c r="H18" i="323"/>
  <c r="G18" i="323"/>
  <c r="E18" i="323"/>
  <c r="K18" i="323" s="1"/>
  <c r="N18" i="323" s="1"/>
  <c r="C18" i="323"/>
  <c r="I17" i="323"/>
  <c r="H17" i="323"/>
  <c r="G17" i="323"/>
  <c r="E17" i="323"/>
  <c r="K17" i="323" s="1"/>
  <c r="N17" i="323" s="1"/>
  <c r="C17" i="323"/>
  <c r="I16" i="323"/>
  <c r="H16" i="323"/>
  <c r="G16" i="323"/>
  <c r="E16" i="323"/>
  <c r="K16" i="323" s="1"/>
  <c r="N16" i="323" s="1"/>
  <c r="C16" i="323"/>
  <c r="I15" i="323"/>
  <c r="H15" i="323"/>
  <c r="G15" i="323"/>
  <c r="E15" i="323"/>
  <c r="K15" i="323" s="1"/>
  <c r="N15" i="323" s="1"/>
  <c r="C15" i="323"/>
  <c r="I14" i="323"/>
  <c r="H14" i="323"/>
  <c r="G14" i="323"/>
  <c r="E14" i="323"/>
  <c r="K14" i="323" s="1"/>
  <c r="N14" i="323" s="1"/>
  <c r="C14" i="323"/>
  <c r="I13" i="323"/>
  <c r="H13" i="323"/>
  <c r="G13" i="323"/>
  <c r="E13" i="323"/>
  <c r="K13" i="323" s="1"/>
  <c r="N13" i="323" s="1"/>
  <c r="C13" i="323"/>
  <c r="I12" i="323"/>
  <c r="H12" i="323"/>
  <c r="G12" i="323"/>
  <c r="E12" i="323"/>
  <c r="K12" i="323" s="1"/>
  <c r="N12" i="323" s="1"/>
  <c r="C12" i="323"/>
  <c r="I11" i="323"/>
  <c r="H11" i="323"/>
  <c r="G11" i="323"/>
  <c r="E11" i="323"/>
  <c r="K11" i="323" s="1"/>
  <c r="N11" i="323" s="1"/>
  <c r="C11" i="323"/>
  <c r="I10" i="323"/>
  <c r="H10" i="323"/>
  <c r="G10" i="323"/>
  <c r="E10" i="323"/>
  <c r="K10" i="323" s="1"/>
  <c r="N10" i="323" s="1"/>
  <c r="C10" i="323"/>
  <c r="I9" i="323"/>
  <c r="H9" i="323"/>
  <c r="G9" i="323"/>
  <c r="E9" i="323"/>
  <c r="K9" i="323" s="1"/>
  <c r="N9" i="323" s="1"/>
  <c r="C9" i="323"/>
  <c r="I8" i="323"/>
  <c r="H8" i="323"/>
  <c r="G8" i="323"/>
  <c r="E8" i="323"/>
  <c r="K8" i="323" s="1"/>
  <c r="N8" i="323" s="1"/>
  <c r="C8" i="323"/>
  <c r="I7" i="323"/>
  <c r="H7" i="323"/>
  <c r="G7" i="323"/>
  <c r="E7" i="323"/>
  <c r="K7" i="323" s="1"/>
  <c r="N7" i="323" s="1"/>
  <c r="C7" i="323"/>
  <c r="I6" i="323"/>
  <c r="H6" i="323"/>
  <c r="G6" i="323"/>
  <c r="E6" i="323"/>
  <c r="K6" i="323" s="1"/>
  <c r="N6" i="323" s="1"/>
  <c r="C6" i="323"/>
  <c r="I5" i="323"/>
  <c r="H5" i="323"/>
  <c r="G5" i="323"/>
  <c r="E5" i="323"/>
  <c r="K5" i="323" s="1"/>
  <c r="N5" i="323" s="1"/>
  <c r="C5" i="323"/>
  <c r="D59" i="322"/>
  <c r="H63" i="322" s="1"/>
  <c r="F13" i="181" s="1"/>
  <c r="M45" i="322"/>
  <c r="L45" i="322"/>
  <c r="F45" i="322"/>
  <c r="F63" i="322" s="1"/>
  <c r="D13" i="181" s="1"/>
  <c r="D45" i="322"/>
  <c r="E63" i="322" s="1"/>
  <c r="I44" i="322"/>
  <c r="H44" i="322"/>
  <c r="G44" i="322"/>
  <c r="E44" i="322"/>
  <c r="K44" i="322" s="1"/>
  <c r="O44" i="322" s="1"/>
  <c r="C44" i="322"/>
  <c r="I43" i="322"/>
  <c r="H43" i="322"/>
  <c r="G43" i="322"/>
  <c r="E43" i="322"/>
  <c r="K43" i="322" s="1"/>
  <c r="N43" i="322" s="1"/>
  <c r="C43" i="322"/>
  <c r="I42" i="322"/>
  <c r="H42" i="322"/>
  <c r="G42" i="322"/>
  <c r="E42" i="322"/>
  <c r="K42" i="322" s="1"/>
  <c r="N42" i="322" s="1"/>
  <c r="C42" i="322"/>
  <c r="I41" i="322"/>
  <c r="H41" i="322"/>
  <c r="G41" i="322"/>
  <c r="E41" i="322"/>
  <c r="K41" i="322" s="1"/>
  <c r="O41" i="322" s="1"/>
  <c r="C41" i="322"/>
  <c r="I40" i="322"/>
  <c r="H40" i="322"/>
  <c r="G40" i="322"/>
  <c r="E40" i="322"/>
  <c r="K40" i="322" s="1"/>
  <c r="O40" i="322" s="1"/>
  <c r="C40" i="322"/>
  <c r="I39" i="322"/>
  <c r="H39" i="322"/>
  <c r="G39" i="322"/>
  <c r="E39" i="322"/>
  <c r="K39" i="322" s="1"/>
  <c r="O39" i="322" s="1"/>
  <c r="C39" i="322"/>
  <c r="I38" i="322"/>
  <c r="H38" i="322"/>
  <c r="G38" i="322"/>
  <c r="E38" i="322"/>
  <c r="K38" i="322" s="1"/>
  <c r="O38" i="322" s="1"/>
  <c r="C38" i="322"/>
  <c r="I37" i="322"/>
  <c r="H37" i="322"/>
  <c r="G37" i="322"/>
  <c r="E37" i="322"/>
  <c r="K37" i="322" s="1"/>
  <c r="O37" i="322" s="1"/>
  <c r="C37" i="322"/>
  <c r="I36" i="322"/>
  <c r="H36" i="322"/>
  <c r="G36" i="322"/>
  <c r="E36" i="322"/>
  <c r="K36" i="322" s="1"/>
  <c r="O36" i="322" s="1"/>
  <c r="C36" i="322"/>
  <c r="I35" i="322"/>
  <c r="H35" i="322"/>
  <c r="G35" i="322"/>
  <c r="E35" i="322"/>
  <c r="K35" i="322" s="1"/>
  <c r="N35" i="322" s="1"/>
  <c r="C35" i="322"/>
  <c r="I34" i="322"/>
  <c r="H34" i="322"/>
  <c r="G34" i="322"/>
  <c r="E34" i="322"/>
  <c r="K34" i="322" s="1"/>
  <c r="O34" i="322" s="1"/>
  <c r="C34" i="322"/>
  <c r="I33" i="322"/>
  <c r="H33" i="322"/>
  <c r="G33" i="322"/>
  <c r="E33" i="322"/>
  <c r="K33" i="322" s="1"/>
  <c r="O33" i="322" s="1"/>
  <c r="C33" i="322"/>
  <c r="I32" i="322"/>
  <c r="H32" i="322"/>
  <c r="G32" i="322"/>
  <c r="E32" i="322"/>
  <c r="K32" i="322" s="1"/>
  <c r="O32" i="322" s="1"/>
  <c r="C32" i="322"/>
  <c r="I31" i="322"/>
  <c r="H31" i="322"/>
  <c r="G31" i="322"/>
  <c r="E31" i="322"/>
  <c r="K31" i="322" s="1"/>
  <c r="C31" i="322"/>
  <c r="I30" i="322"/>
  <c r="H30" i="322"/>
  <c r="G30" i="322"/>
  <c r="E30" i="322"/>
  <c r="K30" i="322" s="1"/>
  <c r="C30" i="322"/>
  <c r="I29" i="322"/>
  <c r="H29" i="322"/>
  <c r="G29" i="322"/>
  <c r="E29" i="322"/>
  <c r="K29" i="322" s="1"/>
  <c r="C29" i="322"/>
  <c r="I28" i="322"/>
  <c r="H28" i="322"/>
  <c r="G28" i="322"/>
  <c r="E28" i="322"/>
  <c r="K28" i="322" s="1"/>
  <c r="C28" i="322"/>
  <c r="I27" i="322"/>
  <c r="H27" i="322"/>
  <c r="G27" i="322"/>
  <c r="E27" i="322"/>
  <c r="K27" i="322" s="1"/>
  <c r="C27" i="322"/>
  <c r="I26" i="322"/>
  <c r="H26" i="322"/>
  <c r="G26" i="322"/>
  <c r="E26" i="322"/>
  <c r="K26" i="322" s="1"/>
  <c r="C26" i="322"/>
  <c r="I25" i="322"/>
  <c r="H25" i="322"/>
  <c r="G25" i="322"/>
  <c r="E25" i="322"/>
  <c r="K25" i="322" s="1"/>
  <c r="C25" i="322"/>
  <c r="I24" i="322"/>
  <c r="H24" i="322"/>
  <c r="G24" i="322"/>
  <c r="E24" i="322"/>
  <c r="K24" i="322" s="1"/>
  <c r="C24" i="322"/>
  <c r="I23" i="322"/>
  <c r="H23" i="322"/>
  <c r="G23" i="322"/>
  <c r="E23" i="322"/>
  <c r="K23" i="322" s="1"/>
  <c r="C23" i="322"/>
  <c r="I22" i="322"/>
  <c r="H22" i="322"/>
  <c r="G22" i="322"/>
  <c r="E22" i="322"/>
  <c r="K22" i="322" s="1"/>
  <c r="C22" i="322"/>
  <c r="I21" i="322"/>
  <c r="H21" i="322"/>
  <c r="G21" i="322"/>
  <c r="E21" i="322"/>
  <c r="K21" i="322" s="1"/>
  <c r="C21" i="322"/>
  <c r="I20" i="322"/>
  <c r="H20" i="322"/>
  <c r="G20" i="322"/>
  <c r="E20" i="322"/>
  <c r="K20" i="322" s="1"/>
  <c r="C20" i="322"/>
  <c r="I19" i="322"/>
  <c r="H19" i="322"/>
  <c r="G19" i="322"/>
  <c r="E19" i="322"/>
  <c r="K19" i="322" s="1"/>
  <c r="C19" i="322"/>
  <c r="I18" i="322"/>
  <c r="H18" i="322"/>
  <c r="G18" i="322"/>
  <c r="E18" i="322"/>
  <c r="K18" i="322" s="1"/>
  <c r="C18" i="322"/>
  <c r="I17" i="322"/>
  <c r="H17" i="322"/>
  <c r="G17" i="322"/>
  <c r="E17" i="322"/>
  <c r="K17" i="322" s="1"/>
  <c r="C17" i="322"/>
  <c r="I16" i="322"/>
  <c r="H16" i="322"/>
  <c r="G16" i="322"/>
  <c r="E16" i="322"/>
  <c r="K16" i="322" s="1"/>
  <c r="C16" i="322"/>
  <c r="I15" i="322"/>
  <c r="H15" i="322"/>
  <c r="G15" i="322"/>
  <c r="E15" i="322"/>
  <c r="K15" i="322" s="1"/>
  <c r="C15" i="322"/>
  <c r="I14" i="322"/>
  <c r="H14" i="322"/>
  <c r="G14" i="322"/>
  <c r="E14" i="322"/>
  <c r="K14" i="322" s="1"/>
  <c r="C14" i="322"/>
  <c r="I13" i="322"/>
  <c r="H13" i="322"/>
  <c r="G13" i="322"/>
  <c r="E13" i="322"/>
  <c r="K13" i="322" s="1"/>
  <c r="C13" i="322"/>
  <c r="I12" i="322"/>
  <c r="H12" i="322"/>
  <c r="G12" i="322"/>
  <c r="E12" i="322"/>
  <c r="K12" i="322" s="1"/>
  <c r="C12" i="322"/>
  <c r="I11" i="322"/>
  <c r="H11" i="322"/>
  <c r="G11" i="322"/>
  <c r="E11" i="322"/>
  <c r="K11" i="322" s="1"/>
  <c r="C11" i="322"/>
  <c r="I10" i="322"/>
  <c r="H10" i="322"/>
  <c r="G10" i="322"/>
  <c r="E10" i="322"/>
  <c r="K10" i="322" s="1"/>
  <c r="N10" i="322" s="1"/>
  <c r="C10" i="322"/>
  <c r="I9" i="322"/>
  <c r="H9" i="322"/>
  <c r="G9" i="322"/>
  <c r="E9" i="322"/>
  <c r="K9" i="322" s="1"/>
  <c r="C9" i="322"/>
  <c r="I8" i="322"/>
  <c r="H8" i="322"/>
  <c r="G8" i="322"/>
  <c r="E8" i="322"/>
  <c r="K8" i="322" s="1"/>
  <c r="C8" i="322"/>
  <c r="I7" i="322"/>
  <c r="H7" i="322"/>
  <c r="G7" i="322"/>
  <c r="E7" i="322"/>
  <c r="K7" i="322" s="1"/>
  <c r="C7" i="322"/>
  <c r="I6" i="322"/>
  <c r="H6" i="322"/>
  <c r="G6" i="322"/>
  <c r="E6" i="322"/>
  <c r="K6" i="322" s="1"/>
  <c r="C6" i="322"/>
  <c r="I5" i="322"/>
  <c r="H5" i="322"/>
  <c r="G5" i="322"/>
  <c r="E5" i="322"/>
  <c r="K5" i="322" s="1"/>
  <c r="C5" i="322"/>
  <c r="D59" i="321"/>
  <c r="H63" i="321" s="1"/>
  <c r="F12" i="181" s="1"/>
  <c r="M45" i="321"/>
  <c r="L45" i="321"/>
  <c r="F45" i="321"/>
  <c r="F63" i="321" s="1"/>
  <c r="D12" i="181" s="1"/>
  <c r="D45" i="321"/>
  <c r="D3" i="321" s="1"/>
  <c r="I44" i="321"/>
  <c r="H44" i="321"/>
  <c r="G44" i="321"/>
  <c r="E44" i="321"/>
  <c r="K44" i="321" s="1"/>
  <c r="O44" i="321" s="1"/>
  <c r="C44" i="321"/>
  <c r="I43" i="321"/>
  <c r="H43" i="321"/>
  <c r="G43" i="321"/>
  <c r="E43" i="321"/>
  <c r="K43" i="321" s="1"/>
  <c r="O43" i="321" s="1"/>
  <c r="C43" i="321"/>
  <c r="I42" i="321"/>
  <c r="H42" i="321"/>
  <c r="G42" i="321"/>
  <c r="E42" i="321"/>
  <c r="K42" i="321" s="1"/>
  <c r="O42" i="321" s="1"/>
  <c r="C42" i="321"/>
  <c r="I41" i="321"/>
  <c r="H41" i="321"/>
  <c r="G41" i="321"/>
  <c r="E41" i="321"/>
  <c r="K41" i="321" s="1"/>
  <c r="O41" i="321" s="1"/>
  <c r="C41" i="321"/>
  <c r="I40" i="321"/>
  <c r="H40" i="321"/>
  <c r="G40" i="321"/>
  <c r="E40" i="321"/>
  <c r="K40" i="321" s="1"/>
  <c r="O40" i="321" s="1"/>
  <c r="C40" i="321"/>
  <c r="I39" i="321"/>
  <c r="H39" i="321"/>
  <c r="G39" i="321"/>
  <c r="E39" i="321"/>
  <c r="K39" i="321" s="1"/>
  <c r="O39" i="321" s="1"/>
  <c r="C39" i="321"/>
  <c r="I38" i="321"/>
  <c r="H38" i="321"/>
  <c r="G38" i="321"/>
  <c r="E38" i="321"/>
  <c r="K38" i="321" s="1"/>
  <c r="O38" i="321" s="1"/>
  <c r="C38" i="321"/>
  <c r="I37" i="321"/>
  <c r="H37" i="321"/>
  <c r="G37" i="321"/>
  <c r="E37" i="321"/>
  <c r="K37" i="321" s="1"/>
  <c r="O37" i="321" s="1"/>
  <c r="C37" i="321"/>
  <c r="I36" i="321"/>
  <c r="H36" i="321"/>
  <c r="G36" i="321"/>
  <c r="E36" i="321"/>
  <c r="K36" i="321" s="1"/>
  <c r="O36" i="321" s="1"/>
  <c r="C36" i="321"/>
  <c r="I35" i="321"/>
  <c r="H35" i="321"/>
  <c r="G35" i="321"/>
  <c r="E35" i="321"/>
  <c r="K35" i="321" s="1"/>
  <c r="O35" i="321" s="1"/>
  <c r="C35" i="321"/>
  <c r="I34" i="321"/>
  <c r="H34" i="321"/>
  <c r="G34" i="321"/>
  <c r="E34" i="321"/>
  <c r="K34" i="321" s="1"/>
  <c r="O34" i="321" s="1"/>
  <c r="C34" i="321"/>
  <c r="I33" i="321"/>
  <c r="H33" i="321"/>
  <c r="G33" i="321"/>
  <c r="E33" i="321"/>
  <c r="K33" i="321" s="1"/>
  <c r="O33" i="321" s="1"/>
  <c r="C33" i="321"/>
  <c r="I32" i="321"/>
  <c r="H32" i="321"/>
  <c r="G32" i="321"/>
  <c r="E32" i="321"/>
  <c r="K32" i="321" s="1"/>
  <c r="O32" i="321" s="1"/>
  <c r="C32" i="321"/>
  <c r="I31" i="321"/>
  <c r="H31" i="321"/>
  <c r="G31" i="321"/>
  <c r="E31" i="321"/>
  <c r="K31" i="321" s="1"/>
  <c r="O31" i="321" s="1"/>
  <c r="C31" i="321"/>
  <c r="I30" i="321"/>
  <c r="H30" i="321"/>
  <c r="G30" i="321"/>
  <c r="E30" i="321"/>
  <c r="K30" i="321" s="1"/>
  <c r="O30" i="321" s="1"/>
  <c r="C30" i="321"/>
  <c r="I29" i="321"/>
  <c r="H29" i="321"/>
  <c r="G29" i="321"/>
  <c r="E29" i="321"/>
  <c r="K29" i="321" s="1"/>
  <c r="O29" i="321" s="1"/>
  <c r="C29" i="321"/>
  <c r="I28" i="321"/>
  <c r="H28" i="321"/>
  <c r="G28" i="321"/>
  <c r="E28" i="321"/>
  <c r="K28" i="321" s="1"/>
  <c r="O28" i="321" s="1"/>
  <c r="C28" i="321"/>
  <c r="I27" i="321"/>
  <c r="H27" i="321"/>
  <c r="G27" i="321"/>
  <c r="E27" i="321"/>
  <c r="K27" i="321" s="1"/>
  <c r="O27" i="321" s="1"/>
  <c r="C27" i="321"/>
  <c r="I26" i="321"/>
  <c r="H26" i="321"/>
  <c r="G26" i="321"/>
  <c r="E26" i="321"/>
  <c r="K26" i="321" s="1"/>
  <c r="O26" i="321" s="1"/>
  <c r="C26" i="321"/>
  <c r="I25" i="321"/>
  <c r="H25" i="321"/>
  <c r="G25" i="321"/>
  <c r="E25" i="321"/>
  <c r="K25" i="321" s="1"/>
  <c r="O25" i="321" s="1"/>
  <c r="C25" i="321"/>
  <c r="I24" i="321"/>
  <c r="H24" i="321"/>
  <c r="G24" i="321"/>
  <c r="E24" i="321"/>
  <c r="K24" i="321" s="1"/>
  <c r="O24" i="321" s="1"/>
  <c r="C24" i="321"/>
  <c r="I23" i="321"/>
  <c r="H23" i="321"/>
  <c r="G23" i="321"/>
  <c r="E23" i="321"/>
  <c r="K23" i="321" s="1"/>
  <c r="O23" i="321" s="1"/>
  <c r="C23" i="321"/>
  <c r="I22" i="321"/>
  <c r="H22" i="321"/>
  <c r="G22" i="321"/>
  <c r="E22" i="321"/>
  <c r="K22" i="321" s="1"/>
  <c r="O22" i="321" s="1"/>
  <c r="C22" i="321"/>
  <c r="I21" i="321"/>
  <c r="H21" i="321"/>
  <c r="G21" i="321"/>
  <c r="E21" i="321"/>
  <c r="K21" i="321" s="1"/>
  <c r="O21" i="321" s="1"/>
  <c r="C21" i="321"/>
  <c r="I20" i="321"/>
  <c r="H20" i="321"/>
  <c r="G20" i="321"/>
  <c r="E20" i="321"/>
  <c r="K20" i="321" s="1"/>
  <c r="O20" i="321" s="1"/>
  <c r="C20" i="321"/>
  <c r="I19" i="321"/>
  <c r="H19" i="321"/>
  <c r="G19" i="321"/>
  <c r="E19" i="321"/>
  <c r="K19" i="321" s="1"/>
  <c r="O19" i="321" s="1"/>
  <c r="C19" i="321"/>
  <c r="I18" i="321"/>
  <c r="H18" i="321"/>
  <c r="G18" i="321"/>
  <c r="E18" i="321"/>
  <c r="K18" i="321" s="1"/>
  <c r="O18" i="321" s="1"/>
  <c r="C18" i="321"/>
  <c r="I17" i="321"/>
  <c r="H17" i="321"/>
  <c r="G17" i="321"/>
  <c r="E17" i="321"/>
  <c r="K17" i="321" s="1"/>
  <c r="O17" i="321" s="1"/>
  <c r="C17" i="321"/>
  <c r="I16" i="321"/>
  <c r="H16" i="321"/>
  <c r="G16" i="321"/>
  <c r="E16" i="321"/>
  <c r="K16" i="321" s="1"/>
  <c r="O16" i="321" s="1"/>
  <c r="C16" i="321"/>
  <c r="I15" i="321"/>
  <c r="H15" i="321"/>
  <c r="G15" i="321"/>
  <c r="E15" i="321"/>
  <c r="K15" i="321" s="1"/>
  <c r="O15" i="321" s="1"/>
  <c r="C15" i="321"/>
  <c r="I14" i="321"/>
  <c r="H14" i="321"/>
  <c r="G14" i="321"/>
  <c r="E14" i="321"/>
  <c r="K14" i="321" s="1"/>
  <c r="O14" i="321" s="1"/>
  <c r="C14" i="321"/>
  <c r="I13" i="321"/>
  <c r="H13" i="321"/>
  <c r="G13" i="321"/>
  <c r="E13" i="321"/>
  <c r="K13" i="321" s="1"/>
  <c r="O13" i="321" s="1"/>
  <c r="C13" i="321"/>
  <c r="I12" i="321"/>
  <c r="H12" i="321"/>
  <c r="G12" i="321"/>
  <c r="E12" i="321"/>
  <c r="K12" i="321" s="1"/>
  <c r="O12" i="321" s="1"/>
  <c r="C12" i="321"/>
  <c r="I11" i="321"/>
  <c r="H11" i="321"/>
  <c r="G11" i="321"/>
  <c r="E11" i="321"/>
  <c r="K11" i="321" s="1"/>
  <c r="O11" i="321" s="1"/>
  <c r="C11" i="321"/>
  <c r="I10" i="321"/>
  <c r="H10" i="321"/>
  <c r="G10" i="321"/>
  <c r="E10" i="321"/>
  <c r="K10" i="321" s="1"/>
  <c r="O10" i="321" s="1"/>
  <c r="C10" i="321"/>
  <c r="I9" i="321"/>
  <c r="H9" i="321"/>
  <c r="G9" i="321"/>
  <c r="E9" i="321"/>
  <c r="K9" i="321" s="1"/>
  <c r="O9" i="321" s="1"/>
  <c r="C9" i="321"/>
  <c r="I8" i="321"/>
  <c r="H8" i="321"/>
  <c r="G8" i="321"/>
  <c r="E8" i="321"/>
  <c r="K8" i="321" s="1"/>
  <c r="O8" i="321" s="1"/>
  <c r="C8" i="321"/>
  <c r="I7" i="321"/>
  <c r="H7" i="321"/>
  <c r="G7" i="321"/>
  <c r="E7" i="321"/>
  <c r="K7" i="321" s="1"/>
  <c r="O7" i="321" s="1"/>
  <c r="C7" i="321"/>
  <c r="I6" i="321"/>
  <c r="H6" i="321"/>
  <c r="G6" i="321"/>
  <c r="E6" i="321"/>
  <c r="K6" i="321" s="1"/>
  <c r="O6" i="321" s="1"/>
  <c r="C6" i="321"/>
  <c r="I5" i="321"/>
  <c r="H5" i="321"/>
  <c r="G5" i="321"/>
  <c r="E5" i="321"/>
  <c r="K5" i="321" s="1"/>
  <c r="O5" i="321" s="1"/>
  <c r="C5" i="321"/>
  <c r="D59" i="320"/>
  <c r="H63" i="320" s="1"/>
  <c r="F11" i="181" s="1"/>
  <c r="M45" i="320"/>
  <c r="L45" i="320"/>
  <c r="F45" i="320"/>
  <c r="F63" i="320" s="1"/>
  <c r="D11" i="181" s="1"/>
  <c r="D45" i="320"/>
  <c r="E63" i="320" s="1"/>
  <c r="C11" i="181" s="1"/>
  <c r="I44" i="320"/>
  <c r="H44" i="320"/>
  <c r="G44" i="320"/>
  <c r="E44" i="320"/>
  <c r="K44" i="320" s="1"/>
  <c r="C44" i="320"/>
  <c r="I43" i="320"/>
  <c r="H43" i="320"/>
  <c r="G43" i="320"/>
  <c r="E43" i="320"/>
  <c r="K43" i="320" s="1"/>
  <c r="C43" i="320"/>
  <c r="I42" i="320"/>
  <c r="H42" i="320"/>
  <c r="G42" i="320"/>
  <c r="E42" i="320"/>
  <c r="K42" i="320" s="1"/>
  <c r="C42" i="320"/>
  <c r="I41" i="320"/>
  <c r="H41" i="320"/>
  <c r="G41" i="320"/>
  <c r="E41" i="320"/>
  <c r="K41" i="320" s="1"/>
  <c r="C41" i="320"/>
  <c r="I40" i="320"/>
  <c r="H40" i="320"/>
  <c r="G40" i="320"/>
  <c r="E40" i="320"/>
  <c r="K40" i="320" s="1"/>
  <c r="C40" i="320"/>
  <c r="I39" i="320"/>
  <c r="H39" i="320"/>
  <c r="G39" i="320"/>
  <c r="E39" i="320"/>
  <c r="K39" i="320" s="1"/>
  <c r="C39" i="320"/>
  <c r="I38" i="320"/>
  <c r="H38" i="320"/>
  <c r="G38" i="320"/>
  <c r="E38" i="320"/>
  <c r="K38" i="320" s="1"/>
  <c r="C38" i="320"/>
  <c r="I37" i="320"/>
  <c r="H37" i="320"/>
  <c r="G37" i="320"/>
  <c r="E37" i="320"/>
  <c r="K37" i="320" s="1"/>
  <c r="C37" i="320"/>
  <c r="I36" i="320"/>
  <c r="H36" i="320"/>
  <c r="G36" i="320"/>
  <c r="E36" i="320"/>
  <c r="K36" i="320" s="1"/>
  <c r="C36" i="320"/>
  <c r="I35" i="320"/>
  <c r="H35" i="320"/>
  <c r="G35" i="320"/>
  <c r="E35" i="320"/>
  <c r="K35" i="320" s="1"/>
  <c r="C35" i="320"/>
  <c r="I34" i="320"/>
  <c r="H34" i="320"/>
  <c r="G34" i="320"/>
  <c r="E34" i="320"/>
  <c r="K34" i="320" s="1"/>
  <c r="C34" i="320"/>
  <c r="I33" i="320"/>
  <c r="H33" i="320"/>
  <c r="G33" i="320"/>
  <c r="E33" i="320"/>
  <c r="K33" i="320" s="1"/>
  <c r="C33" i="320"/>
  <c r="I32" i="320"/>
  <c r="H32" i="320"/>
  <c r="G32" i="320"/>
  <c r="E32" i="320"/>
  <c r="K32" i="320" s="1"/>
  <c r="C32" i="320"/>
  <c r="I31" i="320"/>
  <c r="H31" i="320"/>
  <c r="G31" i="320"/>
  <c r="E31" i="320"/>
  <c r="K31" i="320" s="1"/>
  <c r="C31" i="320"/>
  <c r="I30" i="320"/>
  <c r="H30" i="320"/>
  <c r="G30" i="320"/>
  <c r="E30" i="320"/>
  <c r="K30" i="320" s="1"/>
  <c r="C30" i="320"/>
  <c r="I29" i="320"/>
  <c r="H29" i="320"/>
  <c r="G29" i="320"/>
  <c r="E29" i="320"/>
  <c r="K29" i="320" s="1"/>
  <c r="C29" i="320"/>
  <c r="I28" i="320"/>
  <c r="H28" i="320"/>
  <c r="G28" i="320"/>
  <c r="E28" i="320"/>
  <c r="K28" i="320" s="1"/>
  <c r="C28" i="320"/>
  <c r="I27" i="320"/>
  <c r="H27" i="320"/>
  <c r="G27" i="320"/>
  <c r="E27" i="320"/>
  <c r="K27" i="320" s="1"/>
  <c r="C27" i="320"/>
  <c r="I26" i="320"/>
  <c r="H26" i="320"/>
  <c r="G26" i="320"/>
  <c r="E26" i="320"/>
  <c r="K26" i="320" s="1"/>
  <c r="C26" i="320"/>
  <c r="I25" i="320"/>
  <c r="H25" i="320"/>
  <c r="G25" i="320"/>
  <c r="E25" i="320"/>
  <c r="K25" i="320" s="1"/>
  <c r="C25" i="320"/>
  <c r="I24" i="320"/>
  <c r="H24" i="320"/>
  <c r="G24" i="320"/>
  <c r="E24" i="320"/>
  <c r="K24" i="320" s="1"/>
  <c r="C24" i="320"/>
  <c r="I23" i="320"/>
  <c r="H23" i="320"/>
  <c r="G23" i="320"/>
  <c r="E23" i="320"/>
  <c r="K23" i="320" s="1"/>
  <c r="C23" i="320"/>
  <c r="I22" i="320"/>
  <c r="H22" i="320"/>
  <c r="G22" i="320"/>
  <c r="E22" i="320"/>
  <c r="K22" i="320" s="1"/>
  <c r="C22" i="320"/>
  <c r="I21" i="320"/>
  <c r="H21" i="320"/>
  <c r="G21" i="320"/>
  <c r="E21" i="320"/>
  <c r="K21" i="320" s="1"/>
  <c r="C21" i="320"/>
  <c r="I20" i="320"/>
  <c r="H20" i="320"/>
  <c r="G20" i="320"/>
  <c r="E20" i="320"/>
  <c r="K20" i="320" s="1"/>
  <c r="C20" i="320"/>
  <c r="I19" i="320"/>
  <c r="H19" i="320"/>
  <c r="G19" i="320"/>
  <c r="E19" i="320"/>
  <c r="K19" i="320" s="1"/>
  <c r="C19" i="320"/>
  <c r="I18" i="320"/>
  <c r="H18" i="320"/>
  <c r="G18" i="320"/>
  <c r="E18" i="320"/>
  <c r="K18" i="320" s="1"/>
  <c r="C18" i="320"/>
  <c r="I17" i="320"/>
  <c r="H17" i="320"/>
  <c r="G17" i="320"/>
  <c r="E17" i="320"/>
  <c r="K17" i="320" s="1"/>
  <c r="C17" i="320"/>
  <c r="I16" i="320"/>
  <c r="H16" i="320"/>
  <c r="G16" i="320"/>
  <c r="E16" i="320"/>
  <c r="K16" i="320" s="1"/>
  <c r="C16" i="320"/>
  <c r="I15" i="320"/>
  <c r="H15" i="320"/>
  <c r="G15" i="320"/>
  <c r="E15" i="320"/>
  <c r="K15" i="320" s="1"/>
  <c r="C15" i="320"/>
  <c r="I14" i="320"/>
  <c r="H14" i="320"/>
  <c r="G14" i="320"/>
  <c r="E14" i="320"/>
  <c r="K14" i="320" s="1"/>
  <c r="C14" i="320"/>
  <c r="I13" i="320"/>
  <c r="H13" i="320"/>
  <c r="G13" i="320"/>
  <c r="E13" i="320"/>
  <c r="K13" i="320" s="1"/>
  <c r="C13" i="320"/>
  <c r="I12" i="320"/>
  <c r="H12" i="320"/>
  <c r="G12" i="320"/>
  <c r="E12" i="320"/>
  <c r="K12" i="320" s="1"/>
  <c r="C12" i="320"/>
  <c r="I11" i="320"/>
  <c r="H11" i="320"/>
  <c r="G11" i="320"/>
  <c r="E11" i="320"/>
  <c r="K11" i="320" s="1"/>
  <c r="C11" i="320"/>
  <c r="I10" i="320"/>
  <c r="H10" i="320"/>
  <c r="G10" i="320"/>
  <c r="E10" i="320"/>
  <c r="K10" i="320" s="1"/>
  <c r="C10" i="320"/>
  <c r="I9" i="320"/>
  <c r="H9" i="320"/>
  <c r="G9" i="320"/>
  <c r="E9" i="320"/>
  <c r="K9" i="320" s="1"/>
  <c r="C9" i="320"/>
  <c r="I8" i="320"/>
  <c r="H8" i="320"/>
  <c r="G8" i="320"/>
  <c r="E8" i="320"/>
  <c r="K8" i="320" s="1"/>
  <c r="C8" i="320"/>
  <c r="I7" i="320"/>
  <c r="H7" i="320"/>
  <c r="G7" i="320"/>
  <c r="E7" i="320"/>
  <c r="K7" i="320" s="1"/>
  <c r="C7" i="320"/>
  <c r="I6" i="320"/>
  <c r="H6" i="320"/>
  <c r="G6" i="320"/>
  <c r="E6" i="320"/>
  <c r="K6" i="320" s="1"/>
  <c r="C6" i="320"/>
  <c r="I5" i="320"/>
  <c r="H5" i="320"/>
  <c r="G5" i="320"/>
  <c r="E5" i="320"/>
  <c r="K5" i="320" s="1"/>
  <c r="C5" i="320"/>
  <c r="D59" i="319"/>
  <c r="H63" i="319" s="1"/>
  <c r="F10" i="181" s="1"/>
  <c r="M45" i="319"/>
  <c r="L45" i="319"/>
  <c r="F45" i="319"/>
  <c r="F63" i="319" s="1"/>
  <c r="D10" i="181" s="1"/>
  <c r="D45" i="319"/>
  <c r="E63" i="319" s="1"/>
  <c r="I44" i="319"/>
  <c r="H44" i="319"/>
  <c r="G44" i="319"/>
  <c r="E44" i="319"/>
  <c r="K44" i="319" s="1"/>
  <c r="O44" i="319" s="1"/>
  <c r="C44" i="319"/>
  <c r="I43" i="319"/>
  <c r="H43" i="319"/>
  <c r="G43" i="319"/>
  <c r="E43" i="319"/>
  <c r="K43" i="319" s="1"/>
  <c r="O43" i="319" s="1"/>
  <c r="C43" i="319"/>
  <c r="I42" i="319"/>
  <c r="H42" i="319"/>
  <c r="G42" i="319"/>
  <c r="E42" i="319"/>
  <c r="K42" i="319" s="1"/>
  <c r="O42" i="319" s="1"/>
  <c r="C42" i="319"/>
  <c r="I41" i="319"/>
  <c r="H41" i="319"/>
  <c r="G41" i="319"/>
  <c r="E41" i="319"/>
  <c r="K41" i="319" s="1"/>
  <c r="O41" i="319" s="1"/>
  <c r="C41" i="319"/>
  <c r="I40" i="319"/>
  <c r="H40" i="319"/>
  <c r="G40" i="319"/>
  <c r="E40" i="319"/>
  <c r="K40" i="319" s="1"/>
  <c r="O40" i="319" s="1"/>
  <c r="C40" i="319"/>
  <c r="I39" i="319"/>
  <c r="H39" i="319"/>
  <c r="G39" i="319"/>
  <c r="E39" i="319"/>
  <c r="K39" i="319" s="1"/>
  <c r="O39" i="319" s="1"/>
  <c r="C39" i="319"/>
  <c r="I38" i="319"/>
  <c r="H38" i="319"/>
  <c r="G38" i="319"/>
  <c r="E38" i="319"/>
  <c r="K38" i="319" s="1"/>
  <c r="O38" i="319" s="1"/>
  <c r="C38" i="319"/>
  <c r="I37" i="319"/>
  <c r="H37" i="319"/>
  <c r="G37" i="319"/>
  <c r="E37" i="319"/>
  <c r="K37" i="319" s="1"/>
  <c r="O37" i="319" s="1"/>
  <c r="C37" i="319"/>
  <c r="I36" i="319"/>
  <c r="H36" i="319"/>
  <c r="G36" i="319"/>
  <c r="E36" i="319"/>
  <c r="K36" i="319" s="1"/>
  <c r="O36" i="319" s="1"/>
  <c r="C36" i="319"/>
  <c r="I35" i="319"/>
  <c r="H35" i="319"/>
  <c r="G35" i="319"/>
  <c r="E35" i="319"/>
  <c r="K35" i="319" s="1"/>
  <c r="O35" i="319" s="1"/>
  <c r="C35" i="319"/>
  <c r="I34" i="319"/>
  <c r="H34" i="319"/>
  <c r="G34" i="319"/>
  <c r="E34" i="319"/>
  <c r="K34" i="319" s="1"/>
  <c r="O34" i="319" s="1"/>
  <c r="C34" i="319"/>
  <c r="I33" i="319"/>
  <c r="H33" i="319"/>
  <c r="G33" i="319"/>
  <c r="E33" i="319"/>
  <c r="K33" i="319" s="1"/>
  <c r="O33" i="319" s="1"/>
  <c r="C33" i="319"/>
  <c r="I32" i="319"/>
  <c r="H32" i="319"/>
  <c r="G32" i="319"/>
  <c r="E32" i="319"/>
  <c r="K32" i="319" s="1"/>
  <c r="O32" i="319" s="1"/>
  <c r="C32" i="319"/>
  <c r="I31" i="319"/>
  <c r="H31" i="319"/>
  <c r="G31" i="319"/>
  <c r="E31" i="319"/>
  <c r="K31" i="319" s="1"/>
  <c r="O31" i="319" s="1"/>
  <c r="C31" i="319"/>
  <c r="I30" i="319"/>
  <c r="H30" i="319"/>
  <c r="G30" i="319"/>
  <c r="E30" i="319"/>
  <c r="K30" i="319" s="1"/>
  <c r="O30" i="319" s="1"/>
  <c r="C30" i="319"/>
  <c r="I29" i="319"/>
  <c r="H29" i="319"/>
  <c r="G29" i="319"/>
  <c r="E29" i="319"/>
  <c r="K29" i="319" s="1"/>
  <c r="O29" i="319" s="1"/>
  <c r="C29" i="319"/>
  <c r="I28" i="319"/>
  <c r="H28" i="319"/>
  <c r="G28" i="319"/>
  <c r="E28" i="319"/>
  <c r="K28" i="319" s="1"/>
  <c r="O28" i="319" s="1"/>
  <c r="C28" i="319"/>
  <c r="I27" i="319"/>
  <c r="H27" i="319"/>
  <c r="G27" i="319"/>
  <c r="E27" i="319"/>
  <c r="K27" i="319" s="1"/>
  <c r="O27" i="319" s="1"/>
  <c r="C27" i="319"/>
  <c r="I26" i="319"/>
  <c r="H26" i="319"/>
  <c r="G26" i="319"/>
  <c r="E26" i="319"/>
  <c r="K26" i="319" s="1"/>
  <c r="O26" i="319" s="1"/>
  <c r="C26" i="319"/>
  <c r="I25" i="319"/>
  <c r="H25" i="319"/>
  <c r="G25" i="319"/>
  <c r="E25" i="319"/>
  <c r="K25" i="319" s="1"/>
  <c r="O25" i="319" s="1"/>
  <c r="C25" i="319"/>
  <c r="I24" i="319"/>
  <c r="H24" i="319"/>
  <c r="G24" i="319"/>
  <c r="E24" i="319"/>
  <c r="K24" i="319" s="1"/>
  <c r="O24" i="319" s="1"/>
  <c r="C24" i="319"/>
  <c r="I23" i="319"/>
  <c r="H23" i="319"/>
  <c r="G23" i="319"/>
  <c r="E23" i="319"/>
  <c r="K23" i="319" s="1"/>
  <c r="O23" i="319" s="1"/>
  <c r="C23" i="319"/>
  <c r="I22" i="319"/>
  <c r="H22" i="319"/>
  <c r="G22" i="319"/>
  <c r="E22" i="319"/>
  <c r="K22" i="319" s="1"/>
  <c r="O22" i="319" s="1"/>
  <c r="C22" i="319"/>
  <c r="I21" i="319"/>
  <c r="H21" i="319"/>
  <c r="G21" i="319"/>
  <c r="E21" i="319"/>
  <c r="K21" i="319" s="1"/>
  <c r="O21" i="319" s="1"/>
  <c r="C21" i="319"/>
  <c r="I20" i="319"/>
  <c r="H20" i="319"/>
  <c r="G20" i="319"/>
  <c r="E20" i="319"/>
  <c r="K20" i="319" s="1"/>
  <c r="O20" i="319" s="1"/>
  <c r="C20" i="319"/>
  <c r="I19" i="319"/>
  <c r="H19" i="319"/>
  <c r="G19" i="319"/>
  <c r="E19" i="319"/>
  <c r="K19" i="319" s="1"/>
  <c r="O19" i="319" s="1"/>
  <c r="C19" i="319"/>
  <c r="I18" i="319"/>
  <c r="H18" i="319"/>
  <c r="G18" i="319"/>
  <c r="E18" i="319"/>
  <c r="K18" i="319" s="1"/>
  <c r="O18" i="319" s="1"/>
  <c r="C18" i="319"/>
  <c r="I17" i="319"/>
  <c r="H17" i="319"/>
  <c r="G17" i="319"/>
  <c r="E17" i="319"/>
  <c r="K17" i="319" s="1"/>
  <c r="O17" i="319" s="1"/>
  <c r="C17" i="319"/>
  <c r="I16" i="319"/>
  <c r="H16" i="319"/>
  <c r="G16" i="319"/>
  <c r="E16" i="319"/>
  <c r="K16" i="319" s="1"/>
  <c r="O16" i="319" s="1"/>
  <c r="C16" i="319"/>
  <c r="I15" i="319"/>
  <c r="H15" i="319"/>
  <c r="G15" i="319"/>
  <c r="E15" i="319"/>
  <c r="K15" i="319" s="1"/>
  <c r="O15" i="319" s="1"/>
  <c r="C15" i="319"/>
  <c r="I14" i="319"/>
  <c r="H14" i="319"/>
  <c r="G14" i="319"/>
  <c r="E14" i="319"/>
  <c r="K14" i="319" s="1"/>
  <c r="O14" i="319" s="1"/>
  <c r="C14" i="319"/>
  <c r="I13" i="319"/>
  <c r="H13" i="319"/>
  <c r="G13" i="319"/>
  <c r="E13" i="319"/>
  <c r="K13" i="319" s="1"/>
  <c r="O13" i="319" s="1"/>
  <c r="C13" i="319"/>
  <c r="I12" i="319"/>
  <c r="H12" i="319"/>
  <c r="G12" i="319"/>
  <c r="E12" i="319"/>
  <c r="K12" i="319" s="1"/>
  <c r="O12" i="319" s="1"/>
  <c r="C12" i="319"/>
  <c r="I11" i="319"/>
  <c r="H11" i="319"/>
  <c r="G11" i="319"/>
  <c r="E11" i="319"/>
  <c r="K11" i="319" s="1"/>
  <c r="O11" i="319" s="1"/>
  <c r="C11" i="319"/>
  <c r="I10" i="319"/>
  <c r="H10" i="319"/>
  <c r="G10" i="319"/>
  <c r="E10" i="319"/>
  <c r="K10" i="319" s="1"/>
  <c r="O10" i="319" s="1"/>
  <c r="C10" i="319"/>
  <c r="I9" i="319"/>
  <c r="H9" i="319"/>
  <c r="G9" i="319"/>
  <c r="E9" i="319"/>
  <c r="K9" i="319" s="1"/>
  <c r="O9" i="319" s="1"/>
  <c r="C9" i="319"/>
  <c r="I8" i="319"/>
  <c r="H8" i="319"/>
  <c r="G8" i="319"/>
  <c r="E8" i="319"/>
  <c r="K8" i="319" s="1"/>
  <c r="O8" i="319" s="1"/>
  <c r="C8" i="319"/>
  <c r="I7" i="319"/>
  <c r="H7" i="319"/>
  <c r="G7" i="319"/>
  <c r="E7" i="319"/>
  <c r="K7" i="319" s="1"/>
  <c r="O7" i="319" s="1"/>
  <c r="C7" i="319"/>
  <c r="I6" i="319"/>
  <c r="H6" i="319"/>
  <c r="G6" i="319"/>
  <c r="E6" i="319"/>
  <c r="K6" i="319" s="1"/>
  <c r="O6" i="319" s="1"/>
  <c r="C6" i="319"/>
  <c r="I5" i="319"/>
  <c r="H5" i="319"/>
  <c r="G5" i="319"/>
  <c r="E5" i="319"/>
  <c r="C5" i="319"/>
  <c r="D59" i="318"/>
  <c r="H63" i="318" s="1"/>
  <c r="F9" i="181" s="1"/>
  <c r="M45" i="318"/>
  <c r="L45" i="318"/>
  <c r="F45" i="318"/>
  <c r="F63" i="318" s="1"/>
  <c r="D9" i="181" s="1"/>
  <c r="D45" i="318"/>
  <c r="E63" i="318" s="1"/>
  <c r="I44" i="318"/>
  <c r="H44" i="318"/>
  <c r="G44" i="318"/>
  <c r="E44" i="318"/>
  <c r="K44" i="318" s="1"/>
  <c r="N44" i="318" s="1"/>
  <c r="C44" i="318"/>
  <c r="I43" i="318"/>
  <c r="H43" i="318"/>
  <c r="G43" i="318"/>
  <c r="E43" i="318"/>
  <c r="K43" i="318" s="1"/>
  <c r="N43" i="318" s="1"/>
  <c r="C43" i="318"/>
  <c r="I42" i="318"/>
  <c r="H42" i="318"/>
  <c r="G42" i="318"/>
  <c r="E42" i="318"/>
  <c r="K42" i="318" s="1"/>
  <c r="N42" i="318" s="1"/>
  <c r="C42" i="318"/>
  <c r="I41" i="318"/>
  <c r="H41" i="318"/>
  <c r="G41" i="318"/>
  <c r="E41" i="318"/>
  <c r="K41" i="318" s="1"/>
  <c r="N41" i="318" s="1"/>
  <c r="C41" i="318"/>
  <c r="I40" i="318"/>
  <c r="H40" i="318"/>
  <c r="G40" i="318"/>
  <c r="E40" i="318"/>
  <c r="K40" i="318" s="1"/>
  <c r="N40" i="318" s="1"/>
  <c r="C40" i="318"/>
  <c r="I39" i="318"/>
  <c r="H39" i="318"/>
  <c r="G39" i="318"/>
  <c r="E39" i="318"/>
  <c r="K39" i="318" s="1"/>
  <c r="N39" i="318" s="1"/>
  <c r="C39" i="318"/>
  <c r="I38" i="318"/>
  <c r="H38" i="318"/>
  <c r="G38" i="318"/>
  <c r="E38" i="318"/>
  <c r="K38" i="318" s="1"/>
  <c r="N38" i="318" s="1"/>
  <c r="C38" i="318"/>
  <c r="I37" i="318"/>
  <c r="H37" i="318"/>
  <c r="G37" i="318"/>
  <c r="E37" i="318"/>
  <c r="K37" i="318" s="1"/>
  <c r="N37" i="318" s="1"/>
  <c r="C37" i="318"/>
  <c r="I36" i="318"/>
  <c r="H36" i="318"/>
  <c r="G36" i="318"/>
  <c r="E36" i="318"/>
  <c r="K36" i="318" s="1"/>
  <c r="N36" i="318" s="1"/>
  <c r="C36" i="318"/>
  <c r="I35" i="318"/>
  <c r="H35" i="318"/>
  <c r="G35" i="318"/>
  <c r="E35" i="318"/>
  <c r="K35" i="318" s="1"/>
  <c r="N35" i="318" s="1"/>
  <c r="C35" i="318"/>
  <c r="I34" i="318"/>
  <c r="H34" i="318"/>
  <c r="G34" i="318"/>
  <c r="E34" i="318"/>
  <c r="K34" i="318" s="1"/>
  <c r="N34" i="318" s="1"/>
  <c r="C34" i="318"/>
  <c r="I33" i="318"/>
  <c r="H33" i="318"/>
  <c r="G33" i="318"/>
  <c r="E33" i="318"/>
  <c r="K33" i="318" s="1"/>
  <c r="N33" i="318" s="1"/>
  <c r="C33" i="318"/>
  <c r="I32" i="318"/>
  <c r="H32" i="318"/>
  <c r="G32" i="318"/>
  <c r="E32" i="318"/>
  <c r="K32" i="318" s="1"/>
  <c r="N32" i="318" s="1"/>
  <c r="C32" i="318"/>
  <c r="I31" i="318"/>
  <c r="H31" i="318"/>
  <c r="G31" i="318"/>
  <c r="E31" i="318"/>
  <c r="K31" i="318" s="1"/>
  <c r="N31" i="318" s="1"/>
  <c r="C31" i="318"/>
  <c r="I30" i="318"/>
  <c r="H30" i="318"/>
  <c r="G30" i="318"/>
  <c r="E30" i="318"/>
  <c r="K30" i="318" s="1"/>
  <c r="N30" i="318" s="1"/>
  <c r="C30" i="318"/>
  <c r="I29" i="318"/>
  <c r="H29" i="318"/>
  <c r="G29" i="318"/>
  <c r="E29" i="318"/>
  <c r="K29" i="318" s="1"/>
  <c r="N29" i="318" s="1"/>
  <c r="C29" i="318"/>
  <c r="I28" i="318"/>
  <c r="H28" i="318"/>
  <c r="G28" i="318"/>
  <c r="E28" i="318"/>
  <c r="K28" i="318" s="1"/>
  <c r="N28" i="318" s="1"/>
  <c r="C28" i="318"/>
  <c r="I27" i="318"/>
  <c r="H27" i="318"/>
  <c r="G27" i="318"/>
  <c r="E27" i="318"/>
  <c r="K27" i="318" s="1"/>
  <c r="N27" i="318" s="1"/>
  <c r="C27" i="318"/>
  <c r="I26" i="318"/>
  <c r="H26" i="318"/>
  <c r="G26" i="318"/>
  <c r="E26" i="318"/>
  <c r="K26" i="318" s="1"/>
  <c r="N26" i="318" s="1"/>
  <c r="C26" i="318"/>
  <c r="I25" i="318"/>
  <c r="H25" i="318"/>
  <c r="G25" i="318"/>
  <c r="E25" i="318"/>
  <c r="K25" i="318" s="1"/>
  <c r="N25" i="318" s="1"/>
  <c r="C25" i="318"/>
  <c r="I24" i="318"/>
  <c r="H24" i="318"/>
  <c r="G24" i="318"/>
  <c r="E24" i="318"/>
  <c r="K24" i="318" s="1"/>
  <c r="N24" i="318" s="1"/>
  <c r="C24" i="318"/>
  <c r="I23" i="318"/>
  <c r="H23" i="318"/>
  <c r="G23" i="318"/>
  <c r="E23" i="318"/>
  <c r="K23" i="318" s="1"/>
  <c r="N23" i="318" s="1"/>
  <c r="C23" i="318"/>
  <c r="I22" i="318"/>
  <c r="H22" i="318"/>
  <c r="G22" i="318"/>
  <c r="E22" i="318"/>
  <c r="K22" i="318" s="1"/>
  <c r="N22" i="318" s="1"/>
  <c r="C22" i="318"/>
  <c r="I21" i="318"/>
  <c r="H21" i="318"/>
  <c r="G21" i="318"/>
  <c r="E21" i="318"/>
  <c r="K21" i="318" s="1"/>
  <c r="N21" i="318" s="1"/>
  <c r="C21" i="318"/>
  <c r="I20" i="318"/>
  <c r="H20" i="318"/>
  <c r="G20" i="318"/>
  <c r="E20" i="318"/>
  <c r="K20" i="318" s="1"/>
  <c r="N20" i="318" s="1"/>
  <c r="C20" i="318"/>
  <c r="I19" i="318"/>
  <c r="H19" i="318"/>
  <c r="G19" i="318"/>
  <c r="E19" i="318"/>
  <c r="K19" i="318" s="1"/>
  <c r="N19" i="318" s="1"/>
  <c r="C19" i="318"/>
  <c r="I18" i="318"/>
  <c r="H18" i="318"/>
  <c r="G18" i="318"/>
  <c r="E18" i="318"/>
  <c r="K18" i="318" s="1"/>
  <c r="N18" i="318" s="1"/>
  <c r="C18" i="318"/>
  <c r="I17" i="318"/>
  <c r="H17" i="318"/>
  <c r="G17" i="318"/>
  <c r="E17" i="318"/>
  <c r="K17" i="318" s="1"/>
  <c r="N17" i="318" s="1"/>
  <c r="C17" i="318"/>
  <c r="I16" i="318"/>
  <c r="H16" i="318"/>
  <c r="G16" i="318"/>
  <c r="E16" i="318"/>
  <c r="K16" i="318" s="1"/>
  <c r="N16" i="318" s="1"/>
  <c r="C16" i="318"/>
  <c r="I15" i="318"/>
  <c r="H15" i="318"/>
  <c r="G15" i="318"/>
  <c r="E15" i="318"/>
  <c r="K15" i="318" s="1"/>
  <c r="N15" i="318" s="1"/>
  <c r="C15" i="318"/>
  <c r="I14" i="318"/>
  <c r="H14" i="318"/>
  <c r="G14" i="318"/>
  <c r="E14" i="318"/>
  <c r="K14" i="318" s="1"/>
  <c r="N14" i="318" s="1"/>
  <c r="C14" i="318"/>
  <c r="I13" i="318"/>
  <c r="H13" i="318"/>
  <c r="G13" i="318"/>
  <c r="E13" i="318"/>
  <c r="K13" i="318" s="1"/>
  <c r="N13" i="318" s="1"/>
  <c r="C13" i="318"/>
  <c r="I12" i="318"/>
  <c r="H12" i="318"/>
  <c r="G12" i="318"/>
  <c r="E12" i="318"/>
  <c r="K12" i="318" s="1"/>
  <c r="N12" i="318" s="1"/>
  <c r="C12" i="318"/>
  <c r="I11" i="318"/>
  <c r="H11" i="318"/>
  <c r="G11" i="318"/>
  <c r="E11" i="318"/>
  <c r="K11" i="318" s="1"/>
  <c r="N11" i="318" s="1"/>
  <c r="C11" i="318"/>
  <c r="I10" i="318"/>
  <c r="H10" i="318"/>
  <c r="G10" i="318"/>
  <c r="E10" i="318"/>
  <c r="K10" i="318" s="1"/>
  <c r="N10" i="318" s="1"/>
  <c r="C10" i="318"/>
  <c r="I9" i="318"/>
  <c r="H9" i="318"/>
  <c r="G9" i="318"/>
  <c r="E9" i="318"/>
  <c r="K9" i="318" s="1"/>
  <c r="N9" i="318" s="1"/>
  <c r="C9" i="318"/>
  <c r="I8" i="318"/>
  <c r="H8" i="318"/>
  <c r="G8" i="318"/>
  <c r="E8" i="318"/>
  <c r="K8" i="318" s="1"/>
  <c r="N8" i="318" s="1"/>
  <c r="C8" i="318"/>
  <c r="I7" i="318"/>
  <c r="H7" i="318"/>
  <c r="G7" i="318"/>
  <c r="E7" i="318"/>
  <c r="K7" i="318" s="1"/>
  <c r="N7" i="318" s="1"/>
  <c r="C7" i="318"/>
  <c r="I6" i="318"/>
  <c r="H6" i="318"/>
  <c r="G6" i="318"/>
  <c r="E6" i="318"/>
  <c r="K6" i="318" s="1"/>
  <c r="N6" i="318" s="1"/>
  <c r="C6" i="318"/>
  <c r="I5" i="318"/>
  <c r="H5" i="318"/>
  <c r="G5" i="318"/>
  <c r="E5" i="318"/>
  <c r="K5" i="318" s="1"/>
  <c r="N5" i="318" s="1"/>
  <c r="C5" i="318"/>
  <c r="D59" i="317"/>
  <c r="H63" i="317" s="1"/>
  <c r="F8" i="181" s="1"/>
  <c r="M45" i="317"/>
  <c r="L45" i="317"/>
  <c r="F45" i="317"/>
  <c r="F63" i="317" s="1"/>
  <c r="D8" i="181" s="1"/>
  <c r="D45" i="317"/>
  <c r="D3" i="317" s="1"/>
  <c r="I44" i="317"/>
  <c r="H44" i="317"/>
  <c r="G44" i="317"/>
  <c r="E44" i="317"/>
  <c r="K44" i="317" s="1"/>
  <c r="C44" i="317"/>
  <c r="I43" i="317"/>
  <c r="H43" i="317"/>
  <c r="G43" i="317"/>
  <c r="E43" i="317"/>
  <c r="K43" i="317" s="1"/>
  <c r="O43" i="317" s="1"/>
  <c r="C43" i="317"/>
  <c r="I42" i="317"/>
  <c r="H42" i="317"/>
  <c r="G42" i="317"/>
  <c r="E42" i="317"/>
  <c r="K42" i="317" s="1"/>
  <c r="O42" i="317" s="1"/>
  <c r="C42" i="317"/>
  <c r="I41" i="317"/>
  <c r="H41" i="317"/>
  <c r="G41" i="317"/>
  <c r="E41" i="317"/>
  <c r="K41" i="317" s="1"/>
  <c r="C41" i="317"/>
  <c r="I40" i="317"/>
  <c r="H40" i="317"/>
  <c r="G40" i="317"/>
  <c r="E40" i="317"/>
  <c r="K40" i="317" s="1"/>
  <c r="O40" i="317" s="1"/>
  <c r="C40" i="317"/>
  <c r="I39" i="317"/>
  <c r="H39" i="317"/>
  <c r="G39" i="317"/>
  <c r="E39" i="317"/>
  <c r="K39" i="317" s="1"/>
  <c r="C39" i="317"/>
  <c r="I38" i="317"/>
  <c r="H38" i="317"/>
  <c r="G38" i="317"/>
  <c r="E38" i="317"/>
  <c r="K38" i="317" s="1"/>
  <c r="C38" i="317"/>
  <c r="I37" i="317"/>
  <c r="H37" i="317"/>
  <c r="G37" i="317"/>
  <c r="E37" i="317"/>
  <c r="K37" i="317" s="1"/>
  <c r="C37" i="317"/>
  <c r="I36" i="317"/>
  <c r="H36" i="317"/>
  <c r="G36" i="317"/>
  <c r="E36" i="317"/>
  <c r="K36" i="317" s="1"/>
  <c r="C36" i="317"/>
  <c r="I35" i="317"/>
  <c r="H35" i="317"/>
  <c r="G35" i="317"/>
  <c r="E35" i="317"/>
  <c r="K35" i="317" s="1"/>
  <c r="O35" i="317" s="1"/>
  <c r="C35" i="317"/>
  <c r="I34" i="317"/>
  <c r="H34" i="317"/>
  <c r="G34" i="317"/>
  <c r="E34" i="317"/>
  <c r="K34" i="317" s="1"/>
  <c r="O34" i="317" s="1"/>
  <c r="C34" i="317"/>
  <c r="I33" i="317"/>
  <c r="H33" i="317"/>
  <c r="G33" i="317"/>
  <c r="E33" i="317"/>
  <c r="K33" i="317" s="1"/>
  <c r="C33" i="317"/>
  <c r="I32" i="317"/>
  <c r="H32" i="317"/>
  <c r="G32" i="317"/>
  <c r="E32" i="317"/>
  <c r="K32" i="317" s="1"/>
  <c r="O32" i="317" s="1"/>
  <c r="C32" i="317"/>
  <c r="I31" i="317"/>
  <c r="H31" i="317"/>
  <c r="G31" i="317"/>
  <c r="E31" i="317"/>
  <c r="K31" i="317" s="1"/>
  <c r="C31" i="317"/>
  <c r="I30" i="317"/>
  <c r="H30" i="317"/>
  <c r="G30" i="317"/>
  <c r="E30" i="317"/>
  <c r="K30" i="317" s="1"/>
  <c r="C30" i="317"/>
  <c r="I29" i="317"/>
  <c r="H29" i="317"/>
  <c r="G29" i="317"/>
  <c r="E29" i="317"/>
  <c r="K29" i="317" s="1"/>
  <c r="O29" i="317" s="1"/>
  <c r="C29" i="317"/>
  <c r="I28" i="317"/>
  <c r="H28" i="317"/>
  <c r="G28" i="317"/>
  <c r="E28" i="317"/>
  <c r="K28" i="317" s="1"/>
  <c r="C28" i="317"/>
  <c r="I27" i="317"/>
  <c r="H27" i="317"/>
  <c r="G27" i="317"/>
  <c r="E27" i="317"/>
  <c r="K27" i="317" s="1"/>
  <c r="O27" i="317" s="1"/>
  <c r="C27" i="317"/>
  <c r="I26" i="317"/>
  <c r="H26" i="317"/>
  <c r="G26" i="317"/>
  <c r="E26" i="317"/>
  <c r="K26" i="317" s="1"/>
  <c r="O26" i="317" s="1"/>
  <c r="C26" i="317"/>
  <c r="I25" i="317"/>
  <c r="H25" i="317"/>
  <c r="G25" i="317"/>
  <c r="E25" i="317"/>
  <c r="K25" i="317" s="1"/>
  <c r="C25" i="317"/>
  <c r="I24" i="317"/>
  <c r="H24" i="317"/>
  <c r="G24" i="317"/>
  <c r="E24" i="317"/>
  <c r="K24" i="317" s="1"/>
  <c r="O24" i="317" s="1"/>
  <c r="C24" i="317"/>
  <c r="I23" i="317"/>
  <c r="H23" i="317"/>
  <c r="G23" i="317"/>
  <c r="E23" i="317"/>
  <c r="K23" i="317" s="1"/>
  <c r="C23" i="317"/>
  <c r="I22" i="317"/>
  <c r="H22" i="317"/>
  <c r="G22" i="317"/>
  <c r="E22" i="317"/>
  <c r="K22" i="317" s="1"/>
  <c r="C22" i="317"/>
  <c r="I21" i="317"/>
  <c r="H21" i="317"/>
  <c r="G21" i="317"/>
  <c r="E21" i="317"/>
  <c r="K21" i="317" s="1"/>
  <c r="C21" i="317"/>
  <c r="I20" i="317"/>
  <c r="H20" i="317"/>
  <c r="G20" i="317"/>
  <c r="E20" i="317"/>
  <c r="K20" i="317" s="1"/>
  <c r="C20" i="317"/>
  <c r="I19" i="317"/>
  <c r="H19" i="317"/>
  <c r="G19" i="317"/>
  <c r="E19" i="317"/>
  <c r="K19" i="317" s="1"/>
  <c r="O19" i="317" s="1"/>
  <c r="C19" i="317"/>
  <c r="I18" i="317"/>
  <c r="H18" i="317"/>
  <c r="G18" i="317"/>
  <c r="E18" i="317"/>
  <c r="K18" i="317" s="1"/>
  <c r="O18" i="317" s="1"/>
  <c r="C18" i="317"/>
  <c r="I17" i="317"/>
  <c r="H17" i="317"/>
  <c r="G17" i="317"/>
  <c r="E17" i="317"/>
  <c r="K17" i="317" s="1"/>
  <c r="C17" i="317"/>
  <c r="I16" i="317"/>
  <c r="H16" i="317"/>
  <c r="G16" i="317"/>
  <c r="E16" i="317"/>
  <c r="K16" i="317" s="1"/>
  <c r="C16" i="317"/>
  <c r="I15" i="317"/>
  <c r="H15" i="317"/>
  <c r="G15" i="317"/>
  <c r="E15" i="317"/>
  <c r="K15" i="317" s="1"/>
  <c r="C15" i="317"/>
  <c r="I14" i="317"/>
  <c r="H14" i="317"/>
  <c r="G14" i="317"/>
  <c r="E14" i="317"/>
  <c r="K14" i="317" s="1"/>
  <c r="N14" i="317" s="1"/>
  <c r="C14" i="317"/>
  <c r="I13" i="317"/>
  <c r="H13" i="317"/>
  <c r="G13" i="317"/>
  <c r="E13" i="317"/>
  <c r="K13" i="317" s="1"/>
  <c r="N13" i="317" s="1"/>
  <c r="C13" i="317"/>
  <c r="I12" i="317"/>
  <c r="H12" i="317"/>
  <c r="G12" i="317"/>
  <c r="E12" i="317"/>
  <c r="K12" i="317" s="1"/>
  <c r="N12" i="317" s="1"/>
  <c r="C12" i="317"/>
  <c r="I11" i="317"/>
  <c r="H11" i="317"/>
  <c r="G11" i="317"/>
  <c r="E11" i="317"/>
  <c r="K11" i="317" s="1"/>
  <c r="N11" i="317" s="1"/>
  <c r="C11" i="317"/>
  <c r="I10" i="317"/>
  <c r="H10" i="317"/>
  <c r="G10" i="317"/>
  <c r="E10" i="317"/>
  <c r="K10" i="317" s="1"/>
  <c r="C10" i="317"/>
  <c r="I9" i="317"/>
  <c r="H9" i="317"/>
  <c r="G9" i="317"/>
  <c r="E9" i="317"/>
  <c r="K9" i="317" s="1"/>
  <c r="C9" i="317"/>
  <c r="I8" i="317"/>
  <c r="H8" i="317"/>
  <c r="G8" i="317"/>
  <c r="E8" i="317"/>
  <c r="K8" i="317" s="1"/>
  <c r="C8" i="317"/>
  <c r="I7" i="317"/>
  <c r="H7" i="317"/>
  <c r="G7" i="317"/>
  <c r="E7" i="317"/>
  <c r="K7" i="317" s="1"/>
  <c r="C7" i="317"/>
  <c r="I6" i="317"/>
  <c r="H6" i="317"/>
  <c r="G6" i="317"/>
  <c r="E6" i="317"/>
  <c r="K6" i="317" s="1"/>
  <c r="N6" i="317" s="1"/>
  <c r="C6" i="317"/>
  <c r="I5" i="317"/>
  <c r="H5" i="317"/>
  <c r="G5" i="317"/>
  <c r="E5" i="317"/>
  <c r="K5" i="317" s="1"/>
  <c r="N5" i="317" s="1"/>
  <c r="C5" i="317"/>
  <c r="D59" i="316"/>
  <c r="H63" i="316" s="1"/>
  <c r="F7" i="181" s="1"/>
  <c r="M45" i="316"/>
  <c r="L45" i="316"/>
  <c r="F45" i="316"/>
  <c r="F63" i="316" s="1"/>
  <c r="D7" i="181" s="1"/>
  <c r="I44" i="316"/>
  <c r="H44" i="316"/>
  <c r="G44" i="316"/>
  <c r="E44" i="316"/>
  <c r="K44" i="316" s="1"/>
  <c r="O44" i="316" s="1"/>
  <c r="C44" i="316"/>
  <c r="I43" i="316"/>
  <c r="H43" i="316"/>
  <c r="G43" i="316"/>
  <c r="E43" i="316"/>
  <c r="K43" i="316" s="1"/>
  <c r="O43" i="316" s="1"/>
  <c r="C43" i="316"/>
  <c r="I42" i="316"/>
  <c r="H42" i="316"/>
  <c r="G42" i="316"/>
  <c r="E42" i="316"/>
  <c r="K42" i="316" s="1"/>
  <c r="O42" i="316" s="1"/>
  <c r="C42" i="316"/>
  <c r="I41" i="316"/>
  <c r="H41" i="316"/>
  <c r="G41" i="316"/>
  <c r="E41" i="316"/>
  <c r="K41" i="316" s="1"/>
  <c r="O41" i="316" s="1"/>
  <c r="C41" i="316"/>
  <c r="I40" i="316"/>
  <c r="H40" i="316"/>
  <c r="G40" i="316"/>
  <c r="E40" i="316"/>
  <c r="K40" i="316" s="1"/>
  <c r="O40" i="316" s="1"/>
  <c r="C40" i="316"/>
  <c r="I39" i="316"/>
  <c r="H39" i="316"/>
  <c r="G39" i="316"/>
  <c r="E39" i="316"/>
  <c r="K39" i="316" s="1"/>
  <c r="O39" i="316" s="1"/>
  <c r="C39" i="316"/>
  <c r="I38" i="316"/>
  <c r="H38" i="316"/>
  <c r="G38" i="316"/>
  <c r="E38" i="316"/>
  <c r="K38" i="316" s="1"/>
  <c r="O38" i="316" s="1"/>
  <c r="C38" i="316"/>
  <c r="I37" i="316"/>
  <c r="H37" i="316"/>
  <c r="G37" i="316"/>
  <c r="E37" i="316"/>
  <c r="K37" i="316" s="1"/>
  <c r="O37" i="316" s="1"/>
  <c r="C37" i="316"/>
  <c r="I36" i="316"/>
  <c r="H36" i="316"/>
  <c r="G36" i="316"/>
  <c r="E36" i="316"/>
  <c r="K36" i="316" s="1"/>
  <c r="O36" i="316" s="1"/>
  <c r="C36" i="316"/>
  <c r="I35" i="316"/>
  <c r="H35" i="316"/>
  <c r="G35" i="316"/>
  <c r="E35" i="316"/>
  <c r="K35" i="316" s="1"/>
  <c r="O35" i="316" s="1"/>
  <c r="C35" i="316"/>
  <c r="I34" i="316"/>
  <c r="H34" i="316"/>
  <c r="G34" i="316"/>
  <c r="E34" i="316"/>
  <c r="K34" i="316" s="1"/>
  <c r="O34" i="316" s="1"/>
  <c r="C34" i="316"/>
  <c r="I33" i="316"/>
  <c r="H33" i="316"/>
  <c r="G33" i="316"/>
  <c r="E33" i="316"/>
  <c r="K33" i="316" s="1"/>
  <c r="O33" i="316" s="1"/>
  <c r="C33" i="316"/>
  <c r="I32" i="316"/>
  <c r="H32" i="316"/>
  <c r="G32" i="316"/>
  <c r="E32" i="316"/>
  <c r="K32" i="316" s="1"/>
  <c r="O32" i="316" s="1"/>
  <c r="C32" i="316"/>
  <c r="I31" i="316"/>
  <c r="H31" i="316"/>
  <c r="G31" i="316"/>
  <c r="E31" i="316"/>
  <c r="K31" i="316" s="1"/>
  <c r="O31" i="316" s="1"/>
  <c r="C31" i="316"/>
  <c r="I30" i="316"/>
  <c r="H30" i="316"/>
  <c r="G30" i="316"/>
  <c r="E30" i="316"/>
  <c r="K30" i="316" s="1"/>
  <c r="C30" i="316"/>
  <c r="I29" i="316"/>
  <c r="H29" i="316"/>
  <c r="G29" i="316"/>
  <c r="E29" i="316"/>
  <c r="K29" i="316" s="1"/>
  <c r="C29" i="316"/>
  <c r="I28" i="316"/>
  <c r="H28" i="316"/>
  <c r="G28" i="316"/>
  <c r="E28" i="316"/>
  <c r="K28" i="316" s="1"/>
  <c r="C28" i="316"/>
  <c r="I27" i="316"/>
  <c r="H27" i="316"/>
  <c r="G27" i="316"/>
  <c r="E27" i="316"/>
  <c r="K27" i="316" s="1"/>
  <c r="C27" i="316"/>
  <c r="I26" i="316"/>
  <c r="H26" i="316"/>
  <c r="G26" i="316"/>
  <c r="E26" i="316"/>
  <c r="K26" i="316" s="1"/>
  <c r="C26" i="316"/>
  <c r="I25" i="316"/>
  <c r="H25" i="316"/>
  <c r="G25" i="316"/>
  <c r="E25" i="316"/>
  <c r="K25" i="316" s="1"/>
  <c r="C25" i="316"/>
  <c r="I24" i="316"/>
  <c r="H24" i="316"/>
  <c r="G24" i="316"/>
  <c r="E24" i="316"/>
  <c r="K24" i="316" s="1"/>
  <c r="C24" i="316"/>
  <c r="I23" i="316"/>
  <c r="H23" i="316"/>
  <c r="G23" i="316"/>
  <c r="E23" i="316"/>
  <c r="K23" i="316" s="1"/>
  <c r="C23" i="316"/>
  <c r="I22" i="316"/>
  <c r="H22" i="316"/>
  <c r="G22" i="316"/>
  <c r="E22" i="316"/>
  <c r="K22" i="316" s="1"/>
  <c r="C22" i="316"/>
  <c r="I21" i="316"/>
  <c r="H21" i="316"/>
  <c r="G21" i="316"/>
  <c r="E21" i="316"/>
  <c r="K21" i="316" s="1"/>
  <c r="C21" i="316"/>
  <c r="I20" i="316"/>
  <c r="H20" i="316"/>
  <c r="G20" i="316"/>
  <c r="E20" i="316"/>
  <c r="K20" i="316" s="1"/>
  <c r="C20" i="316"/>
  <c r="I19" i="316"/>
  <c r="H19" i="316"/>
  <c r="G19" i="316"/>
  <c r="E19" i="316"/>
  <c r="K19" i="316" s="1"/>
  <c r="C19" i="316"/>
  <c r="I18" i="316"/>
  <c r="H18" i="316"/>
  <c r="G18" i="316"/>
  <c r="E18" i="316"/>
  <c r="K18" i="316" s="1"/>
  <c r="C18" i="316"/>
  <c r="I17" i="316"/>
  <c r="H17" i="316"/>
  <c r="G17" i="316"/>
  <c r="E17" i="316"/>
  <c r="K17" i="316" s="1"/>
  <c r="C17" i="316"/>
  <c r="I16" i="316"/>
  <c r="H16" i="316"/>
  <c r="G16" i="316"/>
  <c r="E16" i="316"/>
  <c r="K16" i="316" s="1"/>
  <c r="C16" i="316"/>
  <c r="I15" i="316"/>
  <c r="C15" i="316"/>
  <c r="I14" i="316"/>
  <c r="H14" i="316"/>
  <c r="G14" i="316"/>
  <c r="E14" i="316"/>
  <c r="K14" i="316" s="1"/>
  <c r="C14" i="316"/>
  <c r="I13" i="316"/>
  <c r="H13" i="316"/>
  <c r="G13" i="316"/>
  <c r="E13" i="316"/>
  <c r="K13" i="316" s="1"/>
  <c r="C13" i="316"/>
  <c r="I12" i="316"/>
  <c r="H12" i="316"/>
  <c r="G12" i="316"/>
  <c r="E12" i="316"/>
  <c r="K12" i="316" s="1"/>
  <c r="C12" i="316"/>
  <c r="I11" i="316"/>
  <c r="H11" i="316"/>
  <c r="G11" i="316"/>
  <c r="E11" i="316"/>
  <c r="K11" i="316" s="1"/>
  <c r="C11" i="316"/>
  <c r="I10" i="316"/>
  <c r="H10" i="316"/>
  <c r="G10" i="316"/>
  <c r="E10" i="316"/>
  <c r="K10" i="316" s="1"/>
  <c r="C10" i="316"/>
  <c r="I9" i="316"/>
  <c r="H9" i="316"/>
  <c r="G9" i="316"/>
  <c r="E9" i="316"/>
  <c r="K9" i="316" s="1"/>
  <c r="C9" i="316"/>
  <c r="I8" i="316"/>
  <c r="H8" i="316"/>
  <c r="G8" i="316"/>
  <c r="E8" i="316"/>
  <c r="K8" i="316" s="1"/>
  <c r="C8" i="316"/>
  <c r="I7" i="316"/>
  <c r="H7" i="316"/>
  <c r="G7" i="316"/>
  <c r="E7" i="316"/>
  <c r="K7" i="316" s="1"/>
  <c r="C7" i="316"/>
  <c r="I6" i="316"/>
  <c r="H6" i="316"/>
  <c r="G6" i="316"/>
  <c r="E6" i="316"/>
  <c r="K6" i="316" s="1"/>
  <c r="C6" i="316"/>
  <c r="I5" i="316"/>
  <c r="H5" i="316"/>
  <c r="G5" i="316"/>
  <c r="E5" i="316"/>
  <c r="C5" i="316"/>
  <c r="D59" i="315"/>
  <c r="H63" i="315" s="1"/>
  <c r="F6" i="181" s="1"/>
  <c r="M45" i="315"/>
  <c r="L45" i="315"/>
  <c r="F45" i="315"/>
  <c r="F63" i="315" s="1"/>
  <c r="D6" i="181" s="1"/>
  <c r="D45" i="315"/>
  <c r="E63" i="315" s="1"/>
  <c r="C6" i="181" s="1"/>
  <c r="I44" i="315"/>
  <c r="H44" i="315"/>
  <c r="G44" i="315"/>
  <c r="E44" i="315"/>
  <c r="K44" i="315" s="1"/>
  <c r="C44" i="315"/>
  <c r="I43" i="315"/>
  <c r="H43" i="315"/>
  <c r="G43" i="315"/>
  <c r="E43" i="315"/>
  <c r="K43" i="315" s="1"/>
  <c r="C43" i="315"/>
  <c r="I42" i="315"/>
  <c r="H42" i="315"/>
  <c r="G42" i="315"/>
  <c r="E42" i="315"/>
  <c r="K42" i="315" s="1"/>
  <c r="N42" i="315" s="1"/>
  <c r="C42" i="315"/>
  <c r="I41" i="315"/>
  <c r="H41" i="315"/>
  <c r="G41" i="315"/>
  <c r="E41" i="315"/>
  <c r="K41" i="315" s="1"/>
  <c r="C41" i="315"/>
  <c r="I40" i="315"/>
  <c r="H40" i="315"/>
  <c r="G40" i="315"/>
  <c r="E40" i="315"/>
  <c r="K40" i="315" s="1"/>
  <c r="C40" i="315"/>
  <c r="I39" i="315"/>
  <c r="H39" i="315"/>
  <c r="G39" i="315"/>
  <c r="E39" i="315"/>
  <c r="K39" i="315" s="1"/>
  <c r="C39" i="315"/>
  <c r="I38" i="315"/>
  <c r="H38" i="315"/>
  <c r="G38" i="315"/>
  <c r="E38" i="315"/>
  <c r="K38" i="315" s="1"/>
  <c r="C38" i="315"/>
  <c r="I37" i="315"/>
  <c r="H37" i="315"/>
  <c r="G37" i="315"/>
  <c r="E37" i="315"/>
  <c r="K37" i="315" s="1"/>
  <c r="N37" i="315" s="1"/>
  <c r="C37" i="315"/>
  <c r="I36" i="315"/>
  <c r="H36" i="315"/>
  <c r="G36" i="315"/>
  <c r="E36" i="315"/>
  <c r="K36" i="315" s="1"/>
  <c r="C36" i="315"/>
  <c r="I35" i="315"/>
  <c r="H35" i="315"/>
  <c r="G35" i="315"/>
  <c r="E35" i="315"/>
  <c r="K35" i="315" s="1"/>
  <c r="N35" i="315" s="1"/>
  <c r="C35" i="315"/>
  <c r="I34" i="315"/>
  <c r="H34" i="315"/>
  <c r="G34" i="315"/>
  <c r="E34" i="315"/>
  <c r="K34" i="315" s="1"/>
  <c r="N34" i="315" s="1"/>
  <c r="C34" i="315"/>
  <c r="I33" i="315"/>
  <c r="H33" i="315"/>
  <c r="G33" i="315"/>
  <c r="E33" i="315"/>
  <c r="K33" i="315" s="1"/>
  <c r="C33" i="315"/>
  <c r="I32" i="315"/>
  <c r="H32" i="315"/>
  <c r="G32" i="315"/>
  <c r="E32" i="315"/>
  <c r="K32" i="315" s="1"/>
  <c r="C32" i="315"/>
  <c r="I31" i="315"/>
  <c r="H31" i="315"/>
  <c r="G31" i="315"/>
  <c r="E31" i="315"/>
  <c r="K31" i="315" s="1"/>
  <c r="C31" i="315"/>
  <c r="I30" i="315"/>
  <c r="H30" i="315"/>
  <c r="G30" i="315"/>
  <c r="E30" i="315"/>
  <c r="K30" i="315" s="1"/>
  <c r="C30" i="315"/>
  <c r="I29" i="315"/>
  <c r="H29" i="315"/>
  <c r="G29" i="315"/>
  <c r="E29" i="315"/>
  <c r="K29" i="315" s="1"/>
  <c r="N29" i="315" s="1"/>
  <c r="C29" i="315"/>
  <c r="I28" i="315"/>
  <c r="H28" i="315"/>
  <c r="G28" i="315"/>
  <c r="E28" i="315"/>
  <c r="K28" i="315" s="1"/>
  <c r="N28" i="315" s="1"/>
  <c r="C28" i="315"/>
  <c r="I27" i="315"/>
  <c r="H27" i="315"/>
  <c r="G27" i="315"/>
  <c r="E27" i="315"/>
  <c r="K27" i="315" s="1"/>
  <c r="C27" i="315"/>
  <c r="I26" i="315"/>
  <c r="H26" i="315"/>
  <c r="G26" i="315"/>
  <c r="E26" i="315"/>
  <c r="K26" i="315" s="1"/>
  <c r="N26" i="315" s="1"/>
  <c r="C26" i="315"/>
  <c r="I25" i="315"/>
  <c r="H25" i="315"/>
  <c r="G25" i="315"/>
  <c r="E25" i="315"/>
  <c r="K25" i="315" s="1"/>
  <c r="C25" i="315"/>
  <c r="I24" i="315"/>
  <c r="H24" i="315"/>
  <c r="G24" i="315"/>
  <c r="E24" i="315"/>
  <c r="K24" i="315" s="1"/>
  <c r="C24" i="315"/>
  <c r="I23" i="315"/>
  <c r="H23" i="315"/>
  <c r="G23" i="315"/>
  <c r="E23" i="315"/>
  <c r="K23" i="315" s="1"/>
  <c r="C23" i="315"/>
  <c r="I22" i="315"/>
  <c r="H22" i="315"/>
  <c r="G22" i="315"/>
  <c r="E22" i="315"/>
  <c r="K22" i="315" s="1"/>
  <c r="C22" i="315"/>
  <c r="I21" i="315"/>
  <c r="H21" i="315"/>
  <c r="G21" i="315"/>
  <c r="E21" i="315"/>
  <c r="K21" i="315" s="1"/>
  <c r="N21" i="315" s="1"/>
  <c r="C21" i="315"/>
  <c r="I20" i="315"/>
  <c r="H20" i="315"/>
  <c r="G20" i="315"/>
  <c r="E20" i="315"/>
  <c r="K20" i="315" s="1"/>
  <c r="C20" i="315"/>
  <c r="I19" i="315"/>
  <c r="H19" i="315"/>
  <c r="G19" i="315"/>
  <c r="E19" i="315"/>
  <c r="K19" i="315" s="1"/>
  <c r="C19" i="315"/>
  <c r="I18" i="315"/>
  <c r="H18" i="315"/>
  <c r="G18" i="315"/>
  <c r="E18" i="315"/>
  <c r="K18" i="315" s="1"/>
  <c r="N18" i="315" s="1"/>
  <c r="C18" i="315"/>
  <c r="I17" i="315"/>
  <c r="H17" i="315"/>
  <c r="G17" i="315"/>
  <c r="E17" i="315"/>
  <c r="K17" i="315" s="1"/>
  <c r="C17" i="315"/>
  <c r="I16" i="315"/>
  <c r="H16" i="315"/>
  <c r="G16" i="315"/>
  <c r="E16" i="315"/>
  <c r="K16" i="315" s="1"/>
  <c r="C16" i="315"/>
  <c r="I15" i="315"/>
  <c r="H15" i="315"/>
  <c r="G15" i="315"/>
  <c r="E15" i="315"/>
  <c r="K15" i="315" s="1"/>
  <c r="C15" i="315"/>
  <c r="I14" i="315"/>
  <c r="H14" i="315"/>
  <c r="G14" i="315"/>
  <c r="E14" i="315"/>
  <c r="K14" i="315" s="1"/>
  <c r="C14" i="315"/>
  <c r="I13" i="315"/>
  <c r="H13" i="315"/>
  <c r="G13" i="315"/>
  <c r="E13" i="315"/>
  <c r="K13" i="315" s="1"/>
  <c r="N13" i="315" s="1"/>
  <c r="C13" i="315"/>
  <c r="I12" i="315"/>
  <c r="H12" i="315"/>
  <c r="G12" i="315"/>
  <c r="E12" i="315"/>
  <c r="K12" i="315" s="1"/>
  <c r="C12" i="315"/>
  <c r="I11" i="315"/>
  <c r="H11" i="315"/>
  <c r="G11" i="315"/>
  <c r="E11" i="315"/>
  <c r="K11" i="315" s="1"/>
  <c r="C11" i="315"/>
  <c r="I10" i="315"/>
  <c r="H10" i="315"/>
  <c r="G10" i="315"/>
  <c r="E10" i="315"/>
  <c r="K10" i="315" s="1"/>
  <c r="N10" i="315" s="1"/>
  <c r="C10" i="315"/>
  <c r="I9" i="315"/>
  <c r="H9" i="315"/>
  <c r="G9" i="315"/>
  <c r="E9" i="315"/>
  <c r="K9" i="315" s="1"/>
  <c r="C9" i="315"/>
  <c r="I8" i="315"/>
  <c r="H8" i="315"/>
  <c r="G8" i="315"/>
  <c r="E8" i="315"/>
  <c r="K8" i="315" s="1"/>
  <c r="C8" i="315"/>
  <c r="I7" i="315"/>
  <c r="H7" i="315"/>
  <c r="G7" i="315"/>
  <c r="E7" i="315"/>
  <c r="K7" i="315" s="1"/>
  <c r="C7" i="315"/>
  <c r="I6" i="315"/>
  <c r="H6" i="315"/>
  <c r="G6" i="315"/>
  <c r="E6" i="315"/>
  <c r="K6" i="315" s="1"/>
  <c r="C6" i="315"/>
  <c r="I5" i="315"/>
  <c r="H5" i="315"/>
  <c r="G5" i="315"/>
  <c r="E5" i="315"/>
  <c r="K5" i="315" s="1"/>
  <c r="N5" i="315" s="1"/>
  <c r="C5" i="315"/>
  <c r="D59" i="314"/>
  <c r="H63" i="314" s="1"/>
  <c r="F5" i="181" s="1"/>
  <c r="M45" i="314"/>
  <c r="L45" i="314"/>
  <c r="F45" i="314"/>
  <c r="F63" i="314" s="1"/>
  <c r="D5" i="181" s="1"/>
  <c r="D45" i="314"/>
  <c r="D3" i="314" s="1"/>
  <c r="I44" i="314"/>
  <c r="H44" i="314"/>
  <c r="G44" i="314"/>
  <c r="E44" i="314"/>
  <c r="K44" i="314" s="1"/>
  <c r="C44" i="314"/>
  <c r="I43" i="314"/>
  <c r="H43" i="314"/>
  <c r="G43" i="314"/>
  <c r="E43" i="314"/>
  <c r="K43" i="314" s="1"/>
  <c r="C43" i="314"/>
  <c r="I42" i="314"/>
  <c r="H42" i="314"/>
  <c r="G42" i="314"/>
  <c r="E42" i="314"/>
  <c r="K42" i="314" s="1"/>
  <c r="C42" i="314"/>
  <c r="I41" i="314"/>
  <c r="H41" i="314"/>
  <c r="G41" i="314"/>
  <c r="E41" i="314"/>
  <c r="K41" i="314" s="1"/>
  <c r="C41" i="314"/>
  <c r="I40" i="314"/>
  <c r="H40" i="314"/>
  <c r="G40" i="314"/>
  <c r="E40" i="314"/>
  <c r="K40" i="314" s="1"/>
  <c r="C40" i="314"/>
  <c r="I39" i="314"/>
  <c r="H39" i="314"/>
  <c r="G39" i="314"/>
  <c r="E39" i="314"/>
  <c r="K39" i="314" s="1"/>
  <c r="C39" i="314"/>
  <c r="I38" i="314"/>
  <c r="H38" i="314"/>
  <c r="G38" i="314"/>
  <c r="E38" i="314"/>
  <c r="K38" i="314" s="1"/>
  <c r="C38" i="314"/>
  <c r="I37" i="314"/>
  <c r="H37" i="314"/>
  <c r="G37" i="314"/>
  <c r="E37" i="314"/>
  <c r="K37" i="314" s="1"/>
  <c r="C37" i="314"/>
  <c r="I36" i="314"/>
  <c r="H36" i="314"/>
  <c r="G36" i="314"/>
  <c r="E36" i="314"/>
  <c r="K36" i="314" s="1"/>
  <c r="C36" i="314"/>
  <c r="I35" i="314"/>
  <c r="H35" i="314"/>
  <c r="G35" i="314"/>
  <c r="E35" i="314"/>
  <c r="K35" i="314" s="1"/>
  <c r="C35" i="314"/>
  <c r="I34" i="314"/>
  <c r="H34" i="314"/>
  <c r="G34" i="314"/>
  <c r="E34" i="314"/>
  <c r="K34" i="314" s="1"/>
  <c r="C34" i="314"/>
  <c r="I33" i="314"/>
  <c r="H33" i="314"/>
  <c r="G33" i="314"/>
  <c r="E33" i="314"/>
  <c r="K33" i="314" s="1"/>
  <c r="C33" i="314"/>
  <c r="I32" i="314"/>
  <c r="H32" i="314"/>
  <c r="G32" i="314"/>
  <c r="E32" i="314"/>
  <c r="K32" i="314" s="1"/>
  <c r="C32" i="314"/>
  <c r="I31" i="314"/>
  <c r="H31" i="314"/>
  <c r="G31" i="314"/>
  <c r="E31" i="314"/>
  <c r="K31" i="314" s="1"/>
  <c r="C31" i="314"/>
  <c r="I30" i="314"/>
  <c r="H30" i="314"/>
  <c r="G30" i="314"/>
  <c r="E30" i="314"/>
  <c r="K30" i="314" s="1"/>
  <c r="C30" i="314"/>
  <c r="I29" i="314"/>
  <c r="H29" i="314"/>
  <c r="G29" i="314"/>
  <c r="E29" i="314"/>
  <c r="K29" i="314" s="1"/>
  <c r="C29" i="314"/>
  <c r="I28" i="314"/>
  <c r="H28" i="314"/>
  <c r="G28" i="314"/>
  <c r="E28" i="314"/>
  <c r="K28" i="314" s="1"/>
  <c r="C28" i="314"/>
  <c r="I27" i="314"/>
  <c r="H27" i="314"/>
  <c r="G27" i="314"/>
  <c r="E27" i="314"/>
  <c r="K27" i="314" s="1"/>
  <c r="C27" i="314"/>
  <c r="I26" i="314"/>
  <c r="H26" i="314"/>
  <c r="G26" i="314"/>
  <c r="E26" i="314"/>
  <c r="K26" i="314" s="1"/>
  <c r="C26" i="314"/>
  <c r="I25" i="314"/>
  <c r="H25" i="314"/>
  <c r="G25" i="314"/>
  <c r="E25" i="314"/>
  <c r="K25" i="314" s="1"/>
  <c r="C25" i="314"/>
  <c r="I24" i="314"/>
  <c r="H24" i="314"/>
  <c r="G24" i="314"/>
  <c r="E24" i="314"/>
  <c r="K24" i="314" s="1"/>
  <c r="C24" i="314"/>
  <c r="I23" i="314"/>
  <c r="H23" i="314"/>
  <c r="G23" i="314"/>
  <c r="E23" i="314"/>
  <c r="K23" i="314" s="1"/>
  <c r="C23" i="314"/>
  <c r="I22" i="314"/>
  <c r="H22" i="314"/>
  <c r="G22" i="314"/>
  <c r="E22" i="314"/>
  <c r="K22" i="314" s="1"/>
  <c r="C22" i="314"/>
  <c r="I21" i="314"/>
  <c r="H21" i="314"/>
  <c r="G21" i="314"/>
  <c r="E21" i="314"/>
  <c r="K21" i="314" s="1"/>
  <c r="C21" i="314"/>
  <c r="I20" i="314"/>
  <c r="H20" i="314"/>
  <c r="G20" i="314"/>
  <c r="E20" i="314"/>
  <c r="K20" i="314" s="1"/>
  <c r="C20" i="314"/>
  <c r="I19" i="314"/>
  <c r="H19" i="314"/>
  <c r="G19" i="314"/>
  <c r="E19" i="314"/>
  <c r="K19" i="314" s="1"/>
  <c r="C19" i="314"/>
  <c r="I18" i="314"/>
  <c r="H18" i="314"/>
  <c r="G18" i="314"/>
  <c r="E18" i="314"/>
  <c r="K18" i="314" s="1"/>
  <c r="C18" i="314"/>
  <c r="I17" i="314"/>
  <c r="H17" i="314"/>
  <c r="G17" i="314"/>
  <c r="E17" i="314"/>
  <c r="K17" i="314" s="1"/>
  <c r="C17" i="314"/>
  <c r="I16" i="314"/>
  <c r="H16" i="314"/>
  <c r="G16" i="314"/>
  <c r="E16" i="314"/>
  <c r="K16" i="314" s="1"/>
  <c r="C16" i="314"/>
  <c r="I15" i="314"/>
  <c r="H15" i="314"/>
  <c r="G15" i="314"/>
  <c r="E15" i="314"/>
  <c r="K15" i="314" s="1"/>
  <c r="C15" i="314"/>
  <c r="I14" i="314"/>
  <c r="H14" i="314"/>
  <c r="G14" i="314"/>
  <c r="E14" i="314"/>
  <c r="K14" i="314" s="1"/>
  <c r="C14" i="314"/>
  <c r="I13" i="314"/>
  <c r="H13" i="314"/>
  <c r="G13" i="314"/>
  <c r="E13" i="314"/>
  <c r="K13" i="314" s="1"/>
  <c r="C13" i="314"/>
  <c r="I12" i="314"/>
  <c r="H12" i="314"/>
  <c r="G12" i="314"/>
  <c r="E12" i="314"/>
  <c r="K12" i="314" s="1"/>
  <c r="C12" i="314"/>
  <c r="I11" i="314"/>
  <c r="H11" i="314"/>
  <c r="G11" i="314"/>
  <c r="E11" i="314"/>
  <c r="K11" i="314" s="1"/>
  <c r="C11" i="314"/>
  <c r="I10" i="314"/>
  <c r="H10" i="314"/>
  <c r="G10" i="314"/>
  <c r="E10" i="314"/>
  <c r="K10" i="314" s="1"/>
  <c r="C10" i="314"/>
  <c r="I9" i="314"/>
  <c r="H9" i="314"/>
  <c r="G9" i="314"/>
  <c r="E9" i="314"/>
  <c r="K9" i="314" s="1"/>
  <c r="C9" i="314"/>
  <c r="I8" i="314"/>
  <c r="H8" i="314"/>
  <c r="G8" i="314"/>
  <c r="E8" i="314"/>
  <c r="K8" i="314" s="1"/>
  <c r="C8" i="314"/>
  <c r="I7" i="314"/>
  <c r="H7" i="314"/>
  <c r="G7" i="314"/>
  <c r="E7" i="314"/>
  <c r="K7" i="314" s="1"/>
  <c r="C7" i="314"/>
  <c r="I6" i="314"/>
  <c r="H6" i="314"/>
  <c r="G6" i="314"/>
  <c r="E6" i="314"/>
  <c r="K6" i="314" s="1"/>
  <c r="C6" i="314"/>
  <c r="I5" i="314"/>
  <c r="H5" i="314"/>
  <c r="G5" i="314"/>
  <c r="E5" i="314"/>
  <c r="C5" i="314"/>
  <c r="D59" i="313"/>
  <c r="H63" i="313" s="1"/>
  <c r="F4" i="181" s="1"/>
  <c r="M45" i="313"/>
  <c r="L45" i="313"/>
  <c r="F45" i="313"/>
  <c r="F63" i="313" s="1"/>
  <c r="D4" i="181" s="1"/>
  <c r="I44" i="313"/>
  <c r="H44" i="313"/>
  <c r="G44" i="313"/>
  <c r="E44" i="313"/>
  <c r="K44" i="313" s="1"/>
  <c r="C44" i="313"/>
  <c r="I43" i="313"/>
  <c r="H43" i="313"/>
  <c r="G43" i="313"/>
  <c r="E43" i="313"/>
  <c r="K43" i="313" s="1"/>
  <c r="C43" i="313"/>
  <c r="I42" i="313"/>
  <c r="H42" i="313"/>
  <c r="G42" i="313"/>
  <c r="E42" i="313"/>
  <c r="K42" i="313" s="1"/>
  <c r="C42" i="313"/>
  <c r="I41" i="313"/>
  <c r="H41" i="313"/>
  <c r="G41" i="313"/>
  <c r="E41" i="313"/>
  <c r="K41" i="313" s="1"/>
  <c r="C41" i="313"/>
  <c r="I40" i="313"/>
  <c r="H40" i="313"/>
  <c r="G40" i="313"/>
  <c r="E40" i="313"/>
  <c r="K40" i="313" s="1"/>
  <c r="C40" i="313"/>
  <c r="I39" i="313"/>
  <c r="H39" i="313"/>
  <c r="G39" i="313"/>
  <c r="E39" i="313"/>
  <c r="K39" i="313" s="1"/>
  <c r="C39" i="313"/>
  <c r="I38" i="313"/>
  <c r="H38" i="313"/>
  <c r="G38" i="313"/>
  <c r="E38" i="313"/>
  <c r="K38" i="313" s="1"/>
  <c r="C38" i="313"/>
  <c r="I37" i="313"/>
  <c r="H37" i="313"/>
  <c r="G37" i="313"/>
  <c r="E37" i="313"/>
  <c r="K37" i="313" s="1"/>
  <c r="C37" i="313"/>
  <c r="I36" i="313"/>
  <c r="H36" i="313"/>
  <c r="G36" i="313"/>
  <c r="E36" i="313"/>
  <c r="K36" i="313" s="1"/>
  <c r="C36" i="313"/>
  <c r="I35" i="313"/>
  <c r="H35" i="313"/>
  <c r="G35" i="313"/>
  <c r="E35" i="313"/>
  <c r="K35" i="313" s="1"/>
  <c r="C35" i="313"/>
  <c r="I34" i="313"/>
  <c r="H34" i="313"/>
  <c r="G34" i="313"/>
  <c r="E34" i="313"/>
  <c r="K34" i="313" s="1"/>
  <c r="C34" i="313"/>
  <c r="I33" i="313"/>
  <c r="H33" i="313"/>
  <c r="G33" i="313"/>
  <c r="E33" i="313"/>
  <c r="K33" i="313" s="1"/>
  <c r="C33" i="313"/>
  <c r="I32" i="313"/>
  <c r="H32" i="313"/>
  <c r="C32" i="313"/>
  <c r="I31" i="313"/>
  <c r="H31" i="313"/>
  <c r="G31" i="313"/>
  <c r="E31" i="313"/>
  <c r="K31" i="313" s="1"/>
  <c r="C31" i="313"/>
  <c r="I30" i="313"/>
  <c r="H30" i="313"/>
  <c r="G30" i="313"/>
  <c r="E30" i="313"/>
  <c r="K30" i="313" s="1"/>
  <c r="C30" i="313"/>
  <c r="I29" i="313"/>
  <c r="C29" i="313"/>
  <c r="I28" i="313"/>
  <c r="H28" i="313"/>
  <c r="G28" i="313"/>
  <c r="E28" i="313"/>
  <c r="K28" i="313" s="1"/>
  <c r="C28" i="313"/>
  <c r="I27" i="313"/>
  <c r="H27" i="313"/>
  <c r="G27" i="313"/>
  <c r="E27" i="313"/>
  <c r="K27" i="313" s="1"/>
  <c r="C27" i="313"/>
  <c r="I26" i="313"/>
  <c r="H26" i="313"/>
  <c r="G26" i="313"/>
  <c r="E26" i="313"/>
  <c r="K26" i="313" s="1"/>
  <c r="C26" i="313"/>
  <c r="I25" i="313"/>
  <c r="H25" i="313"/>
  <c r="G25" i="313"/>
  <c r="E25" i="313"/>
  <c r="K25" i="313" s="1"/>
  <c r="C25" i="313"/>
  <c r="I24" i="313"/>
  <c r="H24" i="313"/>
  <c r="G24" i="313"/>
  <c r="E24" i="313"/>
  <c r="K24" i="313" s="1"/>
  <c r="O24" i="313" s="1"/>
  <c r="C24" i="313"/>
  <c r="I23" i="313"/>
  <c r="H23" i="313"/>
  <c r="G23" i="313"/>
  <c r="E23" i="313"/>
  <c r="K23" i="313" s="1"/>
  <c r="O23" i="313" s="1"/>
  <c r="C23" i="313"/>
  <c r="I22" i="313"/>
  <c r="H22" i="313"/>
  <c r="G22" i="313"/>
  <c r="E22" i="313"/>
  <c r="K22" i="313" s="1"/>
  <c r="N22" i="313" s="1"/>
  <c r="C22" i="313"/>
  <c r="I21" i="313"/>
  <c r="H21" i="313"/>
  <c r="G21" i="313"/>
  <c r="E21" i="313"/>
  <c r="K21" i="313" s="1"/>
  <c r="N21" i="313" s="1"/>
  <c r="C21" i="313"/>
  <c r="I20" i="313"/>
  <c r="H20" i="313"/>
  <c r="G20" i="313"/>
  <c r="E20" i="313"/>
  <c r="K20" i="313" s="1"/>
  <c r="O20" i="313" s="1"/>
  <c r="C20" i="313"/>
  <c r="I19" i="313"/>
  <c r="H19" i="313"/>
  <c r="G19" i="313"/>
  <c r="E19" i="313"/>
  <c r="K19" i="313" s="1"/>
  <c r="N19" i="313" s="1"/>
  <c r="C19" i="313"/>
  <c r="I18" i="313"/>
  <c r="H18" i="313"/>
  <c r="G18" i="313"/>
  <c r="E18" i="313"/>
  <c r="K18" i="313" s="1"/>
  <c r="N18" i="313" s="1"/>
  <c r="C18" i="313"/>
  <c r="I17" i="313"/>
  <c r="C17" i="313"/>
  <c r="I16" i="313"/>
  <c r="H16" i="313"/>
  <c r="G16" i="313"/>
  <c r="E16" i="313"/>
  <c r="K16" i="313" s="1"/>
  <c r="N16" i="313" s="1"/>
  <c r="C16" i="313"/>
  <c r="I15" i="313"/>
  <c r="H15" i="313"/>
  <c r="G15" i="313"/>
  <c r="E15" i="313"/>
  <c r="K15" i="313" s="1"/>
  <c r="O15" i="313" s="1"/>
  <c r="C15" i="313"/>
  <c r="I14" i="313"/>
  <c r="H14" i="313"/>
  <c r="G14" i="313"/>
  <c r="E14" i="313"/>
  <c r="K14" i="313" s="1"/>
  <c r="N14" i="313" s="1"/>
  <c r="C14" i="313"/>
  <c r="I13" i="313"/>
  <c r="H13" i="313"/>
  <c r="G13" i="313"/>
  <c r="E13" i="313"/>
  <c r="K13" i="313" s="1"/>
  <c r="O13" i="313" s="1"/>
  <c r="C13" i="313"/>
  <c r="I12" i="313"/>
  <c r="H12" i="313"/>
  <c r="G12" i="313"/>
  <c r="E12" i="313"/>
  <c r="K12" i="313" s="1"/>
  <c r="N12" i="313" s="1"/>
  <c r="C12" i="313"/>
  <c r="I11" i="313"/>
  <c r="H11" i="313"/>
  <c r="G11" i="313"/>
  <c r="E11" i="313"/>
  <c r="K11" i="313" s="1"/>
  <c r="O11" i="313" s="1"/>
  <c r="C11" i="313"/>
  <c r="I10" i="313"/>
  <c r="H10" i="313"/>
  <c r="G10" i="313"/>
  <c r="E10" i="313"/>
  <c r="K10" i="313" s="1"/>
  <c r="N10" i="313" s="1"/>
  <c r="C10" i="313"/>
  <c r="I9" i="313"/>
  <c r="H9" i="313"/>
  <c r="G9" i="313"/>
  <c r="E9" i="313"/>
  <c r="K9" i="313" s="1"/>
  <c r="O9" i="313" s="1"/>
  <c r="C9" i="313"/>
  <c r="I8" i="313"/>
  <c r="H8" i="313"/>
  <c r="G8" i="313"/>
  <c r="E8" i="313"/>
  <c r="K8" i="313" s="1"/>
  <c r="N8" i="313" s="1"/>
  <c r="C8" i="313"/>
  <c r="I7" i="313"/>
  <c r="H7" i="313"/>
  <c r="G7" i="313"/>
  <c r="E7" i="313"/>
  <c r="K7" i="313" s="1"/>
  <c r="O7" i="313" s="1"/>
  <c r="C7" i="313"/>
  <c r="I6" i="313"/>
  <c r="H6" i="313"/>
  <c r="G6" i="313"/>
  <c r="E6" i="313"/>
  <c r="K6" i="313" s="1"/>
  <c r="N6" i="313" s="1"/>
  <c r="C6" i="313"/>
  <c r="I5" i="313"/>
  <c r="H5" i="313"/>
  <c r="G5" i="313"/>
  <c r="E5" i="313"/>
  <c r="K5" i="313" s="1"/>
  <c r="N5" i="313" s="1"/>
  <c r="C5" i="313"/>
  <c r="A2" i="312"/>
  <c r="D51" i="312" s="1"/>
  <c r="D58" i="312" s="1"/>
  <c r="D59" i="312"/>
  <c r="H63" i="312" s="1"/>
  <c r="F3" i="181" s="1"/>
  <c r="M45" i="312"/>
  <c r="L45" i="312"/>
  <c r="F45" i="312"/>
  <c r="F63" i="312" s="1"/>
  <c r="D3" i="181" s="1"/>
  <c r="D45" i="312"/>
  <c r="I44" i="312"/>
  <c r="H44" i="312"/>
  <c r="G44" i="312"/>
  <c r="E44" i="312"/>
  <c r="K44" i="312" s="1"/>
  <c r="N44" i="312" s="1"/>
  <c r="C44" i="312"/>
  <c r="I43" i="312"/>
  <c r="H43" i="312"/>
  <c r="G43" i="312"/>
  <c r="E43" i="312"/>
  <c r="K43" i="312" s="1"/>
  <c r="N43" i="312" s="1"/>
  <c r="C43" i="312"/>
  <c r="I42" i="312"/>
  <c r="H42" i="312"/>
  <c r="G42" i="312"/>
  <c r="E42" i="312"/>
  <c r="K42" i="312" s="1"/>
  <c r="N42" i="312" s="1"/>
  <c r="C42" i="312"/>
  <c r="I41" i="312"/>
  <c r="H41" i="312"/>
  <c r="G41" i="312"/>
  <c r="E41" i="312"/>
  <c r="K41" i="312" s="1"/>
  <c r="N41" i="312" s="1"/>
  <c r="C41" i="312"/>
  <c r="I40" i="312"/>
  <c r="H40" i="312"/>
  <c r="G40" i="312"/>
  <c r="E40" i="312"/>
  <c r="K40" i="312" s="1"/>
  <c r="N40" i="312" s="1"/>
  <c r="C40" i="312"/>
  <c r="I39" i="312"/>
  <c r="H39" i="312"/>
  <c r="G39" i="312"/>
  <c r="E39" i="312"/>
  <c r="K39" i="312" s="1"/>
  <c r="N39" i="312" s="1"/>
  <c r="C39" i="312"/>
  <c r="I38" i="312"/>
  <c r="H38" i="312"/>
  <c r="G38" i="312"/>
  <c r="E38" i="312"/>
  <c r="K38" i="312" s="1"/>
  <c r="C38" i="312"/>
  <c r="I37" i="312"/>
  <c r="H37" i="312"/>
  <c r="G37" i="312"/>
  <c r="E37" i="312"/>
  <c r="K37" i="312" s="1"/>
  <c r="C37" i="312"/>
  <c r="I36" i="312"/>
  <c r="H36" i="312"/>
  <c r="G36" i="312"/>
  <c r="E36" i="312"/>
  <c r="K36" i="312" s="1"/>
  <c r="C36" i="312"/>
  <c r="I35" i="312"/>
  <c r="H35" i="312"/>
  <c r="G35" i="312"/>
  <c r="E35" i="312"/>
  <c r="K35" i="312" s="1"/>
  <c r="C35" i="312"/>
  <c r="I34" i="312"/>
  <c r="H34" i="312"/>
  <c r="G34" i="312"/>
  <c r="E34" i="312"/>
  <c r="K34" i="312" s="1"/>
  <c r="C34" i="312"/>
  <c r="I33" i="312"/>
  <c r="H33" i="312"/>
  <c r="G33" i="312"/>
  <c r="E33" i="312"/>
  <c r="K33" i="312" s="1"/>
  <c r="C33" i="312"/>
  <c r="I32" i="312"/>
  <c r="H32" i="312"/>
  <c r="G32" i="312"/>
  <c r="E32" i="312"/>
  <c r="K32" i="312" s="1"/>
  <c r="C32" i="312"/>
  <c r="I31" i="312"/>
  <c r="H31" i="312"/>
  <c r="G31" i="312"/>
  <c r="E31" i="312"/>
  <c r="K31" i="312" s="1"/>
  <c r="C31" i="312"/>
  <c r="I30" i="312"/>
  <c r="H30" i="312"/>
  <c r="G30" i="312"/>
  <c r="E30" i="312"/>
  <c r="K30" i="312" s="1"/>
  <c r="C30" i="312"/>
  <c r="I29" i="312"/>
  <c r="H29" i="312"/>
  <c r="G29" i="312"/>
  <c r="E29" i="312"/>
  <c r="K29" i="312" s="1"/>
  <c r="C29" i="312"/>
  <c r="I28" i="312"/>
  <c r="H28" i="312"/>
  <c r="G28" i="312"/>
  <c r="E28" i="312"/>
  <c r="K28" i="312" s="1"/>
  <c r="C28" i="312"/>
  <c r="I27" i="312"/>
  <c r="H27" i="312"/>
  <c r="G27" i="312"/>
  <c r="E27" i="312"/>
  <c r="K27" i="312" s="1"/>
  <c r="C27" i="312"/>
  <c r="I26" i="312"/>
  <c r="H26" i="312"/>
  <c r="G26" i="312"/>
  <c r="E26" i="312"/>
  <c r="K26" i="312" s="1"/>
  <c r="C26" i="312"/>
  <c r="I25" i="312"/>
  <c r="H25" i="312"/>
  <c r="G25" i="312"/>
  <c r="E25" i="312"/>
  <c r="K25" i="312" s="1"/>
  <c r="C25" i="312"/>
  <c r="I24" i="312"/>
  <c r="H24" i="312"/>
  <c r="G24" i="312"/>
  <c r="E24" i="312"/>
  <c r="K24" i="312" s="1"/>
  <c r="C24" i="312"/>
  <c r="I23" i="312"/>
  <c r="H23" i="312"/>
  <c r="G23" i="312"/>
  <c r="E23" i="312"/>
  <c r="K23" i="312" s="1"/>
  <c r="C23" i="312"/>
  <c r="I22" i="312"/>
  <c r="H22" i="312"/>
  <c r="G22" i="312"/>
  <c r="E22" i="312"/>
  <c r="K22" i="312" s="1"/>
  <c r="C22" i="312"/>
  <c r="I21" i="312"/>
  <c r="C21" i="312"/>
  <c r="I20" i="312"/>
  <c r="H20" i="312"/>
  <c r="G20" i="312"/>
  <c r="E20" i="312"/>
  <c r="K20" i="312" s="1"/>
  <c r="C20" i="312"/>
  <c r="I19" i="312"/>
  <c r="H19" i="312"/>
  <c r="G19" i="312"/>
  <c r="E19" i="312"/>
  <c r="K19" i="312" s="1"/>
  <c r="C19" i="312"/>
  <c r="I18" i="312"/>
  <c r="H18" i="312"/>
  <c r="G18" i="312"/>
  <c r="E18" i="312"/>
  <c r="K18" i="312" s="1"/>
  <c r="C18" i="312"/>
  <c r="I17" i="312"/>
  <c r="H17" i="312"/>
  <c r="G17" i="312"/>
  <c r="E17" i="312"/>
  <c r="K17" i="312" s="1"/>
  <c r="C17" i="312"/>
  <c r="I16" i="312"/>
  <c r="H16" i="312"/>
  <c r="G16" i="312"/>
  <c r="E16" i="312"/>
  <c r="K16" i="312" s="1"/>
  <c r="C16" i="312"/>
  <c r="I15" i="312"/>
  <c r="H15" i="312"/>
  <c r="G15" i="312"/>
  <c r="E15" i="312"/>
  <c r="K15" i="312" s="1"/>
  <c r="C15" i="312"/>
  <c r="I14" i="312"/>
  <c r="H14" i="312"/>
  <c r="G14" i="312"/>
  <c r="E14" i="312"/>
  <c r="K14" i="312" s="1"/>
  <c r="C14" i="312"/>
  <c r="I13" i="312"/>
  <c r="H13" i="312"/>
  <c r="G13" i="312"/>
  <c r="E13" i="312"/>
  <c r="K13" i="312" s="1"/>
  <c r="C13" i="312"/>
  <c r="I12" i="312"/>
  <c r="H12" i="312"/>
  <c r="G12" i="312"/>
  <c r="E12" i="312"/>
  <c r="K12" i="312" s="1"/>
  <c r="C12" i="312"/>
  <c r="I11" i="312"/>
  <c r="H11" i="312"/>
  <c r="G11" i="312"/>
  <c r="E11" i="312"/>
  <c r="K11" i="312" s="1"/>
  <c r="C11" i="312"/>
  <c r="I10" i="312"/>
  <c r="H10" i="312"/>
  <c r="G10" i="312"/>
  <c r="E10" i="312"/>
  <c r="K10" i="312" s="1"/>
  <c r="C10" i="312"/>
  <c r="I9" i="312"/>
  <c r="H9" i="312"/>
  <c r="G9" i="312"/>
  <c r="E9" i="312"/>
  <c r="K9" i="312" s="1"/>
  <c r="C9" i="312"/>
  <c r="I8" i="312"/>
  <c r="H8" i="312"/>
  <c r="G8" i="312"/>
  <c r="E8" i="312"/>
  <c r="K8" i="312" s="1"/>
  <c r="C8" i="312"/>
  <c r="I7" i="312"/>
  <c r="H7" i="312"/>
  <c r="G7" i="312"/>
  <c r="E7" i="312"/>
  <c r="K7" i="312" s="1"/>
  <c r="C7" i="312"/>
  <c r="I6" i="312"/>
  <c r="H6" i="312"/>
  <c r="G6" i="312"/>
  <c r="E6" i="312"/>
  <c r="K6" i="312" s="1"/>
  <c r="C6" i="312"/>
  <c r="I5" i="312"/>
  <c r="H5" i="312"/>
  <c r="G5" i="312"/>
  <c r="E5" i="312"/>
  <c r="C5" i="312"/>
  <c r="D45" i="198"/>
  <c r="D3" i="198" s="1"/>
  <c r="H6" i="198"/>
  <c r="H7" i="198"/>
  <c r="H8" i="198"/>
  <c r="H9" i="198"/>
  <c r="H10" i="198"/>
  <c r="H11" i="198"/>
  <c r="H12" i="198"/>
  <c r="H13" i="198"/>
  <c r="H14" i="198"/>
  <c r="H15" i="198"/>
  <c r="H16" i="198"/>
  <c r="H17" i="198"/>
  <c r="H18" i="198"/>
  <c r="H19" i="198"/>
  <c r="H20" i="198"/>
  <c r="H21" i="198"/>
  <c r="H22" i="198"/>
  <c r="H23" i="198"/>
  <c r="H24" i="198"/>
  <c r="H25" i="198"/>
  <c r="H26" i="198"/>
  <c r="H27" i="198"/>
  <c r="H28" i="198"/>
  <c r="H29" i="198"/>
  <c r="H30" i="198"/>
  <c r="H31" i="198"/>
  <c r="H32" i="198"/>
  <c r="H33" i="198"/>
  <c r="H34" i="198"/>
  <c r="H35" i="198"/>
  <c r="H36" i="198"/>
  <c r="H37" i="198"/>
  <c r="H38" i="198"/>
  <c r="H39" i="198"/>
  <c r="H40" i="198"/>
  <c r="H41" i="198"/>
  <c r="H42" i="198"/>
  <c r="H43" i="198"/>
  <c r="H44" i="198"/>
  <c r="H5" i="198"/>
  <c r="E6" i="198"/>
  <c r="K6" i="198" s="1"/>
  <c r="E7" i="198"/>
  <c r="K7" i="198" s="1"/>
  <c r="E8" i="198"/>
  <c r="K8" i="198" s="1"/>
  <c r="E9" i="198"/>
  <c r="K9" i="198" s="1"/>
  <c r="E10" i="198"/>
  <c r="K10" i="198" s="1"/>
  <c r="E11" i="198"/>
  <c r="K11" i="198" s="1"/>
  <c r="E12" i="198"/>
  <c r="K12" i="198" s="1"/>
  <c r="E13" i="198"/>
  <c r="K13" i="198" s="1"/>
  <c r="E14" i="198"/>
  <c r="K14" i="198" s="1"/>
  <c r="E15" i="198"/>
  <c r="K15" i="198" s="1"/>
  <c r="E16" i="198"/>
  <c r="K16" i="198" s="1"/>
  <c r="E17" i="198"/>
  <c r="K17" i="198" s="1"/>
  <c r="E18" i="198"/>
  <c r="K18" i="198" s="1"/>
  <c r="E19" i="198"/>
  <c r="K19" i="198" s="1"/>
  <c r="E20" i="198"/>
  <c r="K20" i="198" s="1"/>
  <c r="E21" i="198"/>
  <c r="K21" i="198" s="1"/>
  <c r="E22" i="198"/>
  <c r="K22" i="198" s="1"/>
  <c r="E23" i="198"/>
  <c r="K23" i="198" s="1"/>
  <c r="E24" i="198"/>
  <c r="K24" i="198" s="1"/>
  <c r="E25" i="198"/>
  <c r="K25" i="198" s="1"/>
  <c r="O25" i="198" s="1"/>
  <c r="E26" i="198"/>
  <c r="K26" i="198" s="1"/>
  <c r="E27" i="198"/>
  <c r="K27" i="198" s="1"/>
  <c r="E28" i="198"/>
  <c r="K28" i="198" s="1"/>
  <c r="E29" i="198"/>
  <c r="K29" i="198" s="1"/>
  <c r="E30" i="198"/>
  <c r="K30" i="198" s="1"/>
  <c r="E31" i="198"/>
  <c r="K31" i="198" s="1"/>
  <c r="E32" i="198"/>
  <c r="K32" i="198" s="1"/>
  <c r="N32" i="198" s="1"/>
  <c r="E33" i="198"/>
  <c r="K33" i="198" s="1"/>
  <c r="O33" i="198" s="1"/>
  <c r="E34" i="198"/>
  <c r="K34" i="198" s="1"/>
  <c r="E35" i="198"/>
  <c r="K35" i="198" s="1"/>
  <c r="N35" i="198" s="1"/>
  <c r="E36" i="198"/>
  <c r="K36" i="198" s="1"/>
  <c r="E37" i="198"/>
  <c r="K37" i="198" s="1"/>
  <c r="E38" i="198"/>
  <c r="K38" i="198" s="1"/>
  <c r="E39" i="198"/>
  <c r="K39" i="198" s="1"/>
  <c r="E40" i="198"/>
  <c r="K40" i="198" s="1"/>
  <c r="N40" i="198" s="1"/>
  <c r="E41" i="198"/>
  <c r="K41" i="198" s="1"/>
  <c r="O41" i="198" s="1"/>
  <c r="E42" i="198"/>
  <c r="K42" i="198" s="1"/>
  <c r="E43" i="198"/>
  <c r="K43" i="198" s="1"/>
  <c r="E44" i="198"/>
  <c r="K44" i="198" s="1"/>
  <c r="E5" i="198"/>
  <c r="K5" i="198" s="1"/>
  <c r="N5" i="198" s="1"/>
  <c r="M45" i="198"/>
  <c r="L45" i="198"/>
  <c r="F45" i="198"/>
  <c r="C6" i="198"/>
  <c r="C7" i="198"/>
  <c r="C8" i="198"/>
  <c r="C9" i="198"/>
  <c r="C10" i="198"/>
  <c r="C11" i="198"/>
  <c r="C12" i="198"/>
  <c r="C13" i="198"/>
  <c r="C14" i="198"/>
  <c r="C15" i="198"/>
  <c r="C16" i="198"/>
  <c r="C17" i="198"/>
  <c r="C18" i="198"/>
  <c r="C19" i="198"/>
  <c r="C20" i="198"/>
  <c r="C21" i="198"/>
  <c r="C22" i="198"/>
  <c r="C23" i="198"/>
  <c r="C24" i="198"/>
  <c r="C25" i="198"/>
  <c r="C26" i="198"/>
  <c r="C27" i="198"/>
  <c r="C28" i="198"/>
  <c r="C29" i="198"/>
  <c r="C30" i="198"/>
  <c r="C31" i="198"/>
  <c r="C32" i="198"/>
  <c r="C33" i="198"/>
  <c r="C34" i="198"/>
  <c r="C35" i="198"/>
  <c r="C36" i="198"/>
  <c r="C37" i="198"/>
  <c r="C38" i="198"/>
  <c r="C39" i="198"/>
  <c r="C40" i="198"/>
  <c r="C41" i="198"/>
  <c r="C42" i="198"/>
  <c r="C43" i="198"/>
  <c r="C44" i="198"/>
  <c r="C5" i="198"/>
  <c r="A2" i="181"/>
  <c r="A3" i="181" s="1"/>
  <c r="A4" i="181" s="1"/>
  <c r="A5" i="181" s="1"/>
  <c r="A6" i="181" s="1"/>
  <c r="A7" i="181" s="1"/>
  <c r="A8" i="181" s="1"/>
  <c r="A9" i="181" s="1"/>
  <c r="A10" i="181" s="1"/>
  <c r="A11" i="181" s="1"/>
  <c r="A12" i="181" s="1"/>
  <c r="A13" i="181" s="1"/>
  <c r="A14" i="181" s="1"/>
  <c r="A15" i="181" s="1"/>
  <c r="A16" i="181" s="1"/>
  <c r="A17" i="181" s="1"/>
  <c r="A18" i="181" s="1"/>
  <c r="A19" i="181" s="1"/>
  <c r="A20" i="181" s="1"/>
  <c r="A21" i="181" s="1"/>
  <c r="A22" i="181" s="1"/>
  <c r="A23" i="181" s="1"/>
  <c r="A24" i="181" s="1"/>
  <c r="A25" i="181" s="1"/>
  <c r="A26" i="181" s="1"/>
  <c r="A27" i="181" s="1"/>
  <c r="A28" i="181" s="1"/>
  <c r="A29" i="181" s="1"/>
  <c r="A30" i="181" s="1"/>
  <c r="A31" i="181" s="1"/>
  <c r="A32" i="181" s="1"/>
  <c r="E63" i="341" l="1"/>
  <c r="C32" i="181" s="1"/>
  <c r="D3" i="341"/>
  <c r="D3" i="340"/>
  <c r="D3" i="336"/>
  <c r="D3" i="335"/>
  <c r="E46" i="335"/>
  <c r="H26" i="181" s="1"/>
  <c r="D3" i="329"/>
  <c r="E46" i="329"/>
  <c r="H20" i="181" s="1"/>
  <c r="D3" i="328"/>
  <c r="E63" i="321"/>
  <c r="G63" i="321" s="1"/>
  <c r="E12" i="181" s="1"/>
  <c r="D3" i="315"/>
  <c r="E46" i="328"/>
  <c r="H19" i="181" s="1"/>
  <c r="E46" i="336"/>
  <c r="H27" i="181" s="1"/>
  <c r="G63" i="336"/>
  <c r="E27" i="181" s="1"/>
  <c r="E46" i="341"/>
  <c r="H32" i="181" s="1"/>
  <c r="F63" i="329"/>
  <c r="C13" i="181"/>
  <c r="G63" i="322"/>
  <c r="E13" i="181" s="1"/>
  <c r="G63" i="335"/>
  <c r="E26" i="181" s="1"/>
  <c r="C26" i="181"/>
  <c r="E46" i="314"/>
  <c r="H5" i="181" s="1"/>
  <c r="D3" i="322"/>
  <c r="G63" i="328"/>
  <c r="E19" i="181" s="1"/>
  <c r="E46" i="333"/>
  <c r="H24" i="181" s="1"/>
  <c r="G63" i="341"/>
  <c r="E32" i="181" s="1"/>
  <c r="E63" i="314"/>
  <c r="E46" i="321"/>
  <c r="H12" i="181" s="1"/>
  <c r="E63" i="333"/>
  <c r="E46" i="315"/>
  <c r="H6" i="181" s="1"/>
  <c r="G63" i="315"/>
  <c r="E6" i="181" s="1"/>
  <c r="E46" i="322"/>
  <c r="H13" i="181" s="1"/>
  <c r="D3" i="332"/>
  <c r="C27" i="181"/>
  <c r="G63" i="340"/>
  <c r="E31" i="181" s="1"/>
  <c r="C31" i="181"/>
  <c r="E46" i="340"/>
  <c r="H31" i="181" s="1"/>
  <c r="E63" i="339"/>
  <c r="E46" i="339"/>
  <c r="H30" i="181" s="1"/>
  <c r="E46" i="338"/>
  <c r="H29" i="181" s="1"/>
  <c r="E63" i="338"/>
  <c r="G63" i="338" s="1"/>
  <c r="E29" i="181" s="1"/>
  <c r="D3" i="338"/>
  <c r="E46" i="337"/>
  <c r="H28" i="181" s="1"/>
  <c r="E63" i="337"/>
  <c r="E46" i="334"/>
  <c r="H25" i="181" s="1"/>
  <c r="E63" i="334"/>
  <c r="C23" i="181"/>
  <c r="G63" i="332"/>
  <c r="E23" i="181" s="1"/>
  <c r="E46" i="332"/>
  <c r="H23" i="181" s="1"/>
  <c r="D3" i="331"/>
  <c r="E46" i="331"/>
  <c r="H22" i="181" s="1"/>
  <c r="G63" i="331"/>
  <c r="E22" i="181" s="1"/>
  <c r="E46" i="330"/>
  <c r="H21" i="181" s="1"/>
  <c r="E63" i="330"/>
  <c r="E46" i="327"/>
  <c r="H18" i="181" s="1"/>
  <c r="D3" i="326"/>
  <c r="G63" i="326"/>
  <c r="E17" i="181" s="1"/>
  <c r="C17" i="181"/>
  <c r="E46" i="326"/>
  <c r="H17" i="181" s="1"/>
  <c r="D3" i="325"/>
  <c r="E46" i="325"/>
  <c r="H16" i="181" s="1"/>
  <c r="G63" i="325"/>
  <c r="E16" i="181" s="1"/>
  <c r="E46" i="320"/>
  <c r="H11" i="181" s="1"/>
  <c r="G63" i="320"/>
  <c r="E11" i="181" s="1"/>
  <c r="E46" i="324"/>
  <c r="H15" i="181" s="1"/>
  <c r="G23" i="323"/>
  <c r="G27" i="323"/>
  <c r="D45" i="323"/>
  <c r="E63" i="323" s="1"/>
  <c r="C14" i="181" s="1"/>
  <c r="D45" i="316"/>
  <c r="D3" i="316" s="1"/>
  <c r="G63" i="319"/>
  <c r="E10" i="181" s="1"/>
  <c r="E46" i="319"/>
  <c r="H10" i="181" s="1"/>
  <c r="C10" i="181"/>
  <c r="D3" i="319"/>
  <c r="D3" i="318"/>
  <c r="G63" i="318"/>
  <c r="E9" i="181" s="1"/>
  <c r="C9" i="181"/>
  <c r="E46" i="318"/>
  <c r="H9" i="181" s="1"/>
  <c r="E63" i="317"/>
  <c r="E46" i="317"/>
  <c r="H8" i="181" s="1"/>
  <c r="O10" i="330"/>
  <c r="N32" i="336"/>
  <c r="O28" i="334"/>
  <c r="O31" i="334"/>
  <c r="O18" i="330"/>
  <c r="N9" i="330"/>
  <c r="N41" i="322"/>
  <c r="O32" i="334"/>
  <c r="O35" i="334"/>
  <c r="N28" i="330"/>
  <c r="O42" i="330"/>
  <c r="N36" i="330"/>
  <c r="N7" i="319"/>
  <c r="O14" i="336"/>
  <c r="N41" i="328"/>
  <c r="O41" i="328"/>
  <c r="O14" i="317"/>
  <c r="N16" i="319"/>
  <c r="N19" i="319"/>
  <c r="N33" i="322"/>
  <c r="O34" i="330"/>
  <c r="O37" i="325"/>
  <c r="N12" i="330"/>
  <c r="N44" i="330"/>
  <c r="N21" i="337"/>
  <c r="N36" i="319"/>
  <c r="N39" i="319"/>
  <c r="O26" i="330"/>
  <c r="N19" i="331"/>
  <c r="N20" i="330"/>
  <c r="O31" i="331"/>
  <c r="N31" i="331"/>
  <c r="N5" i="325"/>
  <c r="O5" i="325"/>
  <c r="O39" i="331"/>
  <c r="N39" i="331"/>
  <c r="N39" i="198"/>
  <c r="O39" i="198"/>
  <c r="N36" i="315"/>
  <c r="O36" i="315"/>
  <c r="N27" i="315"/>
  <c r="O27" i="315"/>
  <c r="O44" i="198"/>
  <c r="N44" i="198"/>
  <c r="N5" i="328"/>
  <c r="O5" i="328"/>
  <c r="O43" i="198"/>
  <c r="N43" i="198"/>
  <c r="O6" i="317"/>
  <c r="N34" i="322"/>
  <c r="O29" i="325"/>
  <c r="N11" i="330"/>
  <c r="N19" i="330"/>
  <c r="N27" i="330"/>
  <c r="N35" i="330"/>
  <c r="N43" i="330"/>
  <c r="O12" i="334"/>
  <c r="O15" i="334"/>
  <c r="N26" i="337"/>
  <c r="N33" i="338"/>
  <c r="N23" i="339"/>
  <c r="N38" i="339"/>
  <c r="O40" i="198"/>
  <c r="N32" i="319"/>
  <c r="N35" i="319"/>
  <c r="N35" i="331"/>
  <c r="N44" i="334"/>
  <c r="N43" i="337"/>
  <c r="N27" i="338"/>
  <c r="E45" i="327"/>
  <c r="N20" i="319"/>
  <c r="N23" i="319"/>
  <c r="O42" i="322"/>
  <c r="O21" i="325"/>
  <c r="O14" i="330"/>
  <c r="N17" i="330"/>
  <c r="O22" i="330"/>
  <c r="N25" i="330"/>
  <c r="O30" i="330"/>
  <c r="N33" i="330"/>
  <c r="O38" i="330"/>
  <c r="N41" i="330"/>
  <c r="O24" i="333"/>
  <c r="N43" i="334"/>
  <c r="N28" i="339"/>
  <c r="O13" i="325"/>
  <c r="E45" i="328"/>
  <c r="N29" i="331"/>
  <c r="N33" i="331"/>
  <c r="O7" i="334"/>
  <c r="O16" i="334"/>
  <c r="O19" i="334"/>
  <c r="O25" i="335"/>
  <c r="N15" i="317"/>
  <c r="O15" i="317"/>
  <c r="N31" i="325"/>
  <c r="O31" i="325"/>
  <c r="O37" i="198"/>
  <c r="N37" i="198"/>
  <c r="O29" i="198"/>
  <c r="N29" i="198"/>
  <c r="N44" i="315"/>
  <c r="O44" i="315"/>
  <c r="N7" i="325"/>
  <c r="O7" i="325"/>
  <c r="N14" i="325"/>
  <c r="O14" i="325"/>
  <c r="N12" i="328"/>
  <c r="O12" i="328"/>
  <c r="N20" i="328"/>
  <c r="O20" i="328"/>
  <c r="N24" i="325"/>
  <c r="O24" i="325"/>
  <c r="O33" i="336"/>
  <c r="N33" i="336"/>
  <c r="O36" i="198"/>
  <c r="N36" i="198"/>
  <c r="O28" i="198"/>
  <c r="N28" i="198"/>
  <c r="N11" i="315"/>
  <c r="O11" i="315"/>
  <c r="N19" i="315"/>
  <c r="O19" i="315"/>
  <c r="N10" i="317"/>
  <c r="O10" i="317"/>
  <c r="N17" i="317"/>
  <c r="O17" i="317"/>
  <c r="O37" i="317"/>
  <c r="N37" i="317"/>
  <c r="N33" i="325"/>
  <c r="O33" i="325"/>
  <c r="N40" i="325"/>
  <c r="O40" i="325"/>
  <c r="N38" i="325"/>
  <c r="O38" i="325"/>
  <c r="N35" i="328"/>
  <c r="O35" i="328"/>
  <c r="N7" i="317"/>
  <c r="O7" i="317"/>
  <c r="N9" i="325"/>
  <c r="O9" i="325"/>
  <c r="N16" i="325"/>
  <c r="O16" i="325"/>
  <c r="N23" i="325"/>
  <c r="O23" i="325"/>
  <c r="N30" i="325"/>
  <c r="O30" i="325"/>
  <c r="N43" i="315"/>
  <c r="O43" i="315"/>
  <c r="N6" i="325"/>
  <c r="O6" i="325"/>
  <c r="O17" i="331"/>
  <c r="N17" i="331"/>
  <c r="O23" i="331"/>
  <c r="N23" i="331"/>
  <c r="N8" i="317"/>
  <c r="O8" i="317"/>
  <c r="N17" i="325"/>
  <c r="O17" i="325"/>
  <c r="N9" i="317"/>
  <c r="O9" i="317"/>
  <c r="N16" i="317"/>
  <c r="O16" i="317"/>
  <c r="N25" i="325"/>
  <c r="O25" i="325"/>
  <c r="N32" i="325"/>
  <c r="O32" i="325"/>
  <c r="N39" i="325"/>
  <c r="O39" i="325"/>
  <c r="N12" i="336"/>
  <c r="O12" i="336"/>
  <c r="N8" i="325"/>
  <c r="O8" i="325"/>
  <c r="N15" i="325"/>
  <c r="O15" i="325"/>
  <c r="N22" i="325"/>
  <c r="O22" i="325"/>
  <c r="N13" i="328"/>
  <c r="O13" i="328"/>
  <c r="N21" i="328"/>
  <c r="O21" i="328"/>
  <c r="N33" i="335"/>
  <c r="O33" i="335"/>
  <c r="N41" i="336"/>
  <c r="O41" i="336"/>
  <c r="N42" i="328"/>
  <c r="O42" i="328"/>
  <c r="O27" i="198"/>
  <c r="N27" i="198"/>
  <c r="N31" i="198"/>
  <c r="O31" i="198"/>
  <c r="N12" i="315"/>
  <c r="O12" i="315"/>
  <c r="N20" i="315"/>
  <c r="O20" i="315"/>
  <c r="O21" i="317"/>
  <c r="N21" i="317"/>
  <c r="N41" i="325"/>
  <c r="O41" i="325"/>
  <c r="O25" i="331"/>
  <c r="N25" i="331"/>
  <c r="E45" i="314"/>
  <c r="E45" i="319"/>
  <c r="O13" i="330"/>
  <c r="O21" i="330"/>
  <c r="O29" i="330"/>
  <c r="O37" i="330"/>
  <c r="E45" i="332"/>
  <c r="K5" i="332"/>
  <c r="O5" i="332" s="1"/>
  <c r="N24" i="334"/>
  <c r="O24" i="334"/>
  <c r="O9" i="335"/>
  <c r="N31" i="335"/>
  <c r="O31" i="335"/>
  <c r="O41" i="335"/>
  <c r="N5" i="336"/>
  <c r="O5" i="336"/>
  <c r="N21" i="336"/>
  <c r="O21" i="336"/>
  <c r="O33" i="337"/>
  <c r="N33" i="337"/>
  <c r="N9" i="338"/>
  <c r="G21" i="312"/>
  <c r="O35" i="315"/>
  <c r="O5" i="317"/>
  <c r="O13" i="317"/>
  <c r="O12" i="325"/>
  <c r="O20" i="325"/>
  <c r="O28" i="325"/>
  <c r="O36" i="325"/>
  <c r="O44" i="325"/>
  <c r="N15" i="331"/>
  <c r="N8" i="334"/>
  <c r="O8" i="334"/>
  <c r="N24" i="335"/>
  <c r="O24" i="335"/>
  <c r="O31" i="337"/>
  <c r="N31" i="337"/>
  <c r="N12" i="339"/>
  <c r="O31" i="339"/>
  <c r="N31" i="339"/>
  <c r="O39" i="339"/>
  <c r="N39" i="339"/>
  <c r="O35" i="198"/>
  <c r="O28" i="315"/>
  <c r="E15" i="316"/>
  <c r="K15" i="316" s="1"/>
  <c r="O15" i="316" s="1"/>
  <c r="O12" i="317"/>
  <c r="N29" i="317"/>
  <c r="O11" i="325"/>
  <c r="O19" i="325"/>
  <c r="O27" i="325"/>
  <c r="O35" i="325"/>
  <c r="O43" i="325"/>
  <c r="O29" i="328"/>
  <c r="O39" i="335"/>
  <c r="N5" i="338"/>
  <c r="O43" i="338"/>
  <c r="N43" i="338"/>
  <c r="O20" i="339"/>
  <c r="N20" i="339"/>
  <c r="N44" i="339"/>
  <c r="O31" i="336"/>
  <c r="N31" i="336"/>
  <c r="O32" i="198"/>
  <c r="E17" i="313"/>
  <c r="K17" i="313" s="1"/>
  <c r="O17" i="313" s="1"/>
  <c r="G15" i="316"/>
  <c r="O11" i="317"/>
  <c r="K5" i="319"/>
  <c r="N12" i="319"/>
  <c r="N15" i="319"/>
  <c r="N28" i="319"/>
  <c r="N31" i="319"/>
  <c r="N44" i="319"/>
  <c r="N44" i="322"/>
  <c r="E45" i="325"/>
  <c r="O10" i="325"/>
  <c r="O18" i="325"/>
  <c r="O26" i="325"/>
  <c r="O34" i="325"/>
  <c r="O42" i="325"/>
  <c r="O28" i="328"/>
  <c r="O36" i="328"/>
  <c r="N5" i="330"/>
  <c r="N6" i="330"/>
  <c r="N7" i="330"/>
  <c r="N8" i="330"/>
  <c r="N16" i="330"/>
  <c r="N24" i="330"/>
  <c r="N32" i="330"/>
  <c r="N40" i="330"/>
  <c r="O36" i="334"/>
  <c r="O39" i="334"/>
  <c r="N42" i="334"/>
  <c r="N17" i="335"/>
  <c r="O17" i="335"/>
  <c r="O23" i="335"/>
  <c r="N8" i="336"/>
  <c r="O8" i="336"/>
  <c r="N24" i="336"/>
  <c r="O24" i="336"/>
  <c r="O42" i="337"/>
  <c r="N42" i="337"/>
  <c r="O11" i="339"/>
  <c r="N11" i="339"/>
  <c r="N40" i="333"/>
  <c r="O40" i="333"/>
  <c r="O27" i="336"/>
  <c r="N27" i="336"/>
  <c r="G17" i="313"/>
  <c r="H15" i="316"/>
  <c r="E45" i="317"/>
  <c r="N36" i="322"/>
  <c r="N39" i="322"/>
  <c r="N15" i="330"/>
  <c r="N23" i="330"/>
  <c r="N31" i="330"/>
  <c r="N39" i="330"/>
  <c r="N10" i="331"/>
  <c r="N13" i="331"/>
  <c r="O37" i="336"/>
  <c r="N37" i="336"/>
  <c r="N33" i="339"/>
  <c r="O36" i="339"/>
  <c r="N36" i="339"/>
  <c r="O43" i="339"/>
  <c r="N43" i="339"/>
  <c r="N8" i="335"/>
  <c r="O8" i="335"/>
  <c r="O7" i="339"/>
  <c r="N7" i="339"/>
  <c r="N8" i="319"/>
  <c r="N11" i="319"/>
  <c r="N24" i="319"/>
  <c r="N27" i="319"/>
  <c r="N40" i="319"/>
  <c r="N43" i="319"/>
  <c r="O43" i="322"/>
  <c r="O32" i="333"/>
  <c r="O20" i="334"/>
  <c r="O23" i="334"/>
  <c r="N40" i="334"/>
  <c r="O40" i="334"/>
  <c r="O16" i="335"/>
  <c r="O32" i="335"/>
  <c r="O27" i="337"/>
  <c r="N27" i="337"/>
  <c r="O19" i="338"/>
  <c r="N19" i="338"/>
  <c r="O17" i="339"/>
  <c r="N17" i="339"/>
  <c r="O25" i="339"/>
  <c r="N25" i="339"/>
  <c r="N11" i="334"/>
  <c r="O11" i="334"/>
  <c r="N40" i="335"/>
  <c r="O40" i="335"/>
  <c r="O14" i="339"/>
  <c r="N14" i="339"/>
  <c r="E45" i="321"/>
  <c r="O35" i="322"/>
  <c r="E45" i="330"/>
  <c r="N34" i="331"/>
  <c r="N27" i="334"/>
  <c r="O27" i="334"/>
  <c r="N20" i="336"/>
  <c r="O20" i="336"/>
  <c r="N23" i="338"/>
  <c r="N37" i="338"/>
  <c r="N29" i="336"/>
  <c r="N35" i="336"/>
  <c r="O40" i="336"/>
  <c r="N5" i="337"/>
  <c r="N6" i="337"/>
  <c r="N7" i="337"/>
  <c r="N8" i="337"/>
  <c r="N9" i="337"/>
  <c r="N10" i="337"/>
  <c r="N11" i="337"/>
  <c r="N12" i="337"/>
  <c r="N13" i="337"/>
  <c r="N14" i="337"/>
  <c r="N15" i="337"/>
  <c r="N16" i="337"/>
  <c r="N17" i="337"/>
  <c r="N11" i="338"/>
  <c r="N18" i="338"/>
  <c r="N9" i="339"/>
  <c r="N15" i="339"/>
  <c r="N41" i="339"/>
  <c r="E45" i="339"/>
  <c r="N19" i="339"/>
  <c r="N37" i="337"/>
  <c r="N31" i="338"/>
  <c r="D45" i="313"/>
  <c r="D3" i="313" s="1"/>
  <c r="O18" i="314"/>
  <c r="N18" i="314"/>
  <c r="N16" i="315"/>
  <c r="O16" i="315"/>
  <c r="O38" i="198"/>
  <c r="N38" i="198"/>
  <c r="O30" i="198"/>
  <c r="N30" i="198"/>
  <c r="O13" i="314"/>
  <c r="N13" i="314"/>
  <c r="O21" i="314"/>
  <c r="N21" i="314"/>
  <c r="O29" i="314"/>
  <c r="N29" i="314"/>
  <c r="O37" i="314"/>
  <c r="N37" i="314"/>
  <c r="N9" i="315"/>
  <c r="O9" i="315"/>
  <c r="N31" i="315"/>
  <c r="O31" i="315"/>
  <c r="N41" i="315"/>
  <c r="O41" i="315"/>
  <c r="O22" i="317"/>
  <c r="N22" i="317"/>
  <c r="O25" i="317"/>
  <c r="N25" i="317"/>
  <c r="O34" i="314"/>
  <c r="N34" i="314"/>
  <c r="O7" i="314"/>
  <c r="N7" i="314"/>
  <c r="O15" i="314"/>
  <c r="N15" i="314"/>
  <c r="O23" i="314"/>
  <c r="N23" i="314"/>
  <c r="O31" i="314"/>
  <c r="N31" i="314"/>
  <c r="O39" i="314"/>
  <c r="N39" i="314"/>
  <c r="N23" i="315"/>
  <c r="O23" i="315"/>
  <c r="N33" i="315"/>
  <c r="O33" i="315"/>
  <c r="O31" i="317"/>
  <c r="N31" i="317"/>
  <c r="O38" i="317"/>
  <c r="N38" i="317"/>
  <c r="O41" i="317"/>
  <c r="N41" i="317"/>
  <c r="N6" i="315"/>
  <c r="O6" i="315"/>
  <c r="O12" i="314"/>
  <c r="N12" i="314"/>
  <c r="O20" i="314"/>
  <c r="N20" i="314"/>
  <c r="O28" i="314"/>
  <c r="N28" i="314"/>
  <c r="O36" i="314"/>
  <c r="N36" i="314"/>
  <c r="O44" i="314"/>
  <c r="N44" i="314"/>
  <c r="N8" i="315"/>
  <c r="O8" i="315"/>
  <c r="N30" i="315"/>
  <c r="O30" i="315"/>
  <c r="N40" i="315"/>
  <c r="O40" i="315"/>
  <c r="O44" i="317"/>
  <c r="N44" i="317"/>
  <c r="O10" i="314"/>
  <c r="N10" i="314"/>
  <c r="N38" i="315"/>
  <c r="O38" i="315"/>
  <c r="O28" i="317"/>
  <c r="N28" i="317"/>
  <c r="N42" i="198"/>
  <c r="O42" i="198"/>
  <c r="N34" i="198"/>
  <c r="O34" i="198"/>
  <c r="N26" i="198"/>
  <c r="O26" i="198"/>
  <c r="O9" i="314"/>
  <c r="N9" i="314"/>
  <c r="O17" i="314"/>
  <c r="N17" i="314"/>
  <c r="O25" i="314"/>
  <c r="N25" i="314"/>
  <c r="O33" i="314"/>
  <c r="N33" i="314"/>
  <c r="O41" i="314"/>
  <c r="N41" i="314"/>
  <c r="N15" i="315"/>
  <c r="O15" i="315"/>
  <c r="N25" i="315"/>
  <c r="O25" i="315"/>
  <c r="O20" i="317"/>
  <c r="N20" i="317"/>
  <c r="O6" i="314"/>
  <c r="N6" i="314"/>
  <c r="O14" i="314"/>
  <c r="N14" i="314"/>
  <c r="O22" i="314"/>
  <c r="N22" i="314"/>
  <c r="O30" i="314"/>
  <c r="N30" i="314"/>
  <c r="O38" i="314"/>
  <c r="N38" i="314"/>
  <c r="N22" i="315"/>
  <c r="O22" i="315"/>
  <c r="N32" i="315"/>
  <c r="O32" i="315"/>
  <c r="O23" i="317"/>
  <c r="N23" i="317"/>
  <c r="O30" i="317"/>
  <c r="N30" i="317"/>
  <c r="O33" i="317"/>
  <c r="N33" i="317"/>
  <c r="O42" i="314"/>
  <c r="N42" i="314"/>
  <c r="O11" i="314"/>
  <c r="N11" i="314"/>
  <c r="O19" i="314"/>
  <c r="N19" i="314"/>
  <c r="O27" i="314"/>
  <c r="N27" i="314"/>
  <c r="O35" i="314"/>
  <c r="N35" i="314"/>
  <c r="O43" i="314"/>
  <c r="N43" i="314"/>
  <c r="N7" i="315"/>
  <c r="O7" i="315"/>
  <c r="N17" i="315"/>
  <c r="O17" i="315"/>
  <c r="N39" i="315"/>
  <c r="O39" i="315"/>
  <c r="O36" i="317"/>
  <c r="N36" i="317"/>
  <c r="O26" i="314"/>
  <c r="N26" i="314"/>
  <c r="O8" i="314"/>
  <c r="N8" i="314"/>
  <c r="O16" i="314"/>
  <c r="N16" i="314"/>
  <c r="O24" i="314"/>
  <c r="N24" i="314"/>
  <c r="O32" i="314"/>
  <c r="N32" i="314"/>
  <c r="O40" i="314"/>
  <c r="N40" i="314"/>
  <c r="N14" i="315"/>
  <c r="O14" i="315"/>
  <c r="N24" i="315"/>
  <c r="O24" i="315"/>
  <c r="O39" i="317"/>
  <c r="N39" i="317"/>
  <c r="O5" i="315"/>
  <c r="O13" i="315"/>
  <c r="O21" i="315"/>
  <c r="O29" i="315"/>
  <c r="O37" i="315"/>
  <c r="N18" i="317"/>
  <c r="N26" i="317"/>
  <c r="N34" i="317"/>
  <c r="N42" i="317"/>
  <c r="N6" i="319"/>
  <c r="N10" i="319"/>
  <c r="N14" i="319"/>
  <c r="N18" i="319"/>
  <c r="N22" i="319"/>
  <c r="N26" i="319"/>
  <c r="N30" i="319"/>
  <c r="N34" i="319"/>
  <c r="N38" i="319"/>
  <c r="N42" i="319"/>
  <c r="O11" i="322"/>
  <c r="N11" i="322"/>
  <c r="O19" i="322"/>
  <c r="N19" i="322"/>
  <c r="O27" i="322"/>
  <c r="N27" i="322"/>
  <c r="N41" i="198"/>
  <c r="N33" i="198"/>
  <c r="N25" i="198"/>
  <c r="O8" i="322"/>
  <c r="N8" i="322"/>
  <c r="O16" i="322"/>
  <c r="N16" i="322"/>
  <c r="O24" i="322"/>
  <c r="N24" i="322"/>
  <c r="N31" i="316"/>
  <c r="N32" i="316"/>
  <c r="N33" i="316"/>
  <c r="N34" i="316"/>
  <c r="N35" i="316"/>
  <c r="N36" i="316"/>
  <c r="N37" i="316"/>
  <c r="N38" i="316"/>
  <c r="N39" i="316"/>
  <c r="N40" i="316"/>
  <c r="N41" i="316"/>
  <c r="N42" i="316"/>
  <c r="N43" i="316"/>
  <c r="N44" i="316"/>
  <c r="N24" i="317"/>
  <c r="N32" i="317"/>
  <c r="N40" i="317"/>
  <c r="E45" i="318"/>
  <c r="N9" i="319"/>
  <c r="N13" i="319"/>
  <c r="N17" i="319"/>
  <c r="N21" i="319"/>
  <c r="N25" i="319"/>
  <c r="N29" i="319"/>
  <c r="N33" i="319"/>
  <c r="N37" i="319"/>
  <c r="N41" i="319"/>
  <c r="O5" i="322"/>
  <c r="N5" i="322"/>
  <c r="O13" i="322"/>
  <c r="N13" i="322"/>
  <c r="O21" i="322"/>
  <c r="N21" i="322"/>
  <c r="O29" i="322"/>
  <c r="N29" i="322"/>
  <c r="K5" i="314"/>
  <c r="E45" i="315"/>
  <c r="O10" i="315"/>
  <c r="O18" i="315"/>
  <c r="O26" i="315"/>
  <c r="O34" i="315"/>
  <c r="O42" i="315"/>
  <c r="O10" i="322"/>
  <c r="O18" i="322"/>
  <c r="N18" i="322"/>
  <c r="O26" i="322"/>
  <c r="N26" i="322"/>
  <c r="O7" i="322"/>
  <c r="N7" i="322"/>
  <c r="O15" i="322"/>
  <c r="N15" i="322"/>
  <c r="O23" i="322"/>
  <c r="N23" i="322"/>
  <c r="O31" i="322"/>
  <c r="N31" i="322"/>
  <c r="O12" i="322"/>
  <c r="N12" i="322"/>
  <c r="O20" i="322"/>
  <c r="N20" i="322"/>
  <c r="O28" i="322"/>
  <c r="N28" i="322"/>
  <c r="O9" i="322"/>
  <c r="N9" i="322"/>
  <c r="O17" i="322"/>
  <c r="N17" i="322"/>
  <c r="O25" i="322"/>
  <c r="N25" i="322"/>
  <c r="N19" i="317"/>
  <c r="N27" i="317"/>
  <c r="N35" i="317"/>
  <c r="N43" i="317"/>
  <c r="O6" i="322"/>
  <c r="N6" i="322"/>
  <c r="O14" i="322"/>
  <c r="N14" i="322"/>
  <c r="O22" i="322"/>
  <c r="N22" i="322"/>
  <c r="O30" i="322"/>
  <c r="N30" i="322"/>
  <c r="N5" i="321"/>
  <c r="N6" i="321"/>
  <c r="N7" i="321"/>
  <c r="N8" i="321"/>
  <c r="N9" i="321"/>
  <c r="N10" i="321"/>
  <c r="N11" i="321"/>
  <c r="N12" i="321"/>
  <c r="N13" i="321"/>
  <c r="N14" i="321"/>
  <c r="N15" i="321"/>
  <c r="N16" i="321"/>
  <c r="N17" i="321"/>
  <c r="N18" i="321"/>
  <c r="N19" i="321"/>
  <c r="N20" i="321"/>
  <c r="N21" i="321"/>
  <c r="N22" i="321"/>
  <c r="N23" i="321"/>
  <c r="N24" i="321"/>
  <c r="N25" i="321"/>
  <c r="N26" i="321"/>
  <c r="N27" i="321"/>
  <c r="N28" i="321"/>
  <c r="N29" i="321"/>
  <c r="N30" i="321"/>
  <c r="N31" i="321"/>
  <c r="N32" i="321"/>
  <c r="N33" i="321"/>
  <c r="N34" i="321"/>
  <c r="N35" i="321"/>
  <c r="N36" i="321"/>
  <c r="N37" i="321"/>
  <c r="N38" i="321"/>
  <c r="N39" i="321"/>
  <c r="N40" i="321"/>
  <c r="N41" i="321"/>
  <c r="N42" i="321"/>
  <c r="N43" i="321"/>
  <c r="N44" i="321"/>
  <c r="N10" i="326"/>
  <c r="O10" i="326"/>
  <c r="N18" i="326"/>
  <c r="O18" i="326"/>
  <c r="N26" i="326"/>
  <c r="O26" i="326"/>
  <c r="N34" i="326"/>
  <c r="O34" i="326"/>
  <c r="N42" i="326"/>
  <c r="O42" i="326"/>
  <c r="N10" i="328"/>
  <c r="O10" i="328"/>
  <c r="N32" i="328"/>
  <c r="O32" i="328"/>
  <c r="N44" i="328"/>
  <c r="O44" i="328"/>
  <c r="N7" i="326"/>
  <c r="O7" i="326"/>
  <c r="N15" i="326"/>
  <c r="O15" i="326"/>
  <c r="N23" i="326"/>
  <c r="O23" i="326"/>
  <c r="N31" i="326"/>
  <c r="O31" i="326"/>
  <c r="N39" i="326"/>
  <c r="O39" i="326"/>
  <c r="N17" i="328"/>
  <c r="O17" i="328"/>
  <c r="N39" i="328"/>
  <c r="O39" i="328"/>
  <c r="O12" i="331"/>
  <c r="N12" i="331"/>
  <c r="O16" i="331"/>
  <c r="N16" i="331"/>
  <c r="O36" i="331"/>
  <c r="N36" i="331"/>
  <c r="E45" i="322"/>
  <c r="N12" i="326"/>
  <c r="O12" i="326"/>
  <c r="N20" i="326"/>
  <c r="O20" i="326"/>
  <c r="N28" i="326"/>
  <c r="O28" i="326"/>
  <c r="N36" i="326"/>
  <c r="O36" i="326"/>
  <c r="N44" i="326"/>
  <c r="O44" i="326"/>
  <c r="N24" i="328"/>
  <c r="O24" i="328"/>
  <c r="N32" i="322"/>
  <c r="N40" i="322"/>
  <c r="N9" i="326"/>
  <c r="O9" i="326"/>
  <c r="N17" i="326"/>
  <c r="O17" i="326"/>
  <c r="N25" i="326"/>
  <c r="O25" i="326"/>
  <c r="N33" i="326"/>
  <c r="O33" i="326"/>
  <c r="N41" i="326"/>
  <c r="O41" i="326"/>
  <c r="N9" i="328"/>
  <c r="O9" i="328"/>
  <c r="N31" i="328"/>
  <c r="O31" i="328"/>
  <c r="O8" i="331"/>
  <c r="N8" i="331"/>
  <c r="O30" i="331"/>
  <c r="N30" i="331"/>
  <c r="O38" i="331"/>
  <c r="N38" i="331"/>
  <c r="N6" i="326"/>
  <c r="O6" i="326"/>
  <c r="N14" i="326"/>
  <c r="O14" i="326"/>
  <c r="N22" i="326"/>
  <c r="O22" i="326"/>
  <c r="N30" i="326"/>
  <c r="O30" i="326"/>
  <c r="N38" i="326"/>
  <c r="O38" i="326"/>
  <c r="N16" i="328"/>
  <c r="O16" i="328"/>
  <c r="N26" i="328"/>
  <c r="O26" i="328"/>
  <c r="O22" i="331"/>
  <c r="N22" i="331"/>
  <c r="N38" i="322"/>
  <c r="N11" i="326"/>
  <c r="O11" i="326"/>
  <c r="N19" i="326"/>
  <c r="O19" i="326"/>
  <c r="N27" i="326"/>
  <c r="O27" i="326"/>
  <c r="N35" i="326"/>
  <c r="O35" i="326"/>
  <c r="N43" i="326"/>
  <c r="O43" i="326"/>
  <c r="N23" i="328"/>
  <c r="O23" i="328"/>
  <c r="N33" i="328"/>
  <c r="O33" i="328"/>
  <c r="N37" i="322"/>
  <c r="E45" i="323"/>
  <c r="N8" i="326"/>
  <c r="O8" i="326"/>
  <c r="N16" i="326"/>
  <c r="O16" i="326"/>
  <c r="N24" i="326"/>
  <c r="O24" i="326"/>
  <c r="N32" i="326"/>
  <c r="O32" i="326"/>
  <c r="N40" i="326"/>
  <c r="O40" i="326"/>
  <c r="N8" i="328"/>
  <c r="O8" i="328"/>
  <c r="N18" i="328"/>
  <c r="O18" i="328"/>
  <c r="N5" i="326"/>
  <c r="O5" i="326"/>
  <c r="N13" i="326"/>
  <c r="O13" i="326"/>
  <c r="N21" i="326"/>
  <c r="O21" i="326"/>
  <c r="N29" i="326"/>
  <c r="O29" i="326"/>
  <c r="N37" i="326"/>
  <c r="O37" i="326"/>
  <c r="N15" i="328"/>
  <c r="O15" i="328"/>
  <c r="N25" i="328"/>
  <c r="O25" i="328"/>
  <c r="N9" i="331"/>
  <c r="N18" i="331"/>
  <c r="O7" i="332"/>
  <c r="N7" i="332"/>
  <c r="O11" i="332"/>
  <c r="N11" i="332"/>
  <c r="O15" i="332"/>
  <c r="N15" i="332"/>
  <c r="O19" i="332"/>
  <c r="N19" i="332"/>
  <c r="O23" i="332"/>
  <c r="N23" i="332"/>
  <c r="O27" i="332"/>
  <c r="N27" i="332"/>
  <c r="O31" i="332"/>
  <c r="N31" i="332"/>
  <c r="O35" i="332"/>
  <c r="N35" i="332"/>
  <c r="O39" i="332"/>
  <c r="N39" i="332"/>
  <c r="O43" i="332"/>
  <c r="N43" i="332"/>
  <c r="N26" i="333"/>
  <c r="O26" i="333"/>
  <c r="O31" i="333"/>
  <c r="N36" i="333"/>
  <c r="O36" i="333"/>
  <c r="O6" i="334"/>
  <c r="O10" i="334"/>
  <c r="O14" i="334"/>
  <c r="O18" i="334"/>
  <c r="O22" i="334"/>
  <c r="O26" i="334"/>
  <c r="O30" i="334"/>
  <c r="O34" i="334"/>
  <c r="O38" i="334"/>
  <c r="N6" i="335"/>
  <c r="O6" i="335"/>
  <c r="N20" i="335"/>
  <c r="O20" i="335"/>
  <c r="N43" i="335"/>
  <c r="O43" i="335"/>
  <c r="N11" i="336"/>
  <c r="O11" i="336"/>
  <c r="N43" i="336"/>
  <c r="O43" i="336"/>
  <c r="O24" i="337"/>
  <c r="N24" i="337"/>
  <c r="O7" i="338"/>
  <c r="N7" i="338"/>
  <c r="O25" i="338"/>
  <c r="N25" i="338"/>
  <c r="O40" i="338"/>
  <c r="N40" i="338"/>
  <c r="O42" i="338"/>
  <c r="N42" i="338"/>
  <c r="O37" i="339"/>
  <c r="N37" i="339"/>
  <c r="O8" i="340"/>
  <c r="N8" i="340"/>
  <c r="O11" i="340"/>
  <c r="N11" i="340"/>
  <c r="O13" i="340"/>
  <c r="N13" i="340"/>
  <c r="K5" i="327"/>
  <c r="N5" i="327" s="1"/>
  <c r="K7" i="328"/>
  <c r="O38" i="328"/>
  <c r="N26" i="331"/>
  <c r="N30" i="333"/>
  <c r="O30" i="333"/>
  <c r="N33" i="333"/>
  <c r="O33" i="333"/>
  <c r="N43" i="333"/>
  <c r="O43" i="333"/>
  <c r="N12" i="335"/>
  <c r="O12" i="335"/>
  <c r="N35" i="335"/>
  <c r="O35" i="335"/>
  <c r="N7" i="336"/>
  <c r="O7" i="336"/>
  <c r="O20" i="337"/>
  <c r="N20" i="337"/>
  <c r="O22" i="337"/>
  <c r="N22" i="337"/>
  <c r="O34" i="337"/>
  <c r="N34" i="337"/>
  <c r="O10" i="338"/>
  <c r="N10" i="338"/>
  <c r="O42" i="339"/>
  <c r="N42" i="339"/>
  <c r="E45" i="326"/>
  <c r="K5" i="331"/>
  <c r="E45" i="331"/>
  <c r="N7" i="331"/>
  <c r="O6" i="332"/>
  <c r="N6" i="332"/>
  <c r="O10" i="332"/>
  <c r="N10" i="332"/>
  <c r="O14" i="332"/>
  <c r="N14" i="332"/>
  <c r="O18" i="332"/>
  <c r="N18" i="332"/>
  <c r="O22" i="332"/>
  <c r="N22" i="332"/>
  <c r="O26" i="332"/>
  <c r="N26" i="332"/>
  <c r="O30" i="332"/>
  <c r="N30" i="332"/>
  <c r="O34" i="332"/>
  <c r="N34" i="332"/>
  <c r="O38" i="332"/>
  <c r="N38" i="332"/>
  <c r="O42" i="332"/>
  <c r="N42" i="332"/>
  <c r="N18" i="333"/>
  <c r="O18" i="333"/>
  <c r="O23" i="333"/>
  <c r="N28" i="333"/>
  <c r="O28" i="333"/>
  <c r="O5" i="334"/>
  <c r="O9" i="334"/>
  <c r="O13" i="334"/>
  <c r="O17" i="334"/>
  <c r="O21" i="334"/>
  <c r="O25" i="334"/>
  <c r="O29" i="334"/>
  <c r="O33" i="334"/>
  <c r="O37" i="334"/>
  <c r="O41" i="334"/>
  <c r="N27" i="335"/>
  <c r="O27" i="335"/>
  <c r="N17" i="336"/>
  <c r="O17" i="336"/>
  <c r="O19" i="336"/>
  <c r="N22" i="336"/>
  <c r="O22" i="336"/>
  <c r="N39" i="336"/>
  <c r="O21" i="338"/>
  <c r="N21" i="338"/>
  <c r="O36" i="338"/>
  <c r="N36" i="338"/>
  <c r="O6" i="328"/>
  <c r="O14" i="328"/>
  <c r="O22" i="328"/>
  <c r="O30" i="328"/>
  <c r="O37" i="328"/>
  <c r="O43" i="328"/>
  <c r="O6" i="331"/>
  <c r="N6" i="331"/>
  <c r="O40" i="331"/>
  <c r="N40" i="331"/>
  <c r="E45" i="333"/>
  <c r="N22" i="333"/>
  <c r="O22" i="333"/>
  <c r="N25" i="333"/>
  <c r="O25" i="333"/>
  <c r="N35" i="333"/>
  <c r="O35" i="333"/>
  <c r="N19" i="335"/>
  <c r="O19" i="335"/>
  <c r="N37" i="335"/>
  <c r="O37" i="335"/>
  <c r="N42" i="335"/>
  <c r="O42" i="335"/>
  <c r="N18" i="336"/>
  <c r="O18" i="336"/>
  <c r="O38" i="336"/>
  <c r="N38" i="336"/>
  <c r="E45" i="337"/>
  <c r="K6" i="338"/>
  <c r="E45" i="338"/>
  <c r="O14" i="338"/>
  <c r="N14" i="338"/>
  <c r="O34" i="338"/>
  <c r="N34" i="338"/>
  <c r="O30" i="339"/>
  <c r="N30" i="339"/>
  <c r="O20" i="331"/>
  <c r="N20" i="331"/>
  <c r="O24" i="331"/>
  <c r="N24" i="331"/>
  <c r="O28" i="331"/>
  <c r="N28" i="331"/>
  <c r="O44" i="331"/>
  <c r="N44" i="331"/>
  <c r="O9" i="332"/>
  <c r="N9" i="332"/>
  <c r="O13" i="332"/>
  <c r="N13" i="332"/>
  <c r="O17" i="332"/>
  <c r="N17" i="332"/>
  <c r="O21" i="332"/>
  <c r="N21" i="332"/>
  <c r="O25" i="332"/>
  <c r="N25" i="332"/>
  <c r="O29" i="332"/>
  <c r="N29" i="332"/>
  <c r="O33" i="332"/>
  <c r="N33" i="332"/>
  <c r="O37" i="332"/>
  <c r="N37" i="332"/>
  <c r="O41" i="332"/>
  <c r="N41" i="332"/>
  <c r="N20" i="333"/>
  <c r="O20" i="333"/>
  <c r="N42" i="333"/>
  <c r="O42" i="333"/>
  <c r="N11" i="335"/>
  <c r="O11" i="335"/>
  <c r="N29" i="335"/>
  <c r="O29" i="335"/>
  <c r="N34" i="335"/>
  <c r="O34" i="335"/>
  <c r="N38" i="335"/>
  <c r="O38" i="335"/>
  <c r="K6" i="336"/>
  <c r="E45" i="336"/>
  <c r="N13" i="336"/>
  <c r="O13" i="336"/>
  <c r="O30" i="337"/>
  <c r="N30" i="337"/>
  <c r="O44" i="337"/>
  <c r="N44" i="337"/>
  <c r="O17" i="338"/>
  <c r="N17" i="338"/>
  <c r="O8" i="339"/>
  <c r="N8" i="339"/>
  <c r="O14" i="331"/>
  <c r="N14" i="331"/>
  <c r="O32" i="331"/>
  <c r="N32" i="331"/>
  <c r="N17" i="333"/>
  <c r="O17" i="333"/>
  <c r="N27" i="333"/>
  <c r="O27" i="333"/>
  <c r="N21" i="335"/>
  <c r="O21" i="335"/>
  <c r="N26" i="335"/>
  <c r="O26" i="335"/>
  <c r="N30" i="335"/>
  <c r="O30" i="335"/>
  <c r="N44" i="335"/>
  <c r="O44" i="335"/>
  <c r="N16" i="336"/>
  <c r="O16" i="336"/>
  <c r="O32" i="337"/>
  <c r="N32" i="337"/>
  <c r="N41" i="337"/>
  <c r="O12" i="338"/>
  <c r="N12" i="338"/>
  <c r="O26" i="338"/>
  <c r="N26" i="338"/>
  <c r="O30" i="338"/>
  <c r="N30" i="338"/>
  <c r="O13" i="339"/>
  <c r="N13" i="339"/>
  <c r="O11" i="328"/>
  <c r="O19" i="328"/>
  <c r="O27" i="328"/>
  <c r="O34" i="328"/>
  <c r="O40" i="328"/>
  <c r="O42" i="331"/>
  <c r="N42" i="331"/>
  <c r="O8" i="332"/>
  <c r="N8" i="332"/>
  <c r="O12" i="332"/>
  <c r="N12" i="332"/>
  <c r="O16" i="332"/>
  <c r="N16" i="332"/>
  <c r="O20" i="332"/>
  <c r="N20" i="332"/>
  <c r="O24" i="332"/>
  <c r="N24" i="332"/>
  <c r="O28" i="332"/>
  <c r="N28" i="332"/>
  <c r="O32" i="332"/>
  <c r="N32" i="332"/>
  <c r="O36" i="332"/>
  <c r="N36" i="332"/>
  <c r="O40" i="332"/>
  <c r="N40" i="332"/>
  <c r="O44" i="332"/>
  <c r="N44" i="332"/>
  <c r="N34" i="333"/>
  <c r="O34" i="333"/>
  <c r="O39" i="333"/>
  <c r="N44" i="333"/>
  <c r="O44" i="333"/>
  <c r="N13" i="335"/>
  <c r="O13" i="335"/>
  <c r="O15" i="335"/>
  <c r="N18" i="335"/>
  <c r="O18" i="335"/>
  <c r="N22" i="335"/>
  <c r="O22" i="335"/>
  <c r="N36" i="335"/>
  <c r="O36" i="335"/>
  <c r="O30" i="336"/>
  <c r="N30" i="336"/>
  <c r="O28" i="337"/>
  <c r="N28" i="337"/>
  <c r="O40" i="337"/>
  <c r="N40" i="337"/>
  <c r="N19" i="333"/>
  <c r="O19" i="333"/>
  <c r="N38" i="333"/>
  <c r="O38" i="333"/>
  <c r="N41" i="333"/>
  <c r="O41" i="333"/>
  <c r="E45" i="335"/>
  <c r="O7" i="335"/>
  <c r="N10" i="335"/>
  <c r="O10" i="335"/>
  <c r="N14" i="335"/>
  <c r="O14" i="335"/>
  <c r="N28" i="335"/>
  <c r="O28" i="335"/>
  <c r="N23" i="336"/>
  <c r="O23" i="336"/>
  <c r="N25" i="337"/>
  <c r="O36" i="337"/>
  <c r="N36" i="337"/>
  <c r="O38" i="337"/>
  <c r="N38" i="337"/>
  <c r="O22" i="338"/>
  <c r="N22" i="338"/>
  <c r="O24" i="340"/>
  <c r="N24" i="340"/>
  <c r="O31" i="340"/>
  <c r="N31" i="340"/>
  <c r="O39" i="340"/>
  <c r="N39" i="340"/>
  <c r="E45" i="334"/>
  <c r="K5" i="335"/>
  <c r="N19" i="337"/>
  <c r="N29" i="337"/>
  <c r="N35" i="337"/>
  <c r="N13" i="338"/>
  <c r="O15" i="338"/>
  <c r="N15" i="338"/>
  <c r="O38" i="338"/>
  <c r="N38" i="338"/>
  <c r="O44" i="338"/>
  <c r="N44" i="338"/>
  <c r="O18" i="339"/>
  <c r="N18" i="339"/>
  <c r="O24" i="339"/>
  <c r="N24" i="339"/>
  <c r="N11" i="331"/>
  <c r="N21" i="331"/>
  <c r="N27" i="331"/>
  <c r="N37" i="331"/>
  <c r="N43" i="331"/>
  <c r="O21" i="333"/>
  <c r="O29" i="333"/>
  <c r="O37" i="333"/>
  <c r="O44" i="336"/>
  <c r="K18" i="337"/>
  <c r="N23" i="337"/>
  <c r="N39" i="337"/>
  <c r="O16" i="338"/>
  <c r="N16" i="338"/>
  <c r="N35" i="338"/>
  <c r="N6" i="339"/>
  <c r="O29" i="339"/>
  <c r="N29" i="339"/>
  <c r="N35" i="339"/>
  <c r="N28" i="336"/>
  <c r="N36" i="336"/>
  <c r="O5" i="339"/>
  <c r="N5" i="339"/>
  <c r="O34" i="339"/>
  <c r="N34" i="339"/>
  <c r="O40" i="339"/>
  <c r="N40" i="339"/>
  <c r="O8" i="338"/>
  <c r="N8" i="338"/>
  <c r="O32" i="338"/>
  <c r="N32" i="338"/>
  <c r="O10" i="339"/>
  <c r="N10" i="339"/>
  <c r="O16" i="339"/>
  <c r="N16" i="339"/>
  <c r="N22" i="339"/>
  <c r="O14" i="340"/>
  <c r="N14" i="340"/>
  <c r="N41" i="331"/>
  <c r="K5" i="333"/>
  <c r="N5" i="333" s="1"/>
  <c r="O10" i="336"/>
  <c r="N26" i="336"/>
  <c r="N34" i="336"/>
  <c r="O42" i="336"/>
  <c r="O20" i="338"/>
  <c r="N20" i="338"/>
  <c r="O24" i="338"/>
  <c r="N24" i="338"/>
  <c r="N29" i="338"/>
  <c r="O41" i="338"/>
  <c r="N41" i="338"/>
  <c r="O21" i="339"/>
  <c r="N21" i="339"/>
  <c r="N27" i="339"/>
  <c r="N9" i="336"/>
  <c r="O9" i="336"/>
  <c r="N15" i="336"/>
  <c r="O15" i="336"/>
  <c r="N25" i="336"/>
  <c r="O25" i="336"/>
  <c r="O28" i="338"/>
  <c r="N28" i="338"/>
  <c r="O39" i="338"/>
  <c r="N39" i="338"/>
  <c r="O26" i="339"/>
  <c r="N26" i="339"/>
  <c r="O32" i="339"/>
  <c r="N32" i="339"/>
  <c r="O10" i="340"/>
  <c r="N10" i="340"/>
  <c r="O26" i="340"/>
  <c r="N26" i="340"/>
  <c r="O34" i="340"/>
  <c r="N34" i="340"/>
  <c r="O42" i="340"/>
  <c r="N42" i="340"/>
  <c r="O6" i="340"/>
  <c r="N6" i="340"/>
  <c r="O22" i="340"/>
  <c r="N22" i="340"/>
  <c r="O28" i="340"/>
  <c r="N28" i="340"/>
  <c r="O36" i="340"/>
  <c r="N36" i="340"/>
  <c r="O44" i="340"/>
  <c r="N44" i="340"/>
  <c r="O7" i="340"/>
  <c r="N7" i="340"/>
  <c r="O9" i="340"/>
  <c r="N9" i="340"/>
  <c r="O20" i="340"/>
  <c r="N20" i="340"/>
  <c r="O23" i="340"/>
  <c r="N23" i="340"/>
  <c r="O25" i="340"/>
  <c r="N25" i="340"/>
  <c r="O18" i="340"/>
  <c r="N18" i="340"/>
  <c r="O30" i="340"/>
  <c r="N30" i="340"/>
  <c r="O38" i="340"/>
  <c r="N38" i="340"/>
  <c r="E45" i="340"/>
  <c r="K5" i="340"/>
  <c r="O16" i="340"/>
  <c r="N16" i="340"/>
  <c r="O19" i="340"/>
  <c r="N19" i="340"/>
  <c r="O21" i="340"/>
  <c r="N21" i="340"/>
  <c r="O32" i="340"/>
  <c r="N32" i="340"/>
  <c r="O40" i="340"/>
  <c r="N40" i="340"/>
  <c r="O12" i="340"/>
  <c r="N12" i="340"/>
  <c r="O15" i="340"/>
  <c r="N15" i="340"/>
  <c r="O17" i="340"/>
  <c r="N17" i="340"/>
  <c r="O29" i="340"/>
  <c r="N29" i="340"/>
  <c r="O33" i="340"/>
  <c r="N33" i="340"/>
  <c r="O41" i="340"/>
  <c r="N41" i="340"/>
  <c r="O27" i="340"/>
  <c r="N27" i="340"/>
  <c r="O35" i="340"/>
  <c r="N35" i="340"/>
  <c r="O43" i="340"/>
  <c r="N43" i="340"/>
  <c r="O37" i="340"/>
  <c r="N37" i="340"/>
  <c r="O30" i="316"/>
  <c r="N30" i="316"/>
  <c r="O29" i="316"/>
  <c r="N29" i="316"/>
  <c r="N28" i="316"/>
  <c r="O28" i="316"/>
  <c r="N27" i="316"/>
  <c r="O27" i="316"/>
  <c r="N26" i="316"/>
  <c r="O26" i="316"/>
  <c r="N25" i="316"/>
  <c r="O25" i="316"/>
  <c r="O24" i="316"/>
  <c r="N24" i="316"/>
  <c r="O23" i="316"/>
  <c r="N23" i="316"/>
  <c r="O22" i="316"/>
  <c r="N22" i="316"/>
  <c r="N21" i="316"/>
  <c r="O21" i="316"/>
  <c r="N20" i="316"/>
  <c r="O20" i="316"/>
  <c r="O19" i="316"/>
  <c r="N19" i="316"/>
  <c r="O18" i="316"/>
  <c r="N18" i="316"/>
  <c r="O17" i="316"/>
  <c r="N17" i="316"/>
  <c r="O16" i="316"/>
  <c r="N16" i="316"/>
  <c r="O14" i="316"/>
  <c r="N14" i="316"/>
  <c r="O13" i="316"/>
  <c r="N13" i="316"/>
  <c r="O12" i="316"/>
  <c r="N12" i="316"/>
  <c r="O11" i="316"/>
  <c r="N11" i="316"/>
  <c r="O10" i="316"/>
  <c r="N10" i="316"/>
  <c r="O9" i="316"/>
  <c r="N9" i="316"/>
  <c r="O8" i="316"/>
  <c r="N8" i="316"/>
  <c r="O7" i="316"/>
  <c r="N7" i="316"/>
  <c r="O6" i="316"/>
  <c r="N6" i="316"/>
  <c r="K5" i="316"/>
  <c r="O44" i="313"/>
  <c r="N44" i="313"/>
  <c r="O43" i="313"/>
  <c r="N43" i="313"/>
  <c r="E32" i="313"/>
  <c r="K32" i="313" s="1"/>
  <c r="O32" i="313" s="1"/>
  <c r="N41" i="313"/>
  <c r="O41" i="313"/>
  <c r="O40" i="313"/>
  <c r="N40" i="313"/>
  <c r="O39" i="313"/>
  <c r="N39" i="313"/>
  <c r="O38" i="313"/>
  <c r="N38" i="313"/>
  <c r="O37" i="313"/>
  <c r="N37" i="313"/>
  <c r="N36" i="313"/>
  <c r="O36" i="313"/>
  <c r="N35" i="313"/>
  <c r="O35" i="313"/>
  <c r="O34" i="313"/>
  <c r="N34" i="313"/>
  <c r="O33" i="313"/>
  <c r="N33" i="313"/>
  <c r="O31" i="313"/>
  <c r="N31" i="313"/>
  <c r="E29" i="313"/>
  <c r="K29" i="313" s="1"/>
  <c r="N29" i="313" s="1"/>
  <c r="G29" i="313"/>
  <c r="H29" i="313"/>
  <c r="O26" i="313"/>
  <c r="N26" i="313"/>
  <c r="O30" i="313"/>
  <c r="N30" i="313"/>
  <c r="O27" i="313"/>
  <c r="N27" i="313"/>
  <c r="O28" i="313"/>
  <c r="N28" i="313"/>
  <c r="O25" i="313"/>
  <c r="N25" i="313"/>
  <c r="O42" i="313"/>
  <c r="N42" i="313"/>
  <c r="H21" i="312"/>
  <c r="E46" i="312"/>
  <c r="H3" i="181" s="1"/>
  <c r="E45" i="312"/>
  <c r="N1" i="312" s="1"/>
  <c r="I63" i="312" s="1"/>
  <c r="G3" i="181" s="1"/>
  <c r="E46" i="198"/>
  <c r="H2" i="181" s="1"/>
  <c r="A1" i="313"/>
  <c r="N22" i="198"/>
  <c r="O22" i="198"/>
  <c r="N14" i="198"/>
  <c r="O14" i="198"/>
  <c r="N6" i="198"/>
  <c r="O6" i="198"/>
  <c r="N21" i="198"/>
  <c r="O21" i="198"/>
  <c r="N17" i="198"/>
  <c r="O17" i="198"/>
  <c r="N13" i="198"/>
  <c r="O13" i="198"/>
  <c r="N9" i="198"/>
  <c r="O9" i="198"/>
  <c r="O23" i="198"/>
  <c r="N23" i="198"/>
  <c r="O19" i="198"/>
  <c r="N19" i="198"/>
  <c r="O15" i="198"/>
  <c r="N15" i="198"/>
  <c r="O11" i="198"/>
  <c r="N11" i="198"/>
  <c r="O7" i="198"/>
  <c r="N7" i="198"/>
  <c r="N18" i="198"/>
  <c r="O18" i="198"/>
  <c r="N10" i="198"/>
  <c r="O10" i="198"/>
  <c r="O24" i="198"/>
  <c r="N24" i="198"/>
  <c r="O20" i="198"/>
  <c r="N20" i="198"/>
  <c r="O16" i="198"/>
  <c r="N16" i="198"/>
  <c r="O12" i="198"/>
  <c r="N12" i="198"/>
  <c r="O8" i="198"/>
  <c r="N8" i="198"/>
  <c r="N5" i="341"/>
  <c r="O5" i="341"/>
  <c r="N13" i="341"/>
  <c r="O13" i="341"/>
  <c r="N21" i="341"/>
  <c r="O21" i="341"/>
  <c r="N29" i="341"/>
  <c r="O29" i="341"/>
  <c r="N37" i="341"/>
  <c r="O37" i="341"/>
  <c r="N10" i="341"/>
  <c r="O10" i="341"/>
  <c r="N18" i="341"/>
  <c r="O18" i="341"/>
  <c r="N26" i="341"/>
  <c r="O26" i="341"/>
  <c r="N34" i="341"/>
  <c r="O34" i="341"/>
  <c r="N42" i="341"/>
  <c r="O42" i="341"/>
  <c r="N7" i="341"/>
  <c r="O7" i="341"/>
  <c r="N15" i="341"/>
  <c r="O15" i="341"/>
  <c r="N23" i="341"/>
  <c r="O23" i="341"/>
  <c r="N31" i="341"/>
  <c r="O31" i="341"/>
  <c r="N39" i="341"/>
  <c r="O39" i="341"/>
  <c r="N12" i="341"/>
  <c r="O12" i="341"/>
  <c r="N20" i="341"/>
  <c r="O20" i="341"/>
  <c r="N28" i="341"/>
  <c r="O28" i="341"/>
  <c r="N36" i="341"/>
  <c r="O36" i="341"/>
  <c r="N44" i="341"/>
  <c r="O44" i="341"/>
  <c r="N9" i="341"/>
  <c r="O9" i="341"/>
  <c r="N17" i="341"/>
  <c r="O17" i="341"/>
  <c r="N25" i="341"/>
  <c r="O25" i="341"/>
  <c r="N33" i="341"/>
  <c r="O33" i="341"/>
  <c r="N41" i="341"/>
  <c r="O41" i="341"/>
  <c r="N6" i="341"/>
  <c r="O6" i="341"/>
  <c r="N14" i="341"/>
  <c r="O14" i="341"/>
  <c r="N22" i="341"/>
  <c r="O22" i="341"/>
  <c r="N30" i="341"/>
  <c r="O30" i="341"/>
  <c r="N38" i="341"/>
  <c r="O38" i="341"/>
  <c r="N11" i="341"/>
  <c r="O11" i="341"/>
  <c r="N19" i="341"/>
  <c r="O19" i="341"/>
  <c r="N27" i="341"/>
  <c r="O27" i="341"/>
  <c r="N35" i="341"/>
  <c r="O35" i="341"/>
  <c r="N43" i="341"/>
  <c r="O43" i="341"/>
  <c r="N8" i="341"/>
  <c r="O8" i="341"/>
  <c r="N16" i="341"/>
  <c r="O16" i="341"/>
  <c r="N24" i="341"/>
  <c r="O24" i="341"/>
  <c r="N32" i="341"/>
  <c r="O32" i="341"/>
  <c r="N40" i="341"/>
  <c r="O40" i="341"/>
  <c r="E45" i="341"/>
  <c r="O6" i="333"/>
  <c r="O7" i="333"/>
  <c r="O8" i="333"/>
  <c r="O9" i="333"/>
  <c r="O10" i="333"/>
  <c r="O11" i="333"/>
  <c r="O12" i="333"/>
  <c r="O13" i="333"/>
  <c r="O14" i="333"/>
  <c r="O15" i="333"/>
  <c r="O16" i="333"/>
  <c r="N6" i="329"/>
  <c r="O6" i="329"/>
  <c r="N22" i="329"/>
  <c r="O22" i="329"/>
  <c r="N38" i="329"/>
  <c r="O38" i="329"/>
  <c r="N11" i="329"/>
  <c r="O11" i="329"/>
  <c r="N19" i="329"/>
  <c r="O19" i="329"/>
  <c r="N27" i="329"/>
  <c r="O27" i="329"/>
  <c r="N35" i="329"/>
  <c r="O35" i="329"/>
  <c r="N43" i="329"/>
  <c r="O43" i="329"/>
  <c r="N14" i="329"/>
  <c r="O14" i="329"/>
  <c r="N30" i="329"/>
  <c r="O30" i="329"/>
  <c r="N8" i="329"/>
  <c r="O8" i="329"/>
  <c r="N16" i="329"/>
  <c r="O16" i="329"/>
  <c r="N24" i="329"/>
  <c r="O24" i="329"/>
  <c r="N32" i="329"/>
  <c r="O32" i="329"/>
  <c r="N40" i="329"/>
  <c r="O40" i="329"/>
  <c r="N5" i="329"/>
  <c r="O5" i="329"/>
  <c r="N13" i="329"/>
  <c r="O13" i="329"/>
  <c r="N21" i="329"/>
  <c r="O21" i="329"/>
  <c r="N29" i="329"/>
  <c r="O29" i="329"/>
  <c r="N37" i="329"/>
  <c r="O37" i="329"/>
  <c r="N10" i="329"/>
  <c r="O10" i="329"/>
  <c r="N18" i="329"/>
  <c r="O18" i="329"/>
  <c r="N26" i="329"/>
  <c r="O26" i="329"/>
  <c r="N34" i="329"/>
  <c r="O34" i="329"/>
  <c r="N42" i="329"/>
  <c r="O42" i="329"/>
  <c r="N7" i="329"/>
  <c r="O7" i="329"/>
  <c r="N15" i="329"/>
  <c r="O15" i="329"/>
  <c r="N23" i="329"/>
  <c r="O23" i="329"/>
  <c r="N31" i="329"/>
  <c r="O31" i="329"/>
  <c r="N39" i="329"/>
  <c r="O39" i="329"/>
  <c r="N12" i="329"/>
  <c r="O12" i="329"/>
  <c r="N20" i="329"/>
  <c r="O20" i="329"/>
  <c r="N28" i="329"/>
  <c r="O28" i="329"/>
  <c r="N36" i="329"/>
  <c r="O36" i="329"/>
  <c r="N44" i="329"/>
  <c r="O44" i="329"/>
  <c r="N9" i="329"/>
  <c r="O9" i="329"/>
  <c r="N17" i="329"/>
  <c r="O17" i="329"/>
  <c r="N25" i="329"/>
  <c r="O25" i="329"/>
  <c r="N33" i="329"/>
  <c r="O33" i="329"/>
  <c r="N41" i="329"/>
  <c r="O41" i="329"/>
  <c r="E45" i="329"/>
  <c r="D3" i="327"/>
  <c r="O6" i="327"/>
  <c r="O7" i="327"/>
  <c r="O8" i="327"/>
  <c r="O9" i="327"/>
  <c r="O10" i="327"/>
  <c r="O11" i="327"/>
  <c r="O12" i="327"/>
  <c r="O13" i="327"/>
  <c r="O14" i="327"/>
  <c r="O15" i="327"/>
  <c r="O16" i="327"/>
  <c r="O17" i="327"/>
  <c r="O18" i="327"/>
  <c r="O19" i="327"/>
  <c r="O20" i="327"/>
  <c r="O21" i="327"/>
  <c r="O22" i="327"/>
  <c r="O23" i="327"/>
  <c r="O24" i="327"/>
  <c r="O25" i="327"/>
  <c r="O26" i="327"/>
  <c r="O27" i="327"/>
  <c r="O28" i="327"/>
  <c r="O29" i="327"/>
  <c r="O30" i="327"/>
  <c r="O31" i="327"/>
  <c r="O32" i="327"/>
  <c r="O33" i="327"/>
  <c r="O34" i="327"/>
  <c r="O35" i="327"/>
  <c r="O36" i="327"/>
  <c r="O37" i="327"/>
  <c r="O38" i="327"/>
  <c r="O39" i="327"/>
  <c r="O40" i="327"/>
  <c r="O41" i="327"/>
  <c r="O42" i="327"/>
  <c r="O43" i="327"/>
  <c r="O44" i="327"/>
  <c r="E63" i="327"/>
  <c r="C18" i="181" s="1"/>
  <c r="N22" i="324"/>
  <c r="O22" i="324"/>
  <c r="N12" i="324"/>
  <c r="O12" i="324"/>
  <c r="N20" i="324"/>
  <c r="O20" i="324"/>
  <c r="N28" i="324"/>
  <c r="O28" i="324"/>
  <c r="N36" i="324"/>
  <c r="O36" i="324"/>
  <c r="N44" i="324"/>
  <c r="O44" i="324"/>
  <c r="N9" i="324"/>
  <c r="O9" i="324"/>
  <c r="N17" i="324"/>
  <c r="O17" i="324"/>
  <c r="N25" i="324"/>
  <c r="O25" i="324"/>
  <c r="N33" i="324"/>
  <c r="O33" i="324"/>
  <c r="N41" i="324"/>
  <c r="O41" i="324"/>
  <c r="N30" i="324"/>
  <c r="O30" i="324"/>
  <c r="N14" i="324"/>
  <c r="O14" i="324"/>
  <c r="N11" i="324"/>
  <c r="O11" i="324"/>
  <c r="N19" i="324"/>
  <c r="O19" i="324"/>
  <c r="N27" i="324"/>
  <c r="O27" i="324"/>
  <c r="N35" i="324"/>
  <c r="O35" i="324"/>
  <c r="N8" i="324"/>
  <c r="O8" i="324"/>
  <c r="N16" i="324"/>
  <c r="O16" i="324"/>
  <c r="N24" i="324"/>
  <c r="O24" i="324"/>
  <c r="N32" i="324"/>
  <c r="O32" i="324"/>
  <c r="N40" i="324"/>
  <c r="O40" i="324"/>
  <c r="N38" i="324"/>
  <c r="O38" i="324"/>
  <c r="N43" i="324"/>
  <c r="O43" i="324"/>
  <c r="N5" i="324"/>
  <c r="O5" i="324"/>
  <c r="N13" i="324"/>
  <c r="O13" i="324"/>
  <c r="N21" i="324"/>
  <c r="O21" i="324"/>
  <c r="N29" i="324"/>
  <c r="O29" i="324"/>
  <c r="N37" i="324"/>
  <c r="O37" i="324"/>
  <c r="N10" i="324"/>
  <c r="O10" i="324"/>
  <c r="N18" i="324"/>
  <c r="O18" i="324"/>
  <c r="N26" i="324"/>
  <c r="O26" i="324"/>
  <c r="N34" i="324"/>
  <c r="O34" i="324"/>
  <c r="N42" i="324"/>
  <c r="O42" i="324"/>
  <c r="N7" i="324"/>
  <c r="O7" i="324"/>
  <c r="N15" i="324"/>
  <c r="O15" i="324"/>
  <c r="N23" i="324"/>
  <c r="O23" i="324"/>
  <c r="N31" i="324"/>
  <c r="O31" i="324"/>
  <c r="N39" i="324"/>
  <c r="O39" i="324"/>
  <c r="N6" i="324"/>
  <c r="O6" i="324"/>
  <c r="D3" i="324"/>
  <c r="E45" i="324"/>
  <c r="F63" i="324"/>
  <c r="O5" i="323"/>
  <c r="O6" i="323"/>
  <c r="O7" i="323"/>
  <c r="O8" i="323"/>
  <c r="O9" i="323"/>
  <c r="O10" i="323"/>
  <c r="O11" i="323"/>
  <c r="O12" i="323"/>
  <c r="O13" i="323"/>
  <c r="O14" i="323"/>
  <c r="O15" i="323"/>
  <c r="O16" i="323"/>
  <c r="O17" i="323"/>
  <c r="O18" i="323"/>
  <c r="O19" i="323"/>
  <c r="O20" i="323"/>
  <c r="O21" i="323"/>
  <c r="O22" i="323"/>
  <c r="O23" i="323"/>
  <c r="O24" i="323"/>
  <c r="O25" i="323"/>
  <c r="O26" i="323"/>
  <c r="O27" i="323"/>
  <c r="O28" i="323"/>
  <c r="O29" i="323"/>
  <c r="O30" i="323"/>
  <c r="O31" i="323"/>
  <c r="O32" i="323"/>
  <c r="O33" i="323"/>
  <c r="O34" i="323"/>
  <c r="O35" i="323"/>
  <c r="O36" i="323"/>
  <c r="O37" i="323"/>
  <c r="O38" i="323"/>
  <c r="O39" i="323"/>
  <c r="O40" i="323"/>
  <c r="O41" i="323"/>
  <c r="O42" i="323"/>
  <c r="O43" i="323"/>
  <c r="O44" i="323"/>
  <c r="O6" i="320"/>
  <c r="N6" i="320"/>
  <c r="O14" i="320"/>
  <c r="N14" i="320"/>
  <c r="O22" i="320"/>
  <c r="N22" i="320"/>
  <c r="O30" i="320"/>
  <c r="N30" i="320"/>
  <c r="O38" i="320"/>
  <c r="N38" i="320"/>
  <c r="O43" i="320"/>
  <c r="N43" i="320"/>
  <c r="O8" i="320"/>
  <c r="N8" i="320"/>
  <c r="O16" i="320"/>
  <c r="N16" i="320"/>
  <c r="O24" i="320"/>
  <c r="N24" i="320"/>
  <c r="O32" i="320"/>
  <c r="N32" i="320"/>
  <c r="O40" i="320"/>
  <c r="N40" i="320"/>
  <c r="O11" i="320"/>
  <c r="N11" i="320"/>
  <c r="O19" i="320"/>
  <c r="N19" i="320"/>
  <c r="O27" i="320"/>
  <c r="N27" i="320"/>
  <c r="O35" i="320"/>
  <c r="N35" i="320"/>
  <c r="O5" i="320"/>
  <c r="N5" i="320"/>
  <c r="O13" i="320"/>
  <c r="N13" i="320"/>
  <c r="O21" i="320"/>
  <c r="N21" i="320"/>
  <c r="O29" i="320"/>
  <c r="N29" i="320"/>
  <c r="O37" i="320"/>
  <c r="N37" i="320"/>
  <c r="O10" i="320"/>
  <c r="N10" i="320"/>
  <c r="O18" i="320"/>
  <c r="N18" i="320"/>
  <c r="O26" i="320"/>
  <c r="N26" i="320"/>
  <c r="O34" i="320"/>
  <c r="N34" i="320"/>
  <c r="O42" i="320"/>
  <c r="N42" i="320"/>
  <c r="O7" i="320"/>
  <c r="N7" i="320"/>
  <c r="O15" i="320"/>
  <c r="N15" i="320"/>
  <c r="O23" i="320"/>
  <c r="N23" i="320"/>
  <c r="O31" i="320"/>
  <c r="N31" i="320"/>
  <c r="O39" i="320"/>
  <c r="N39" i="320"/>
  <c r="O12" i="320"/>
  <c r="N12" i="320"/>
  <c r="O20" i="320"/>
  <c r="N20" i="320"/>
  <c r="O28" i="320"/>
  <c r="N28" i="320"/>
  <c r="O36" i="320"/>
  <c r="N36" i="320"/>
  <c r="O44" i="320"/>
  <c r="N44" i="320"/>
  <c r="O9" i="320"/>
  <c r="N9" i="320"/>
  <c r="O17" i="320"/>
  <c r="N17" i="320"/>
  <c r="O25" i="320"/>
  <c r="N25" i="320"/>
  <c r="O33" i="320"/>
  <c r="N33" i="320"/>
  <c r="O41" i="320"/>
  <c r="N41" i="320"/>
  <c r="D3" i="320"/>
  <c r="E45" i="320"/>
  <c r="O5" i="318"/>
  <c r="O9" i="318"/>
  <c r="O17" i="318"/>
  <c r="O6" i="318"/>
  <c r="O8" i="318"/>
  <c r="O11" i="318"/>
  <c r="O13" i="318"/>
  <c r="O16" i="318"/>
  <c r="O19" i="318"/>
  <c r="O20" i="318"/>
  <c r="O22" i="318"/>
  <c r="O23" i="318"/>
  <c r="O24" i="318"/>
  <c r="O25" i="318"/>
  <c r="O26" i="318"/>
  <c r="O28" i="318"/>
  <c r="O29" i="318"/>
  <c r="O30" i="318"/>
  <c r="O31" i="318"/>
  <c r="O32" i="318"/>
  <c r="O33" i="318"/>
  <c r="O34" i="318"/>
  <c r="O35" i="318"/>
  <c r="O36" i="318"/>
  <c r="O37" i="318"/>
  <c r="O38" i="318"/>
  <c r="O39" i="318"/>
  <c r="O40" i="318"/>
  <c r="O41" i="318"/>
  <c r="O42" i="318"/>
  <c r="O44" i="318"/>
  <c r="O7" i="318"/>
  <c r="O10" i="318"/>
  <c r="O12" i="318"/>
  <c r="O14" i="318"/>
  <c r="O15" i="318"/>
  <c r="O18" i="318"/>
  <c r="O21" i="318"/>
  <c r="O27" i="318"/>
  <c r="O43" i="318"/>
  <c r="N7" i="313"/>
  <c r="N9" i="313"/>
  <c r="N11" i="313"/>
  <c r="N13" i="313"/>
  <c r="N15" i="313"/>
  <c r="N20" i="313"/>
  <c r="N23" i="313"/>
  <c r="N24" i="313"/>
  <c r="O5" i="313"/>
  <c r="O6" i="313"/>
  <c r="O8" i="313"/>
  <c r="O10" i="313"/>
  <c r="O12" i="313"/>
  <c r="O14" i="313"/>
  <c r="O16" i="313"/>
  <c r="O18" i="313"/>
  <c r="O19" i="313"/>
  <c r="O21" i="313"/>
  <c r="O22" i="313"/>
  <c r="N10" i="312"/>
  <c r="O10" i="312"/>
  <c r="N26" i="312"/>
  <c r="O26" i="312"/>
  <c r="N7" i="312"/>
  <c r="O7" i="312"/>
  <c r="N15" i="312"/>
  <c r="O15" i="312"/>
  <c r="N23" i="312"/>
  <c r="O23" i="312"/>
  <c r="N31" i="312"/>
  <c r="O31" i="312"/>
  <c r="N12" i="312"/>
  <c r="O12" i="312"/>
  <c r="N20" i="312"/>
  <c r="O20" i="312"/>
  <c r="N28" i="312"/>
  <c r="O28" i="312"/>
  <c r="N36" i="312"/>
  <c r="O36" i="312"/>
  <c r="N18" i="312"/>
  <c r="O18" i="312"/>
  <c r="N34" i="312"/>
  <c r="O34" i="312"/>
  <c r="N9" i="312"/>
  <c r="O9" i="312"/>
  <c r="N17" i="312"/>
  <c r="O17" i="312"/>
  <c r="N25" i="312"/>
  <c r="O25" i="312"/>
  <c r="N33" i="312"/>
  <c r="O33" i="312"/>
  <c r="N6" i="312"/>
  <c r="O6" i="312"/>
  <c r="N30" i="312"/>
  <c r="O30" i="312"/>
  <c r="N38" i="312"/>
  <c r="O38" i="312"/>
  <c r="N11" i="312"/>
  <c r="O11" i="312"/>
  <c r="N19" i="312"/>
  <c r="O19" i="312"/>
  <c r="N27" i="312"/>
  <c r="O27" i="312"/>
  <c r="N35" i="312"/>
  <c r="O35" i="312"/>
  <c r="N14" i="312"/>
  <c r="O14" i="312"/>
  <c r="N22" i="312"/>
  <c r="O22" i="312"/>
  <c r="N8" i="312"/>
  <c r="O8" i="312"/>
  <c r="N16" i="312"/>
  <c r="O16" i="312"/>
  <c r="N24" i="312"/>
  <c r="O24" i="312"/>
  <c r="N32" i="312"/>
  <c r="O32" i="312"/>
  <c r="N13" i="312"/>
  <c r="O13" i="312"/>
  <c r="N21" i="312"/>
  <c r="O21" i="312"/>
  <c r="N29" i="312"/>
  <c r="O29" i="312"/>
  <c r="N37" i="312"/>
  <c r="O37" i="312"/>
  <c r="K5" i="312"/>
  <c r="D3" i="312"/>
  <c r="O39" i="312"/>
  <c r="O40" i="312"/>
  <c r="O41" i="312"/>
  <c r="O42" i="312"/>
  <c r="O43" i="312"/>
  <c r="O44" i="312"/>
  <c r="E63" i="312"/>
  <c r="C3" i="181" s="1"/>
  <c r="E45" i="198"/>
  <c r="I6" i="198"/>
  <c r="I7" i="198"/>
  <c r="I8" i="198"/>
  <c r="I9" i="198"/>
  <c r="I10" i="198"/>
  <c r="I11" i="198"/>
  <c r="I12" i="198"/>
  <c r="I13" i="198"/>
  <c r="I14" i="198"/>
  <c r="I15" i="198"/>
  <c r="I16" i="198"/>
  <c r="I17" i="198"/>
  <c r="I18" i="198"/>
  <c r="I19" i="198"/>
  <c r="I20" i="198"/>
  <c r="I21" i="198"/>
  <c r="I22" i="198"/>
  <c r="I23" i="198"/>
  <c r="I24" i="198"/>
  <c r="I25" i="198"/>
  <c r="I26" i="198"/>
  <c r="I27" i="198"/>
  <c r="I28" i="198"/>
  <c r="I29" i="198"/>
  <c r="I30" i="198"/>
  <c r="I31" i="198"/>
  <c r="I32" i="198"/>
  <c r="I33" i="198"/>
  <c r="I34" i="198"/>
  <c r="I35" i="198"/>
  <c r="I36" i="198"/>
  <c r="I37" i="198"/>
  <c r="I38" i="198"/>
  <c r="I39" i="198"/>
  <c r="I40" i="198"/>
  <c r="I41" i="198"/>
  <c r="I42" i="198"/>
  <c r="I43" i="198"/>
  <c r="I44" i="198"/>
  <c r="I5" i="198"/>
  <c r="G6" i="198"/>
  <c r="G7" i="198"/>
  <c r="G8" i="198"/>
  <c r="G9" i="198"/>
  <c r="G10" i="198"/>
  <c r="G11" i="198"/>
  <c r="G12" i="198"/>
  <c r="G13" i="198"/>
  <c r="G14" i="198"/>
  <c r="G15" i="198"/>
  <c r="G16" i="198"/>
  <c r="G17" i="198"/>
  <c r="G18" i="198"/>
  <c r="G19" i="198"/>
  <c r="G20" i="198"/>
  <c r="G21" i="198"/>
  <c r="G22" i="198"/>
  <c r="G23" i="198"/>
  <c r="G24" i="198"/>
  <c r="G25" i="198"/>
  <c r="G26" i="198"/>
  <c r="G27" i="198"/>
  <c r="G28" i="198"/>
  <c r="G29" i="198"/>
  <c r="G30" i="198"/>
  <c r="G31" i="198"/>
  <c r="G32" i="198"/>
  <c r="G33" i="198"/>
  <c r="G34" i="198"/>
  <c r="G35" i="198"/>
  <c r="G36" i="198"/>
  <c r="G37" i="198"/>
  <c r="G38" i="198"/>
  <c r="G39" i="198"/>
  <c r="G40" i="198"/>
  <c r="G41" i="198"/>
  <c r="G42" i="198"/>
  <c r="G43" i="198"/>
  <c r="G44" i="198"/>
  <c r="G5" i="198"/>
  <c r="B4" i="150"/>
  <c r="B5" i="150"/>
  <c r="B6" i="150"/>
  <c r="B7" i="150"/>
  <c r="B8" i="150"/>
  <c r="B9" i="150"/>
  <c r="B10" i="150"/>
  <c r="B11" i="150"/>
  <c r="B12" i="150"/>
  <c r="B13" i="150"/>
  <c r="B14" i="150"/>
  <c r="B15" i="150"/>
  <c r="B16" i="150"/>
  <c r="B17" i="150"/>
  <c r="B18" i="150"/>
  <c r="B19" i="150"/>
  <c r="B20" i="150"/>
  <c r="B21" i="150"/>
  <c r="B22" i="150"/>
  <c r="B23" i="150"/>
  <c r="B24" i="150"/>
  <c r="B25" i="150"/>
  <c r="B26" i="150"/>
  <c r="B27" i="150"/>
  <c r="B28" i="150"/>
  <c r="B29" i="150"/>
  <c r="B30" i="150"/>
  <c r="B31" i="150"/>
  <c r="B32" i="150"/>
  <c r="B33" i="150"/>
  <c r="B34" i="150"/>
  <c r="B35" i="150"/>
  <c r="B36" i="150"/>
  <c r="B37" i="150"/>
  <c r="B38" i="150"/>
  <c r="B39" i="150"/>
  <c r="B40" i="150"/>
  <c r="B41" i="150"/>
  <c r="B42" i="150"/>
  <c r="B43" i="150"/>
  <c r="B44" i="150"/>
  <c r="B45" i="150"/>
  <c r="B46" i="150"/>
  <c r="B47" i="150"/>
  <c r="B48" i="150"/>
  <c r="B49" i="150"/>
  <c r="B50" i="150"/>
  <c r="B51" i="150"/>
  <c r="B52" i="150"/>
  <c r="B53" i="150"/>
  <c r="B54" i="150"/>
  <c r="B55" i="150"/>
  <c r="B56" i="150"/>
  <c r="B57" i="150"/>
  <c r="B58" i="150"/>
  <c r="B59" i="150"/>
  <c r="B60" i="150"/>
  <c r="B61" i="150"/>
  <c r="B62" i="150"/>
  <c r="B63" i="150"/>
  <c r="B64" i="150"/>
  <c r="B65" i="150"/>
  <c r="B66" i="150"/>
  <c r="B67" i="150"/>
  <c r="B68" i="150"/>
  <c r="B69" i="150"/>
  <c r="B70" i="150"/>
  <c r="B71" i="150"/>
  <c r="B72" i="150"/>
  <c r="B73" i="150"/>
  <c r="B74" i="150"/>
  <c r="B75" i="150"/>
  <c r="B76" i="150"/>
  <c r="B77" i="150"/>
  <c r="B78" i="150"/>
  <c r="B79" i="150"/>
  <c r="B80" i="150"/>
  <c r="B81" i="150"/>
  <c r="B82" i="150"/>
  <c r="B83" i="150"/>
  <c r="B84" i="150"/>
  <c r="B85" i="150"/>
  <c r="B86" i="150"/>
  <c r="B87" i="150"/>
  <c r="B88" i="150"/>
  <c r="B89" i="150"/>
  <c r="B90" i="150"/>
  <c r="B91" i="150"/>
  <c r="B92" i="150"/>
  <c r="B93" i="150"/>
  <c r="B94" i="150"/>
  <c r="B95" i="150"/>
  <c r="B96" i="150"/>
  <c r="B97" i="150"/>
  <c r="B98" i="150"/>
  <c r="B99" i="150"/>
  <c r="B100" i="150"/>
  <c r="B101" i="150"/>
  <c r="B102" i="150"/>
  <c r="B103" i="150"/>
  <c r="B104" i="150"/>
  <c r="B105" i="150"/>
  <c r="B106" i="150"/>
  <c r="B107" i="150"/>
  <c r="B108" i="150"/>
  <c r="B109" i="150"/>
  <c r="B110" i="150"/>
  <c r="B111" i="150"/>
  <c r="B112" i="150"/>
  <c r="B113" i="150"/>
  <c r="B114" i="150"/>
  <c r="B115" i="150"/>
  <c r="B116" i="150"/>
  <c r="B117" i="150"/>
  <c r="B118" i="150"/>
  <c r="B119" i="150"/>
  <c r="B120" i="150"/>
  <c r="B121" i="150"/>
  <c r="B122" i="150"/>
  <c r="B123" i="150"/>
  <c r="B124" i="150"/>
  <c r="B125" i="150"/>
  <c r="B126" i="150"/>
  <c r="B127" i="150"/>
  <c r="B128" i="150"/>
  <c r="B129" i="150"/>
  <c r="B130" i="150"/>
  <c r="B131" i="150"/>
  <c r="B132" i="150"/>
  <c r="B133" i="150"/>
  <c r="B134" i="150"/>
  <c r="B135" i="150"/>
  <c r="B136" i="150"/>
  <c r="B137" i="150"/>
  <c r="B138" i="150"/>
  <c r="B139" i="150"/>
  <c r="B140" i="150"/>
  <c r="B141" i="150"/>
  <c r="B142" i="150"/>
  <c r="B143" i="150"/>
  <c r="B144" i="150"/>
  <c r="B145" i="150"/>
  <c r="B146" i="150"/>
  <c r="B147" i="150"/>
  <c r="B148" i="150"/>
  <c r="B149" i="150"/>
  <c r="B150" i="150"/>
  <c r="B151" i="150"/>
  <c r="B152" i="150"/>
  <c r="B153" i="150"/>
  <c r="B154" i="150"/>
  <c r="B155" i="150"/>
  <c r="B156" i="150"/>
  <c r="B157" i="150"/>
  <c r="B158" i="150"/>
  <c r="B159" i="150"/>
  <c r="B160" i="150"/>
  <c r="B161" i="150"/>
  <c r="B162" i="150"/>
  <c r="B163" i="150"/>
  <c r="B164" i="150"/>
  <c r="B165" i="150"/>
  <c r="B166" i="150"/>
  <c r="B167" i="150"/>
  <c r="B168" i="150"/>
  <c r="B169" i="150"/>
  <c r="B170" i="150"/>
  <c r="B171" i="150"/>
  <c r="B172" i="150"/>
  <c r="B173" i="150"/>
  <c r="B174" i="150"/>
  <c r="B175" i="150"/>
  <c r="B176" i="150"/>
  <c r="B177" i="150"/>
  <c r="B178" i="150"/>
  <c r="B179" i="150"/>
  <c r="B180" i="150"/>
  <c r="B181" i="150"/>
  <c r="B182" i="150"/>
  <c r="B183" i="150"/>
  <c r="B184" i="150"/>
  <c r="B185" i="150"/>
  <c r="B186" i="150"/>
  <c r="B187" i="150"/>
  <c r="B188" i="150"/>
  <c r="B189" i="150"/>
  <c r="B190" i="150"/>
  <c r="B191" i="150"/>
  <c r="B192" i="150"/>
  <c r="B193" i="150"/>
  <c r="B194" i="150"/>
  <c r="B195" i="150"/>
  <c r="B196" i="150"/>
  <c r="B197" i="150"/>
  <c r="B198" i="150"/>
  <c r="B199" i="150"/>
  <c r="B200" i="150"/>
  <c r="B201" i="150"/>
  <c r="B202" i="150"/>
  <c r="B203" i="150"/>
  <c r="B204" i="150"/>
  <c r="B205" i="150"/>
  <c r="B206" i="150"/>
  <c r="B207" i="150"/>
  <c r="B208" i="150"/>
  <c r="B209" i="150"/>
  <c r="B210" i="150"/>
  <c r="B211" i="150"/>
  <c r="B212" i="150"/>
  <c r="B213" i="150"/>
  <c r="B214" i="150"/>
  <c r="B215" i="150"/>
  <c r="B216" i="150"/>
  <c r="B217" i="150"/>
  <c r="B218" i="150"/>
  <c r="B219" i="150"/>
  <c r="B220" i="150"/>
  <c r="B221" i="150"/>
  <c r="B222" i="150"/>
  <c r="B223" i="150"/>
  <c r="B224" i="150"/>
  <c r="B225" i="150"/>
  <c r="B226" i="150"/>
  <c r="B227" i="150"/>
  <c r="B228" i="150"/>
  <c r="B229" i="150"/>
  <c r="B230" i="150"/>
  <c r="B231" i="150"/>
  <c r="B232" i="150"/>
  <c r="B233" i="150"/>
  <c r="B234" i="150"/>
  <c r="B235" i="150"/>
  <c r="B236" i="150"/>
  <c r="B237" i="150"/>
  <c r="B238" i="150"/>
  <c r="B239" i="150"/>
  <c r="B240" i="150"/>
  <c r="B241" i="150"/>
  <c r="B242" i="150"/>
  <c r="B243" i="150"/>
  <c r="B244" i="150"/>
  <c r="B245" i="150"/>
  <c r="B246" i="150"/>
  <c r="B247" i="150"/>
  <c r="B248" i="150"/>
  <c r="B249" i="150"/>
  <c r="B250" i="150"/>
  <c r="B251" i="150"/>
  <c r="B252" i="150"/>
  <c r="B253" i="150"/>
  <c r="B254" i="150"/>
  <c r="B255" i="150"/>
  <c r="B256" i="150"/>
  <c r="B257" i="150"/>
  <c r="B258" i="150"/>
  <c r="B259" i="150"/>
  <c r="B260" i="150"/>
  <c r="B261" i="150"/>
  <c r="B262" i="150"/>
  <c r="B263" i="150"/>
  <c r="B264" i="150"/>
  <c r="B265" i="150"/>
  <c r="B266" i="150"/>
  <c r="B267" i="150"/>
  <c r="B268" i="150"/>
  <c r="B269" i="150"/>
  <c r="B270" i="150"/>
  <c r="B271" i="150"/>
  <c r="B272" i="150"/>
  <c r="B273" i="150"/>
  <c r="B274" i="150"/>
  <c r="B275" i="150"/>
  <c r="B276" i="150"/>
  <c r="B277" i="150"/>
  <c r="B278" i="150"/>
  <c r="B279" i="150"/>
  <c r="B280" i="150"/>
  <c r="B281" i="150"/>
  <c r="B282" i="150"/>
  <c r="B283" i="150"/>
  <c r="B284" i="150"/>
  <c r="B285" i="150"/>
  <c r="B286" i="150"/>
  <c r="B287" i="150"/>
  <c r="B288" i="150"/>
  <c r="B289" i="150"/>
  <c r="B290" i="150"/>
  <c r="B291" i="150"/>
  <c r="B292" i="150"/>
  <c r="B293" i="150"/>
  <c r="B294" i="150"/>
  <c r="B295" i="150"/>
  <c r="B296" i="150"/>
  <c r="B297" i="150"/>
  <c r="B298" i="150"/>
  <c r="B299" i="150"/>
  <c r="B300" i="150"/>
  <c r="B301" i="150"/>
  <c r="B302" i="150"/>
  <c r="B303" i="150"/>
  <c r="B304" i="150"/>
  <c r="B305" i="150"/>
  <c r="B306" i="150"/>
  <c r="B307" i="150"/>
  <c r="B308" i="150"/>
  <c r="B309" i="150"/>
  <c r="B310" i="150"/>
  <c r="B311" i="150"/>
  <c r="B312" i="150"/>
  <c r="B313" i="150"/>
  <c r="B314" i="150"/>
  <c r="B315" i="150"/>
  <c r="B316" i="150"/>
  <c r="B317" i="150"/>
  <c r="B318" i="150"/>
  <c r="B319" i="150"/>
  <c r="B320" i="150"/>
  <c r="B321" i="150"/>
  <c r="B322" i="150"/>
  <c r="B323" i="150"/>
  <c r="B324" i="150"/>
  <c r="B325" i="150"/>
  <c r="B326" i="150"/>
  <c r="B327" i="150"/>
  <c r="B328" i="150"/>
  <c r="B329" i="150"/>
  <c r="B330" i="150"/>
  <c r="B331" i="150"/>
  <c r="B332" i="150"/>
  <c r="B333" i="150"/>
  <c r="B334" i="150"/>
  <c r="B335" i="150"/>
  <c r="B336" i="150"/>
  <c r="B337" i="150"/>
  <c r="B338" i="150"/>
  <c r="B339" i="150"/>
  <c r="B340" i="150"/>
  <c r="B341" i="150"/>
  <c r="B342" i="150"/>
  <c r="B343" i="150"/>
  <c r="B344" i="150"/>
  <c r="B345" i="150"/>
  <c r="B346" i="150"/>
  <c r="B347" i="150"/>
  <c r="B348" i="150"/>
  <c r="B349" i="150"/>
  <c r="B350" i="150"/>
  <c r="B351" i="150"/>
  <c r="B352" i="150"/>
  <c r="B353" i="150"/>
  <c r="B354" i="150"/>
  <c r="B355" i="150"/>
  <c r="B356" i="150"/>
  <c r="B357" i="150"/>
  <c r="B358" i="150"/>
  <c r="B359" i="150"/>
  <c r="B360" i="150"/>
  <c r="B361" i="150"/>
  <c r="B362" i="150"/>
  <c r="B363" i="150"/>
  <c r="B364" i="150"/>
  <c r="B365" i="150"/>
  <c r="B366" i="150"/>
  <c r="B367" i="150"/>
  <c r="B368" i="150"/>
  <c r="B369" i="150"/>
  <c r="B370" i="150"/>
  <c r="B371" i="150"/>
  <c r="B372" i="150"/>
  <c r="B373" i="150"/>
  <c r="B374" i="150"/>
  <c r="B375" i="150"/>
  <c r="B376" i="150"/>
  <c r="B377" i="150"/>
  <c r="B378" i="150"/>
  <c r="B379" i="150"/>
  <c r="B380" i="150"/>
  <c r="B381" i="150"/>
  <c r="B382" i="150"/>
  <c r="B383" i="150"/>
  <c r="B384" i="150"/>
  <c r="B385" i="150"/>
  <c r="B386" i="150"/>
  <c r="B387" i="150"/>
  <c r="B388" i="150"/>
  <c r="B389" i="150"/>
  <c r="B390" i="150"/>
  <c r="B391" i="150"/>
  <c r="B392" i="150"/>
  <c r="B393" i="150"/>
  <c r="B394" i="150"/>
  <c r="B395" i="150"/>
  <c r="B396" i="150"/>
  <c r="B397" i="150"/>
  <c r="B398" i="150"/>
  <c r="B399" i="150"/>
  <c r="B400" i="150"/>
  <c r="B401" i="150"/>
  <c r="B402" i="150"/>
  <c r="B403" i="150"/>
  <c r="B404" i="150"/>
  <c r="B405" i="150"/>
  <c r="B406" i="150"/>
  <c r="B407" i="150"/>
  <c r="B408" i="150"/>
  <c r="B409" i="150"/>
  <c r="B410" i="150"/>
  <c r="B411" i="150"/>
  <c r="B412" i="150"/>
  <c r="B413" i="150"/>
  <c r="B414" i="150"/>
  <c r="B415" i="150"/>
  <c r="B416" i="150"/>
  <c r="B417" i="150"/>
  <c r="B418" i="150"/>
  <c r="B419" i="150"/>
  <c r="B420" i="150"/>
  <c r="B421" i="150"/>
  <c r="B422" i="150"/>
  <c r="B423" i="150"/>
  <c r="B424" i="150"/>
  <c r="B425" i="150"/>
  <c r="B426" i="150"/>
  <c r="B427" i="150"/>
  <c r="B428" i="150"/>
  <c r="B429" i="150"/>
  <c r="B430" i="150"/>
  <c r="B431" i="150"/>
  <c r="B432" i="150"/>
  <c r="B433" i="150"/>
  <c r="B434" i="150"/>
  <c r="B435" i="150"/>
  <c r="B436" i="150"/>
  <c r="B437" i="150"/>
  <c r="B438" i="150"/>
  <c r="B439" i="150"/>
  <c r="B440" i="150"/>
  <c r="B441" i="150"/>
  <c r="B442" i="150"/>
  <c r="B443" i="150"/>
  <c r="B444" i="150"/>
  <c r="B445" i="150"/>
  <c r="B446" i="150"/>
  <c r="B447" i="150"/>
  <c r="B448" i="150"/>
  <c r="B449" i="150"/>
  <c r="B450" i="150"/>
  <c r="B451" i="150"/>
  <c r="B452" i="150"/>
  <c r="B453" i="150"/>
  <c r="B454" i="150"/>
  <c r="B455" i="150"/>
  <c r="B456" i="150"/>
  <c r="B457" i="150"/>
  <c r="B458" i="150"/>
  <c r="B459" i="150"/>
  <c r="B460" i="150"/>
  <c r="B461" i="150"/>
  <c r="B462" i="150"/>
  <c r="B463" i="150"/>
  <c r="B464" i="150"/>
  <c r="B465" i="150"/>
  <c r="B466" i="150"/>
  <c r="B467" i="150"/>
  <c r="B468" i="150"/>
  <c r="B469" i="150"/>
  <c r="B470" i="150"/>
  <c r="B471" i="150"/>
  <c r="B472" i="150"/>
  <c r="B473" i="150"/>
  <c r="B474" i="150"/>
  <c r="B475" i="150"/>
  <c r="B476" i="150"/>
  <c r="B477" i="150"/>
  <c r="B478" i="150"/>
  <c r="B479" i="150"/>
  <c r="B480" i="150"/>
  <c r="B481" i="150"/>
  <c r="B482" i="150"/>
  <c r="B483" i="150"/>
  <c r="B484" i="150"/>
  <c r="B485" i="150"/>
  <c r="B486" i="150"/>
  <c r="B487" i="150"/>
  <c r="B488" i="150"/>
  <c r="B489" i="150"/>
  <c r="B490" i="150"/>
  <c r="B491" i="150"/>
  <c r="B492" i="150"/>
  <c r="B493" i="150"/>
  <c r="B494" i="150"/>
  <c r="B495" i="150"/>
  <c r="B496" i="150"/>
  <c r="B497" i="150"/>
  <c r="B498" i="150"/>
  <c r="B499" i="150"/>
  <c r="B500" i="150"/>
  <c r="B501" i="150"/>
  <c r="B502" i="150"/>
  <c r="B503" i="150"/>
  <c r="B504" i="150"/>
  <c r="B505" i="150"/>
  <c r="B506" i="150"/>
  <c r="B507" i="150"/>
  <c r="B508" i="150"/>
  <c r="B509" i="150"/>
  <c r="B510" i="150"/>
  <c r="B511" i="150"/>
  <c r="B512" i="150"/>
  <c r="B513" i="150"/>
  <c r="B514" i="150"/>
  <c r="B515" i="150"/>
  <c r="B516" i="150"/>
  <c r="B517" i="150"/>
  <c r="B518" i="150"/>
  <c r="B519" i="150"/>
  <c r="B520" i="150"/>
  <c r="B521" i="150"/>
  <c r="B522" i="150"/>
  <c r="B523" i="150"/>
  <c r="B524" i="150"/>
  <c r="B525" i="150"/>
  <c r="B526" i="150"/>
  <c r="B527" i="150"/>
  <c r="B528" i="150"/>
  <c r="B529" i="150"/>
  <c r="B530" i="150"/>
  <c r="B531" i="150"/>
  <c r="B532" i="150"/>
  <c r="B533" i="150"/>
  <c r="B534" i="150"/>
  <c r="B535" i="150"/>
  <c r="B536" i="150"/>
  <c r="B537" i="150"/>
  <c r="B538" i="150"/>
  <c r="B539" i="150"/>
  <c r="B540" i="150"/>
  <c r="B541" i="150"/>
  <c r="B542" i="150"/>
  <c r="B543" i="150"/>
  <c r="B544" i="150"/>
  <c r="B545" i="150"/>
  <c r="B546" i="150"/>
  <c r="B547" i="150"/>
  <c r="B548" i="150"/>
  <c r="B549" i="150"/>
  <c r="B550" i="150"/>
  <c r="B551" i="150"/>
  <c r="B552" i="150"/>
  <c r="B553" i="150"/>
  <c r="B554" i="150"/>
  <c r="B555" i="150"/>
  <c r="B556" i="150"/>
  <c r="B557" i="150"/>
  <c r="B558" i="150"/>
  <c r="B559" i="150"/>
  <c r="B560" i="150"/>
  <c r="B561" i="150"/>
  <c r="B562" i="150"/>
  <c r="B563" i="150"/>
  <c r="B564" i="150"/>
  <c r="B565" i="150"/>
  <c r="B566" i="150"/>
  <c r="B567" i="150"/>
  <c r="B568" i="150"/>
  <c r="B569" i="150"/>
  <c r="B570" i="150"/>
  <c r="B571" i="150"/>
  <c r="B572" i="150"/>
  <c r="B573" i="150"/>
  <c r="B574" i="150"/>
  <c r="B575" i="150"/>
  <c r="B576" i="150"/>
  <c r="B577" i="150"/>
  <c r="B578" i="150"/>
  <c r="B579" i="150"/>
  <c r="B580" i="150"/>
  <c r="B581" i="150"/>
  <c r="B582" i="150"/>
  <c r="B583" i="150"/>
  <c r="B584" i="150"/>
  <c r="B585" i="150"/>
  <c r="B586" i="150"/>
  <c r="B587" i="150"/>
  <c r="B588" i="150"/>
  <c r="B589" i="150"/>
  <c r="B590" i="150"/>
  <c r="B591" i="150"/>
  <c r="B592" i="150"/>
  <c r="B593" i="150"/>
  <c r="B594" i="150"/>
  <c r="B595" i="150"/>
  <c r="B596" i="150"/>
  <c r="B597" i="150"/>
  <c r="B598" i="150"/>
  <c r="B599" i="150"/>
  <c r="B600" i="150"/>
  <c r="B601" i="150"/>
  <c r="B602" i="150"/>
  <c r="B603" i="150"/>
  <c r="B604" i="150"/>
  <c r="B605" i="150"/>
  <c r="B606" i="150"/>
  <c r="B607" i="150"/>
  <c r="B608" i="150"/>
  <c r="B609" i="150"/>
  <c r="B610" i="150"/>
  <c r="B611" i="150"/>
  <c r="B612" i="150"/>
  <c r="B613" i="150"/>
  <c r="B614" i="150"/>
  <c r="B615" i="150"/>
  <c r="B616" i="150"/>
  <c r="B617" i="150"/>
  <c r="B618" i="150"/>
  <c r="B619" i="150"/>
  <c r="B620" i="150"/>
  <c r="B621" i="150"/>
  <c r="B622" i="150"/>
  <c r="B623" i="150"/>
  <c r="B624" i="150"/>
  <c r="B625" i="150"/>
  <c r="B626" i="150"/>
  <c r="B627" i="150"/>
  <c r="B628" i="150"/>
  <c r="B629" i="150"/>
  <c r="B630" i="150"/>
  <c r="B631" i="150"/>
  <c r="B632" i="150"/>
  <c r="B633" i="150"/>
  <c r="B634" i="150"/>
  <c r="B635" i="150"/>
  <c r="B636" i="150"/>
  <c r="B637" i="150"/>
  <c r="B638" i="150"/>
  <c r="B639" i="150"/>
  <c r="B640" i="150"/>
  <c r="B641" i="150"/>
  <c r="B642" i="150"/>
  <c r="B643" i="150"/>
  <c r="B644" i="150"/>
  <c r="B645" i="150"/>
  <c r="B646" i="150"/>
  <c r="B647" i="150"/>
  <c r="B648" i="150"/>
  <c r="B649" i="150"/>
  <c r="B650" i="150"/>
  <c r="B651" i="150"/>
  <c r="B652" i="150"/>
  <c r="B653" i="150"/>
  <c r="B654" i="150"/>
  <c r="B655" i="150"/>
  <c r="B656" i="150"/>
  <c r="B657" i="150"/>
  <c r="B658" i="150"/>
  <c r="B659" i="150"/>
  <c r="B660" i="150"/>
  <c r="B661" i="150"/>
  <c r="B662" i="150"/>
  <c r="B663" i="150"/>
  <c r="B664" i="150"/>
  <c r="B665" i="150"/>
  <c r="B666" i="150"/>
  <c r="B667" i="150"/>
  <c r="B668" i="150"/>
  <c r="B669" i="150"/>
  <c r="B670" i="150"/>
  <c r="B671" i="150"/>
  <c r="B672" i="150"/>
  <c r="B673" i="150"/>
  <c r="B674" i="150"/>
  <c r="B675" i="150"/>
  <c r="B676" i="150"/>
  <c r="B677" i="150"/>
  <c r="B678" i="150"/>
  <c r="B679" i="150"/>
  <c r="B680" i="150"/>
  <c r="B681" i="150"/>
  <c r="B682" i="150"/>
  <c r="B683" i="150"/>
  <c r="B684" i="150"/>
  <c r="B685" i="150"/>
  <c r="B686" i="150"/>
  <c r="B687" i="150"/>
  <c r="B688" i="150"/>
  <c r="B689" i="150"/>
  <c r="B690" i="150"/>
  <c r="B691" i="150"/>
  <c r="B692" i="150"/>
  <c r="B693" i="150"/>
  <c r="B694" i="150"/>
  <c r="B695" i="150"/>
  <c r="B696" i="150"/>
  <c r="B697" i="150"/>
  <c r="B698" i="150"/>
  <c r="B699" i="150"/>
  <c r="B700" i="150"/>
  <c r="B701" i="150"/>
  <c r="B702" i="150"/>
  <c r="B703" i="150"/>
  <c r="B704" i="150"/>
  <c r="B705" i="150"/>
  <c r="B706" i="150"/>
  <c r="B707" i="150"/>
  <c r="B708" i="150"/>
  <c r="B709" i="150"/>
  <c r="B710" i="150"/>
  <c r="B711" i="150"/>
  <c r="B712" i="150"/>
  <c r="B713" i="150"/>
  <c r="B714" i="150"/>
  <c r="B715" i="150"/>
  <c r="B716" i="150"/>
  <c r="B717" i="150"/>
  <c r="B718" i="150"/>
  <c r="B719" i="150"/>
  <c r="B720" i="150"/>
  <c r="B721" i="150"/>
  <c r="B722" i="150"/>
  <c r="B723" i="150"/>
  <c r="B724" i="150"/>
  <c r="B725" i="150"/>
  <c r="B726" i="150"/>
  <c r="B727" i="150"/>
  <c r="B728" i="150"/>
  <c r="B729" i="150"/>
  <c r="B730" i="150"/>
  <c r="B731" i="150"/>
  <c r="B732" i="150"/>
  <c r="B733" i="150"/>
  <c r="B734" i="150"/>
  <c r="B735" i="150"/>
  <c r="B736" i="150"/>
  <c r="B737" i="150"/>
  <c r="B738" i="150"/>
  <c r="B739" i="150"/>
  <c r="B740" i="150"/>
  <c r="B741" i="150"/>
  <c r="B742" i="150"/>
  <c r="B743" i="150"/>
  <c r="B744" i="150"/>
  <c r="B745" i="150"/>
  <c r="B746" i="150"/>
  <c r="B747" i="150"/>
  <c r="B748" i="150"/>
  <c r="B749" i="150"/>
  <c r="B750" i="150"/>
  <c r="B751" i="150"/>
  <c r="B752" i="150"/>
  <c r="B753" i="150"/>
  <c r="B754" i="150"/>
  <c r="B755" i="150"/>
  <c r="B756" i="150"/>
  <c r="B757" i="150"/>
  <c r="B758" i="150"/>
  <c r="B759" i="150"/>
  <c r="B760" i="150"/>
  <c r="B761" i="150"/>
  <c r="B762" i="150"/>
  <c r="B763" i="150"/>
  <c r="B764" i="150"/>
  <c r="B765" i="150"/>
  <c r="B766" i="150"/>
  <c r="B767" i="150"/>
  <c r="B768" i="150"/>
  <c r="B769" i="150"/>
  <c r="B770" i="150"/>
  <c r="B771" i="150"/>
  <c r="B772" i="150"/>
  <c r="B773" i="150"/>
  <c r="B774" i="150"/>
  <c r="B775" i="150"/>
  <c r="B776" i="150"/>
  <c r="B777" i="150"/>
  <c r="B778" i="150"/>
  <c r="B779" i="150"/>
  <c r="B780" i="150"/>
  <c r="B781" i="150"/>
  <c r="B782" i="150"/>
  <c r="B783" i="150"/>
  <c r="B784" i="150"/>
  <c r="B785" i="150"/>
  <c r="B786" i="150"/>
  <c r="B787" i="150"/>
  <c r="B788" i="150"/>
  <c r="B789" i="150"/>
  <c r="B790" i="150"/>
  <c r="B791" i="150"/>
  <c r="B792" i="150"/>
  <c r="B793" i="150"/>
  <c r="B794" i="150"/>
  <c r="B795" i="150"/>
  <c r="B796" i="150"/>
  <c r="B797" i="150"/>
  <c r="B798" i="150"/>
  <c r="B799" i="150"/>
  <c r="B800" i="150"/>
  <c r="B801" i="150"/>
  <c r="B802" i="150"/>
  <c r="B803" i="150"/>
  <c r="B804" i="150"/>
  <c r="B805" i="150"/>
  <c r="B806" i="150"/>
  <c r="B807" i="150"/>
  <c r="B808" i="150"/>
  <c r="B809" i="150"/>
  <c r="B810" i="150"/>
  <c r="B811" i="150"/>
  <c r="B812" i="150"/>
  <c r="B813" i="150"/>
  <c r="B814" i="150"/>
  <c r="B815" i="150"/>
  <c r="B816" i="150"/>
  <c r="B817" i="150"/>
  <c r="B818" i="150"/>
  <c r="B819" i="150"/>
  <c r="B820" i="150"/>
  <c r="B821" i="150"/>
  <c r="B822" i="150"/>
  <c r="B823" i="150"/>
  <c r="B824" i="150"/>
  <c r="B825" i="150"/>
  <c r="B826" i="150"/>
  <c r="B827" i="150"/>
  <c r="B828" i="150"/>
  <c r="B829" i="150"/>
  <c r="B830" i="150"/>
  <c r="B831" i="150"/>
  <c r="B832" i="150"/>
  <c r="B833" i="150"/>
  <c r="B834" i="150"/>
  <c r="B835" i="150"/>
  <c r="B836" i="150"/>
  <c r="B837" i="150"/>
  <c r="B838" i="150"/>
  <c r="B839" i="150"/>
  <c r="B840" i="150"/>
  <c r="B841" i="150"/>
  <c r="B842" i="150"/>
  <c r="B843" i="150"/>
  <c r="B844" i="150"/>
  <c r="B845" i="150"/>
  <c r="B846" i="150"/>
  <c r="B847" i="150"/>
  <c r="B848" i="150"/>
  <c r="B849" i="150"/>
  <c r="B850" i="150"/>
  <c r="B851" i="150"/>
  <c r="B852" i="150"/>
  <c r="B853" i="150"/>
  <c r="B854" i="150"/>
  <c r="B855" i="150"/>
  <c r="B856" i="150"/>
  <c r="B857" i="150"/>
  <c r="B858" i="150"/>
  <c r="B859" i="150"/>
  <c r="B860" i="150"/>
  <c r="B861" i="150"/>
  <c r="B862" i="150"/>
  <c r="B863" i="150"/>
  <c r="B864" i="150"/>
  <c r="B865" i="150"/>
  <c r="B866" i="150"/>
  <c r="B867" i="150"/>
  <c r="B868" i="150"/>
  <c r="B869" i="150"/>
  <c r="B870" i="150"/>
  <c r="B871" i="150"/>
  <c r="B872" i="150"/>
  <c r="B873" i="150"/>
  <c r="B874" i="150"/>
  <c r="B875" i="150"/>
  <c r="B876" i="150"/>
  <c r="B877" i="150"/>
  <c r="B878" i="150"/>
  <c r="B879" i="150"/>
  <c r="B880" i="150"/>
  <c r="B881" i="150"/>
  <c r="B882" i="150"/>
  <c r="B883" i="150"/>
  <c r="B884" i="150"/>
  <c r="B885" i="150"/>
  <c r="B886" i="150"/>
  <c r="B887" i="150"/>
  <c r="B888" i="150"/>
  <c r="B889" i="150"/>
  <c r="B890" i="150"/>
  <c r="B891" i="150"/>
  <c r="B892" i="150"/>
  <c r="B893" i="150"/>
  <c r="B894" i="150"/>
  <c r="B895" i="150"/>
  <c r="B896" i="150"/>
  <c r="B897" i="150"/>
  <c r="B898" i="150"/>
  <c r="B899" i="150"/>
  <c r="B900" i="150"/>
  <c r="B901" i="150"/>
  <c r="B902" i="150"/>
  <c r="B903" i="150"/>
  <c r="B904" i="150"/>
  <c r="B905" i="150"/>
  <c r="B906" i="150"/>
  <c r="B907" i="150"/>
  <c r="B908" i="150"/>
  <c r="B909" i="150"/>
  <c r="B910" i="150"/>
  <c r="B911" i="150"/>
  <c r="B912" i="150"/>
  <c r="B913" i="150"/>
  <c r="B914" i="150"/>
  <c r="B915" i="150"/>
  <c r="B916" i="150"/>
  <c r="B917" i="150"/>
  <c r="B918" i="150"/>
  <c r="B919" i="150"/>
  <c r="B920" i="150"/>
  <c r="B921" i="150"/>
  <c r="B922" i="150"/>
  <c r="B923" i="150"/>
  <c r="B924" i="150"/>
  <c r="B925" i="150"/>
  <c r="B926" i="150"/>
  <c r="B927" i="150"/>
  <c r="B928" i="150"/>
  <c r="B929" i="150"/>
  <c r="B930" i="150"/>
  <c r="B931" i="150"/>
  <c r="B932" i="150"/>
  <c r="B933" i="150"/>
  <c r="B934" i="150"/>
  <c r="B935" i="150"/>
  <c r="B936" i="150"/>
  <c r="B937" i="150"/>
  <c r="B938" i="150"/>
  <c r="B939" i="150"/>
  <c r="B940" i="150"/>
  <c r="B941" i="150"/>
  <c r="B942" i="150"/>
  <c r="B943" i="150"/>
  <c r="B944" i="150"/>
  <c r="B945" i="150"/>
  <c r="B946" i="150"/>
  <c r="B947" i="150"/>
  <c r="B948" i="150"/>
  <c r="B949" i="150"/>
  <c r="B950" i="150"/>
  <c r="B951" i="150"/>
  <c r="B952" i="150"/>
  <c r="B953" i="150"/>
  <c r="B954" i="150"/>
  <c r="B955" i="150"/>
  <c r="B956" i="150"/>
  <c r="B957" i="150"/>
  <c r="B958" i="150"/>
  <c r="B959" i="150"/>
  <c r="B960" i="150"/>
  <c r="B961" i="150"/>
  <c r="B962" i="150"/>
  <c r="B963" i="150"/>
  <c r="B964" i="150"/>
  <c r="B965" i="150"/>
  <c r="B966" i="150"/>
  <c r="B967" i="150"/>
  <c r="B968" i="150"/>
  <c r="B969" i="150"/>
  <c r="B970" i="150"/>
  <c r="B971" i="150"/>
  <c r="B972" i="150"/>
  <c r="B973" i="150"/>
  <c r="B974" i="150"/>
  <c r="B975" i="150"/>
  <c r="B976" i="150"/>
  <c r="B977" i="150"/>
  <c r="B978" i="150"/>
  <c r="B979" i="150"/>
  <c r="B980" i="150"/>
  <c r="B981" i="150"/>
  <c r="B982" i="150"/>
  <c r="B983" i="150"/>
  <c r="B984" i="150"/>
  <c r="B985" i="150"/>
  <c r="B986" i="150"/>
  <c r="B987" i="150"/>
  <c r="B988" i="150"/>
  <c r="B989" i="150"/>
  <c r="B990" i="150"/>
  <c r="B991" i="150"/>
  <c r="B992" i="150"/>
  <c r="B993" i="150"/>
  <c r="B994" i="150"/>
  <c r="B995" i="150"/>
  <c r="B996" i="150"/>
  <c r="B997" i="150"/>
  <c r="B998" i="150"/>
  <c r="B999" i="150"/>
  <c r="B1000" i="150"/>
  <c r="B1001" i="150"/>
  <c r="B1002" i="150"/>
  <c r="B1003" i="150"/>
  <c r="B1004" i="150"/>
  <c r="B1005" i="150"/>
  <c r="B1006" i="150"/>
  <c r="B1007" i="150"/>
  <c r="B1008" i="150"/>
  <c r="B1009" i="150"/>
  <c r="B1010" i="150"/>
  <c r="B1011" i="150"/>
  <c r="B1012" i="150"/>
  <c r="B1013" i="150"/>
  <c r="B1014" i="150"/>
  <c r="B1015" i="150"/>
  <c r="B1016" i="150"/>
  <c r="B1017" i="150"/>
  <c r="B1018" i="150"/>
  <c r="B1019" i="150"/>
  <c r="B1020" i="150"/>
  <c r="B1021" i="150"/>
  <c r="B1022" i="150"/>
  <c r="B1023" i="150"/>
  <c r="B1024" i="150"/>
  <c r="B1025" i="150"/>
  <c r="B1026" i="150"/>
  <c r="B1027" i="150"/>
  <c r="B1028" i="150"/>
  <c r="B1029" i="150"/>
  <c r="B1030" i="150"/>
  <c r="B1031" i="150"/>
  <c r="B1032" i="150"/>
  <c r="B1033" i="150"/>
  <c r="B1034" i="150"/>
  <c r="B1035" i="150"/>
  <c r="B1036" i="150"/>
  <c r="B1037" i="150"/>
  <c r="B1038" i="150"/>
  <c r="B1039" i="150"/>
  <c r="B1040" i="150"/>
  <c r="B1041" i="150"/>
  <c r="B1042" i="150"/>
  <c r="B1043" i="150"/>
  <c r="B1044" i="150"/>
  <c r="B1045" i="150"/>
  <c r="B1046" i="150"/>
  <c r="B1047" i="150"/>
  <c r="B1048" i="150"/>
  <c r="B1049" i="150"/>
  <c r="B1050" i="150"/>
  <c r="B1051" i="150"/>
  <c r="B1052" i="150"/>
  <c r="B1053" i="150"/>
  <c r="B1054" i="150"/>
  <c r="B1055" i="150"/>
  <c r="B1056" i="150"/>
  <c r="B1057" i="150"/>
  <c r="B1058" i="150"/>
  <c r="B1059" i="150"/>
  <c r="B1060" i="150"/>
  <c r="B1061" i="150"/>
  <c r="B1062" i="150"/>
  <c r="B1063" i="150"/>
  <c r="B1064" i="150"/>
  <c r="B1065" i="150"/>
  <c r="B1066" i="150"/>
  <c r="B1067" i="150"/>
  <c r="B1068" i="150"/>
  <c r="B1069" i="150"/>
  <c r="B1070" i="150"/>
  <c r="B1071" i="150"/>
  <c r="B1072" i="150"/>
  <c r="B1073" i="150"/>
  <c r="B1074" i="150"/>
  <c r="B1075" i="150"/>
  <c r="B1076" i="150"/>
  <c r="B1077" i="150"/>
  <c r="B1078" i="150"/>
  <c r="B1079" i="150"/>
  <c r="B1080" i="150"/>
  <c r="B1081" i="150"/>
  <c r="B1082" i="150"/>
  <c r="B1083" i="150"/>
  <c r="B1084" i="150"/>
  <c r="B1085" i="150"/>
  <c r="B1086" i="150"/>
  <c r="B1087" i="150"/>
  <c r="B1088" i="150"/>
  <c r="B1089" i="150"/>
  <c r="B1090" i="150"/>
  <c r="B1091" i="150"/>
  <c r="B1092" i="150"/>
  <c r="B1093" i="150"/>
  <c r="B1094" i="150"/>
  <c r="B1095" i="150"/>
  <c r="B1096" i="150"/>
  <c r="B1097" i="150"/>
  <c r="B1098" i="150"/>
  <c r="B1099" i="150"/>
  <c r="B1100" i="150"/>
  <c r="B1101" i="150"/>
  <c r="B1102" i="150"/>
  <c r="B1103" i="150"/>
  <c r="B1104" i="150"/>
  <c r="B1105" i="150"/>
  <c r="B1106" i="150"/>
  <c r="B1107" i="150"/>
  <c r="B1108" i="150"/>
  <c r="B1109" i="150"/>
  <c r="B1110" i="150"/>
  <c r="B1111" i="150"/>
  <c r="B1112" i="150"/>
  <c r="B1113" i="150"/>
  <c r="B1114" i="150"/>
  <c r="B1115" i="150"/>
  <c r="B1116" i="150"/>
  <c r="B1117" i="150"/>
  <c r="B1118" i="150"/>
  <c r="B1119" i="150"/>
  <c r="B1120" i="150"/>
  <c r="B1121" i="150"/>
  <c r="B1122" i="150"/>
  <c r="B1123" i="150"/>
  <c r="B1124" i="150"/>
  <c r="B1125" i="150"/>
  <c r="B1126" i="150"/>
  <c r="B1127" i="150"/>
  <c r="B1128" i="150"/>
  <c r="B1129" i="150"/>
  <c r="B1130" i="150"/>
  <c r="B1131" i="150"/>
  <c r="B1132" i="150"/>
  <c r="B1133" i="150"/>
  <c r="B1134" i="150"/>
  <c r="B1135" i="150"/>
  <c r="B1136" i="150"/>
  <c r="B1137" i="150"/>
  <c r="B1138" i="150"/>
  <c r="B1139" i="150"/>
  <c r="B1140" i="150"/>
  <c r="B1141" i="150"/>
  <c r="B1142" i="150"/>
  <c r="B1143" i="150"/>
  <c r="B1144" i="150"/>
  <c r="B1145" i="150"/>
  <c r="B1146" i="150"/>
  <c r="B1147" i="150"/>
  <c r="B1148" i="150"/>
  <c r="B1149" i="150"/>
  <c r="B1150" i="150"/>
  <c r="B1151" i="150"/>
  <c r="B1152" i="150"/>
  <c r="B1153" i="150"/>
  <c r="B1154" i="150"/>
  <c r="B1155" i="150"/>
  <c r="B1156" i="150"/>
  <c r="B1157" i="150"/>
  <c r="B1158" i="150"/>
  <c r="B1159" i="150"/>
  <c r="B1160" i="150"/>
  <c r="B1161" i="150"/>
  <c r="B1162" i="150"/>
  <c r="B1163" i="150"/>
  <c r="B1164" i="150"/>
  <c r="B1165" i="150"/>
  <c r="B1166" i="150"/>
  <c r="B1167" i="150"/>
  <c r="B1168" i="150"/>
  <c r="B1169" i="150"/>
  <c r="B1170" i="150"/>
  <c r="B1171" i="150"/>
  <c r="B1172" i="150"/>
  <c r="B1173" i="150"/>
  <c r="B1174" i="150"/>
  <c r="B1175" i="150"/>
  <c r="B1176" i="150"/>
  <c r="B1177" i="150"/>
  <c r="B1178" i="150"/>
  <c r="B1179" i="150"/>
  <c r="B1180" i="150"/>
  <c r="B1181" i="150"/>
  <c r="B1182" i="150"/>
  <c r="B1183" i="150"/>
  <c r="B1184" i="150"/>
  <c r="B1185" i="150"/>
  <c r="B1186" i="150"/>
  <c r="B1187" i="150"/>
  <c r="B1188" i="150"/>
  <c r="B1189" i="150"/>
  <c r="B1190" i="150"/>
  <c r="B1191" i="150"/>
  <c r="B1192" i="150"/>
  <c r="B1193" i="150"/>
  <c r="B1194" i="150"/>
  <c r="B1195" i="150"/>
  <c r="B1196" i="150"/>
  <c r="B1197" i="150"/>
  <c r="B1198" i="150"/>
  <c r="B1199" i="150"/>
  <c r="B1200" i="150"/>
  <c r="B1201" i="150"/>
  <c r="B1202" i="150"/>
  <c r="B1203" i="150"/>
  <c r="B1204" i="150"/>
  <c r="B1205" i="150"/>
  <c r="B1206" i="150"/>
  <c r="B1207" i="150"/>
  <c r="B1208" i="150"/>
  <c r="B1209" i="150"/>
  <c r="B1210" i="150"/>
  <c r="B1211" i="150"/>
  <c r="B1212" i="150"/>
  <c r="B1213" i="150"/>
  <c r="B1214" i="150"/>
  <c r="B1215" i="150"/>
  <c r="B1216" i="150"/>
  <c r="B1217" i="150"/>
  <c r="B1218" i="150"/>
  <c r="B1219" i="150"/>
  <c r="B1220" i="150"/>
  <c r="B1221" i="150"/>
  <c r="B1222" i="150"/>
  <c r="B1223" i="150"/>
  <c r="B1224" i="150"/>
  <c r="B1225" i="150"/>
  <c r="B1226" i="150"/>
  <c r="B1227" i="150"/>
  <c r="B1228" i="150"/>
  <c r="B1229" i="150"/>
  <c r="B1230" i="150"/>
  <c r="B1231" i="150"/>
  <c r="B1232" i="150"/>
  <c r="B1233" i="150"/>
  <c r="B1234" i="150"/>
  <c r="B1235" i="150"/>
  <c r="B1236" i="150"/>
  <c r="B1237" i="150"/>
  <c r="B1238" i="150"/>
  <c r="B1239" i="150"/>
  <c r="B1240" i="150"/>
  <c r="B1241" i="150"/>
  <c r="B1242" i="150"/>
  <c r="B1243" i="150"/>
  <c r="B1244" i="150"/>
  <c r="B1245" i="150"/>
  <c r="B1246" i="150"/>
  <c r="B1247" i="150"/>
  <c r="B1248" i="150"/>
  <c r="B1249" i="150"/>
  <c r="B1250" i="150"/>
  <c r="B1251" i="150"/>
  <c r="B1252" i="150"/>
  <c r="B1253" i="150"/>
  <c r="B1254" i="150"/>
  <c r="B1255" i="150"/>
  <c r="B1256" i="150"/>
  <c r="B1257" i="150"/>
  <c r="B1258" i="150"/>
  <c r="B1259" i="150"/>
  <c r="B1260" i="150"/>
  <c r="B1261" i="150"/>
  <c r="B1262" i="150"/>
  <c r="B1263" i="150"/>
  <c r="B1264" i="150"/>
  <c r="B1265" i="150"/>
  <c r="B1266" i="150"/>
  <c r="B1267" i="150"/>
  <c r="B1268" i="150"/>
  <c r="B1269" i="150"/>
  <c r="B1270" i="150"/>
  <c r="B1271" i="150"/>
  <c r="B1272" i="150"/>
  <c r="B1273" i="150"/>
  <c r="B1274" i="150"/>
  <c r="B1275" i="150"/>
  <c r="B1276" i="150"/>
  <c r="B1277" i="150"/>
  <c r="B1278" i="150"/>
  <c r="B1279" i="150"/>
  <c r="B1280" i="150"/>
  <c r="B1281" i="150"/>
  <c r="B1282" i="150"/>
  <c r="B1283" i="150"/>
  <c r="B1284" i="150"/>
  <c r="B1285" i="150"/>
  <c r="B1286" i="150"/>
  <c r="B1287" i="150"/>
  <c r="B1288" i="150"/>
  <c r="B1289" i="150"/>
  <c r="B1290" i="150"/>
  <c r="B1291" i="150"/>
  <c r="B1292" i="150"/>
  <c r="B1293" i="150"/>
  <c r="B1294" i="150"/>
  <c r="B1295" i="150"/>
  <c r="B1296" i="150"/>
  <c r="B1297" i="150"/>
  <c r="B1298" i="150"/>
  <c r="B1299" i="150"/>
  <c r="B1300" i="150"/>
  <c r="B1301" i="150"/>
  <c r="B1302" i="150"/>
  <c r="B1303" i="150"/>
  <c r="B1304" i="150"/>
  <c r="B1305" i="150"/>
  <c r="B1306" i="150"/>
  <c r="B1307" i="150"/>
  <c r="B1308" i="150"/>
  <c r="B1309" i="150"/>
  <c r="B1310" i="150"/>
  <c r="B1311" i="150"/>
  <c r="B1312" i="150"/>
  <c r="B1313" i="150"/>
  <c r="B1314" i="150"/>
  <c r="B1315" i="150"/>
  <c r="B1316" i="150"/>
  <c r="B1317" i="150"/>
  <c r="B1318" i="150"/>
  <c r="B1319" i="150"/>
  <c r="B1320" i="150"/>
  <c r="B1321" i="150"/>
  <c r="B1322" i="150"/>
  <c r="B1323" i="150"/>
  <c r="B1324" i="150"/>
  <c r="B1325" i="150"/>
  <c r="B1326" i="150"/>
  <c r="B1327" i="150"/>
  <c r="B1328" i="150"/>
  <c r="B1329" i="150"/>
  <c r="B1330" i="150"/>
  <c r="B1331" i="150"/>
  <c r="B1332" i="150"/>
  <c r="B1333" i="150"/>
  <c r="B1334" i="150"/>
  <c r="B1335" i="150"/>
  <c r="B1336" i="150"/>
  <c r="B1337" i="150"/>
  <c r="B1338" i="150"/>
  <c r="B1339" i="150"/>
  <c r="B1340" i="150"/>
  <c r="B1341" i="150"/>
  <c r="B1342" i="150"/>
  <c r="B1343" i="150"/>
  <c r="B1344" i="150"/>
  <c r="B1345" i="150"/>
  <c r="B1346" i="150"/>
  <c r="B1347" i="150"/>
  <c r="B1348" i="150"/>
  <c r="B1349" i="150"/>
  <c r="B1350" i="150"/>
  <c r="B1351" i="150"/>
  <c r="B1352" i="150"/>
  <c r="B1353" i="150"/>
  <c r="B1354" i="150"/>
  <c r="B1355" i="150"/>
  <c r="B1356" i="150"/>
  <c r="B1357" i="150"/>
  <c r="B1358" i="150"/>
  <c r="B1359" i="150"/>
  <c r="B1360" i="150"/>
  <c r="B1361" i="150"/>
  <c r="B1362" i="150"/>
  <c r="B1363" i="150"/>
  <c r="B1364" i="150"/>
  <c r="B1365" i="150"/>
  <c r="B1366" i="150"/>
  <c r="B1367" i="150"/>
  <c r="B1368" i="150"/>
  <c r="B1369" i="150"/>
  <c r="B1370" i="150"/>
  <c r="B1371" i="150"/>
  <c r="B1372" i="150"/>
  <c r="B1373" i="150"/>
  <c r="B1374" i="150"/>
  <c r="B1375" i="150"/>
  <c r="B1376" i="150"/>
  <c r="B1377" i="150"/>
  <c r="B1378" i="150"/>
  <c r="B1379" i="150"/>
  <c r="B1380" i="150"/>
  <c r="B1381" i="150"/>
  <c r="B1382" i="150"/>
  <c r="B1383" i="150"/>
  <c r="B1384" i="150"/>
  <c r="B1385" i="150"/>
  <c r="B1386" i="150"/>
  <c r="B1387" i="150"/>
  <c r="B1388" i="150"/>
  <c r="B1389" i="150"/>
  <c r="B1390" i="150"/>
  <c r="B1391" i="150"/>
  <c r="B1392" i="150"/>
  <c r="B1393" i="150"/>
  <c r="B1394" i="150"/>
  <c r="B1395" i="150"/>
  <c r="B1396" i="150"/>
  <c r="B1397" i="150"/>
  <c r="B1398" i="150"/>
  <c r="B1399" i="150"/>
  <c r="B1400" i="150"/>
  <c r="B1401" i="150"/>
  <c r="B1402" i="150"/>
  <c r="B1403" i="150"/>
  <c r="B1404" i="150"/>
  <c r="B1405" i="150"/>
  <c r="B1406" i="150"/>
  <c r="B1407" i="150"/>
  <c r="B1408" i="150"/>
  <c r="B1409" i="150"/>
  <c r="B1410" i="150"/>
  <c r="B1411" i="150"/>
  <c r="B1412" i="150"/>
  <c r="B1413" i="150"/>
  <c r="B1414" i="150"/>
  <c r="B1415" i="150"/>
  <c r="B1416" i="150"/>
  <c r="B1417" i="150"/>
  <c r="B1418" i="150"/>
  <c r="B1419" i="150"/>
  <c r="B1420" i="150"/>
  <c r="B1421" i="150"/>
  <c r="B1422" i="150"/>
  <c r="B1423" i="150"/>
  <c r="B1424" i="150"/>
  <c r="B1425" i="150"/>
  <c r="B1426" i="150"/>
  <c r="B1427" i="150"/>
  <c r="B1428" i="150"/>
  <c r="B1429" i="150"/>
  <c r="B1430" i="150"/>
  <c r="B1431" i="150"/>
  <c r="B1432" i="150"/>
  <c r="B1434" i="150"/>
  <c r="B1435" i="150"/>
  <c r="B1436" i="150"/>
  <c r="B1437" i="150"/>
  <c r="B1438" i="150"/>
  <c r="B1439" i="150"/>
  <c r="B1440" i="150"/>
  <c r="B1441" i="150"/>
  <c r="B1442" i="150"/>
  <c r="B1443" i="150"/>
  <c r="B1446" i="150"/>
  <c r="B1447" i="150"/>
  <c r="B1448" i="150"/>
  <c r="B1449" i="150"/>
  <c r="B1450" i="150"/>
  <c r="B1451" i="150"/>
  <c r="B1452" i="150"/>
  <c r="B1453" i="150"/>
  <c r="B1454" i="150"/>
  <c r="B1455" i="150"/>
  <c r="B1456" i="150"/>
  <c r="B1457" i="150"/>
  <c r="B1458" i="150"/>
  <c r="B1459" i="150"/>
  <c r="B1460" i="150"/>
  <c r="B1461" i="150"/>
  <c r="B1462" i="150"/>
  <c r="B1463" i="150"/>
  <c r="B1464" i="150"/>
  <c r="B1465" i="150"/>
  <c r="B1466" i="150"/>
  <c r="B1467" i="150"/>
  <c r="B1468" i="150"/>
  <c r="B1469" i="150"/>
  <c r="B1471" i="150"/>
  <c r="B1472" i="150"/>
  <c r="B1473" i="150"/>
  <c r="B1474" i="150"/>
  <c r="B1475" i="150"/>
  <c r="B1476" i="150"/>
  <c r="B1477" i="150"/>
  <c r="B1478" i="150"/>
  <c r="B1479" i="150"/>
  <c r="B1480" i="150"/>
  <c r="B1481" i="150"/>
  <c r="B1484" i="150"/>
  <c r="B1485" i="150"/>
  <c r="B1502" i="150"/>
  <c r="B1509" i="150"/>
  <c r="B1510" i="150"/>
  <c r="B1511" i="150"/>
  <c r="B1512" i="150"/>
  <c r="B1514" i="150"/>
  <c r="B1515" i="150"/>
  <c r="B1521" i="150"/>
  <c r="B1522" i="150"/>
  <c r="B1523" i="150"/>
  <c r="B1524" i="150"/>
  <c r="B1525" i="150"/>
  <c r="B1526" i="150"/>
  <c r="B1527" i="150"/>
  <c r="B1528" i="150"/>
  <c r="B1529" i="150"/>
  <c r="B1530" i="150"/>
  <c r="B1531" i="150"/>
  <c r="B1532" i="150"/>
  <c r="B1533" i="150"/>
  <c r="B1534" i="150"/>
  <c r="B1535" i="150"/>
  <c r="B1536" i="150"/>
  <c r="B1537" i="150"/>
  <c r="B1538" i="150"/>
  <c r="B1539" i="150"/>
  <c r="B1540" i="150"/>
  <c r="B1541" i="150"/>
  <c r="B1542" i="150"/>
  <c r="B1543" i="150"/>
  <c r="B1544" i="150"/>
  <c r="B1545" i="150"/>
  <c r="B1546" i="150"/>
  <c r="B1547" i="150"/>
  <c r="B1548" i="150"/>
  <c r="B1549" i="150"/>
  <c r="B1550" i="150"/>
  <c r="B1551" i="150"/>
  <c r="B1552" i="150"/>
  <c r="B1553" i="150"/>
  <c r="B1554" i="150"/>
  <c r="B1555" i="150"/>
  <c r="B1556" i="150"/>
  <c r="B1557" i="150"/>
  <c r="B1558" i="150"/>
  <c r="B1559" i="150"/>
  <c r="B1560" i="150"/>
  <c r="B1561" i="150"/>
  <c r="B1562" i="150"/>
  <c r="B1563" i="150"/>
  <c r="B1564" i="150"/>
  <c r="B1565" i="150"/>
  <c r="B1566" i="150"/>
  <c r="B1567" i="150"/>
  <c r="B1568" i="150"/>
  <c r="B1569" i="150"/>
  <c r="B1570" i="150"/>
  <c r="B1571" i="150"/>
  <c r="B1572" i="150"/>
  <c r="B1573" i="150"/>
  <c r="B1574" i="150"/>
  <c r="B1575" i="150"/>
  <c r="B1576" i="150"/>
  <c r="B1577" i="150"/>
  <c r="B1578" i="150"/>
  <c r="B1579" i="150"/>
  <c r="B1580" i="150"/>
  <c r="B1581" i="150"/>
  <c r="B1582" i="150"/>
  <c r="B1583" i="150"/>
  <c r="B1584" i="150"/>
  <c r="B1585" i="150"/>
  <c r="B1586" i="150"/>
  <c r="B1587" i="150"/>
  <c r="B1588" i="150"/>
  <c r="B1589" i="150"/>
  <c r="B1590" i="150"/>
  <c r="B1591" i="150"/>
  <c r="B1592" i="150"/>
  <c r="B1593" i="150"/>
  <c r="B1594" i="150"/>
  <c r="B1595" i="150"/>
  <c r="B1596" i="150"/>
  <c r="B1597" i="150"/>
  <c r="B1598" i="150"/>
  <c r="B1599" i="150"/>
  <c r="B1600" i="150"/>
  <c r="B1601" i="150"/>
  <c r="B1602" i="150"/>
  <c r="B1603" i="150"/>
  <c r="B1604" i="150"/>
  <c r="B1605" i="150"/>
  <c r="B1606" i="150"/>
  <c r="B1607" i="150"/>
  <c r="B1608" i="150"/>
  <c r="B1609" i="150"/>
  <c r="B1610" i="150"/>
  <c r="B1611" i="150"/>
  <c r="B1612" i="150"/>
  <c r="B1613" i="150"/>
  <c r="B1614" i="150"/>
  <c r="B1615" i="150"/>
  <c r="B1616" i="150"/>
  <c r="B1617" i="150"/>
  <c r="B1618" i="150"/>
  <c r="B1619" i="150"/>
  <c r="B3" i="150"/>
  <c r="B2" i="150"/>
  <c r="E63" i="313" l="1"/>
  <c r="C12" i="181"/>
  <c r="G63" i="329"/>
  <c r="E20" i="181" s="1"/>
  <c r="D20" i="181"/>
  <c r="G63" i="333"/>
  <c r="E24" i="181" s="1"/>
  <c r="C24" i="181"/>
  <c r="C5" i="181"/>
  <c r="G63" i="314"/>
  <c r="E5" i="181" s="1"/>
  <c r="G63" i="339"/>
  <c r="E30" i="181" s="1"/>
  <c r="C30" i="181"/>
  <c r="C29" i="181"/>
  <c r="E46" i="313"/>
  <c r="H4" i="181" s="1"/>
  <c r="C28" i="181"/>
  <c r="G63" i="337"/>
  <c r="E28" i="181" s="1"/>
  <c r="C25" i="181"/>
  <c r="G63" i="334"/>
  <c r="E25" i="181" s="1"/>
  <c r="N5" i="332"/>
  <c r="G63" i="330"/>
  <c r="E21" i="181" s="1"/>
  <c r="C21" i="181"/>
  <c r="G63" i="324"/>
  <c r="E15" i="181" s="1"/>
  <c r="D15" i="181"/>
  <c r="E46" i="323"/>
  <c r="H14" i="181" s="1"/>
  <c r="D3" i="323"/>
  <c r="E63" i="316"/>
  <c r="G63" i="316" s="1"/>
  <c r="E7" i="181" s="1"/>
  <c r="E46" i="316"/>
  <c r="H7" i="181" s="1"/>
  <c r="G63" i="323"/>
  <c r="E14" i="181" s="1"/>
  <c r="C8" i="181"/>
  <c r="G63" i="317"/>
  <c r="E8" i="181" s="1"/>
  <c r="N17" i="313"/>
  <c r="O5" i="327"/>
  <c r="N15" i="316"/>
  <c r="E45" i="316"/>
  <c r="N32" i="313"/>
  <c r="O5" i="319"/>
  <c r="N5" i="319"/>
  <c r="O5" i="333"/>
  <c r="O29" i="313"/>
  <c r="O18" i="337"/>
  <c r="N18" i="337"/>
  <c r="N5" i="335"/>
  <c r="O5" i="335"/>
  <c r="O5" i="314"/>
  <c r="N5" i="314"/>
  <c r="O5" i="340"/>
  <c r="N5" i="340"/>
  <c r="O5" i="331"/>
  <c r="N5" i="331"/>
  <c r="N6" i="336"/>
  <c r="O6" i="336"/>
  <c r="O6" i="338"/>
  <c r="N6" i="338"/>
  <c r="N7" i="328"/>
  <c r="O7" i="328"/>
  <c r="O5" i="316"/>
  <c r="N5" i="316"/>
  <c r="E45" i="313"/>
  <c r="D63" i="312"/>
  <c r="B3" i="181" s="1"/>
  <c r="A2" i="313"/>
  <c r="D51" i="313" s="1"/>
  <c r="A1" i="314"/>
  <c r="G63" i="327"/>
  <c r="E18" i="181" s="1"/>
  <c r="G63" i="312"/>
  <c r="E3" i="181" s="1"/>
  <c r="N5" i="312"/>
  <c r="O5" i="312"/>
  <c r="A2" i="198"/>
  <c r="D51" i="198" s="1"/>
  <c r="N1" i="198" s="1"/>
  <c r="G63" i="313" l="1"/>
  <c r="E4" i="181" s="1"/>
  <c r="C4" i="181"/>
  <c r="H33" i="181"/>
  <c r="C7" i="181"/>
  <c r="D58" i="313"/>
  <c r="N1" i="313"/>
  <c r="I63" i="313" s="1"/>
  <c r="A2" i="314"/>
  <c r="D51" i="314" s="1"/>
  <c r="A1" i="315"/>
  <c r="D59" i="198"/>
  <c r="D58" i="314" l="1"/>
  <c r="N1" i="314"/>
  <c r="I63" i="314" s="1"/>
  <c r="A2" i="315"/>
  <c r="D51" i="315" s="1"/>
  <c r="A1" i="316"/>
  <c r="D63" i="313"/>
  <c r="B4" i="181" s="1"/>
  <c r="G4" i="181"/>
  <c r="H63" i="198"/>
  <c r="F2" i="181" s="1"/>
  <c r="D58" i="315" l="1"/>
  <c r="N1" i="315"/>
  <c r="I63" i="315" s="1"/>
  <c r="A2" i="316"/>
  <c r="D51" i="316" s="1"/>
  <c r="A1" i="317"/>
  <c r="D63" i="314"/>
  <c r="B5" i="181" s="1"/>
  <c r="G5" i="181"/>
  <c r="D58" i="198"/>
  <c r="E63" i="198"/>
  <c r="C2" i="181" s="1"/>
  <c r="F63" i="198"/>
  <c r="D2" i="181" s="1"/>
  <c r="O5" i="198"/>
  <c r="D58" i="316" l="1"/>
  <c r="N1" i="316"/>
  <c r="I63" i="316" s="1"/>
  <c r="G6" i="181"/>
  <c r="D63" i="315"/>
  <c r="B6" i="181" s="1"/>
  <c r="A2" i="317"/>
  <c r="D51" i="317" s="1"/>
  <c r="A1" i="318"/>
  <c r="I63" i="198"/>
  <c r="G63" i="198"/>
  <c r="E2" i="181" s="1"/>
  <c r="D58" i="317" l="1"/>
  <c r="N1" i="317"/>
  <c r="I63" i="317" s="1"/>
  <c r="A2" i="318"/>
  <c r="D51" i="318" s="1"/>
  <c r="A1" i="319"/>
  <c r="G7" i="181"/>
  <c r="D63" i="316"/>
  <c r="B7" i="181" s="1"/>
  <c r="D63" i="198"/>
  <c r="B2" i="181" s="1"/>
  <c r="G2" i="181"/>
  <c r="F33" i="181"/>
  <c r="A2" i="319" l="1"/>
  <c r="D51" i="319" s="1"/>
  <c r="A1" i="320"/>
  <c r="D58" i="318"/>
  <c r="N1" i="318"/>
  <c r="I63" i="318" s="1"/>
  <c r="G8" i="181"/>
  <c r="D63" i="317"/>
  <c r="B8" i="181" s="1"/>
  <c r="D33" i="181"/>
  <c r="G9" i="181" l="1"/>
  <c r="D63" i="318"/>
  <c r="B9" i="181" s="1"/>
  <c r="A1" i="321"/>
  <c r="A2" i="320"/>
  <c r="D51" i="320" s="1"/>
  <c r="D58" i="319"/>
  <c r="N1" i="319"/>
  <c r="I63" i="319" s="1"/>
  <c r="C33" i="181"/>
  <c r="D58" i="320" l="1"/>
  <c r="N1" i="320"/>
  <c r="I63" i="320" s="1"/>
  <c r="A2" i="321"/>
  <c r="D51" i="321" s="1"/>
  <c r="A1" i="322"/>
  <c r="G10" i="181"/>
  <c r="D63" i="319"/>
  <c r="B10" i="181" s="1"/>
  <c r="E33" i="181"/>
  <c r="D58" i="321" l="1"/>
  <c r="N1" i="321"/>
  <c r="I63" i="321" s="1"/>
  <c r="D63" i="320"/>
  <c r="B11" i="181" s="1"/>
  <c r="G11" i="181"/>
  <c r="A2" i="322"/>
  <c r="D51" i="322" s="1"/>
  <c r="A1" i="323"/>
  <c r="A1" i="324" l="1"/>
  <c r="A2" i="323"/>
  <c r="D51" i="323" s="1"/>
  <c r="G12" i="181"/>
  <c r="D63" i="321"/>
  <c r="B12" i="181" s="1"/>
  <c r="D58" i="322"/>
  <c r="N1" i="322"/>
  <c r="I63" i="322" s="1"/>
  <c r="B1488" i="150"/>
  <c r="B1470" i="150"/>
  <c r="B1513" i="150"/>
  <c r="D58" i="323" l="1"/>
  <c r="N1" i="323"/>
  <c r="I63" i="323" s="1"/>
  <c r="D63" i="322"/>
  <c r="B13" i="181" s="1"/>
  <c r="G13" i="181"/>
  <c r="A2" i="324"/>
  <c r="D51" i="324" s="1"/>
  <c r="A1" i="325"/>
  <c r="A1" i="326" l="1"/>
  <c r="A2" i="325"/>
  <c r="D51" i="325" s="1"/>
  <c r="D63" i="323"/>
  <c r="B14" i="181" s="1"/>
  <c r="G14" i="181"/>
  <c r="D58" i="324"/>
  <c r="N1" i="324"/>
  <c r="I63" i="324" s="1"/>
  <c r="D63" i="324" l="1"/>
  <c r="B15" i="181" s="1"/>
  <c r="G15" i="181"/>
  <c r="D58" i="325"/>
  <c r="N1" i="325"/>
  <c r="I63" i="325" s="1"/>
  <c r="A1" i="327"/>
  <c r="A2" i="326"/>
  <c r="D51" i="326" s="1"/>
  <c r="D58" i="326" l="1"/>
  <c r="N1" i="326"/>
  <c r="I63" i="326" s="1"/>
  <c r="G16" i="181"/>
  <c r="D63" i="325"/>
  <c r="B16" i="181" s="1"/>
  <c r="A1" i="328"/>
  <c r="A2" i="327"/>
  <c r="D51" i="327" s="1"/>
  <c r="D58" i="327" l="1"/>
  <c r="N1" i="327"/>
  <c r="I63" i="327" s="1"/>
  <c r="G17" i="181"/>
  <c r="D63" i="326"/>
  <c r="B17" i="181" s="1"/>
  <c r="A1" i="329"/>
  <c r="A2" i="328"/>
  <c r="D51" i="328" s="1"/>
  <c r="N1" i="328" l="1"/>
  <c r="I63" i="328" s="1"/>
  <c r="D58" i="328"/>
  <c r="G18" i="181"/>
  <c r="D63" i="327"/>
  <c r="B18" i="181" s="1"/>
  <c r="A1" i="330"/>
  <c r="A2" i="329"/>
  <c r="D51" i="329" s="1"/>
  <c r="D58" i="329" l="1"/>
  <c r="N1" i="329"/>
  <c r="I63" i="329" s="1"/>
  <c r="A1" i="331"/>
  <c r="A2" i="330"/>
  <c r="D51" i="330" s="1"/>
  <c r="D63" i="328"/>
  <c r="B19" i="181" s="1"/>
  <c r="G19" i="181"/>
  <c r="A2" i="331" l="1"/>
  <c r="D51" i="331" s="1"/>
  <c r="A1" i="332"/>
  <c r="D58" i="330"/>
  <c r="N1" i="330"/>
  <c r="I63" i="330" s="1"/>
  <c r="D63" i="329"/>
  <c r="B20" i="181" s="1"/>
  <c r="G20" i="181"/>
  <c r="G21" i="181" l="1"/>
  <c r="D63" i="330"/>
  <c r="B21" i="181" s="1"/>
  <c r="A2" i="332"/>
  <c r="D51" i="332" s="1"/>
  <c r="A1" i="333"/>
  <c r="D58" i="331"/>
  <c r="N1" i="331"/>
  <c r="I63" i="331" s="1"/>
  <c r="D58" i="332" l="1"/>
  <c r="N1" i="332"/>
  <c r="I63" i="332" s="1"/>
  <c r="A2" i="333"/>
  <c r="D51" i="333" s="1"/>
  <c r="A1" i="334"/>
  <c r="G22" i="181"/>
  <c r="D63" i="331"/>
  <c r="B22" i="181" s="1"/>
  <c r="D58" i="333" l="1"/>
  <c r="N1" i="333"/>
  <c r="I63" i="333" s="1"/>
  <c r="G23" i="181"/>
  <c r="D63" i="332"/>
  <c r="B23" i="181" s="1"/>
  <c r="A2" i="334"/>
  <c r="D51" i="334" s="1"/>
  <c r="A1" i="335"/>
  <c r="A2" i="335" l="1"/>
  <c r="D51" i="335" s="1"/>
  <c r="A1" i="336"/>
  <c r="D63" i="333"/>
  <c r="B24" i="181" s="1"/>
  <c r="G24" i="181"/>
  <c r="D58" i="334"/>
  <c r="N1" i="334"/>
  <c r="I63" i="334" s="1"/>
  <c r="G25" i="181" l="1"/>
  <c r="D63" i="334"/>
  <c r="B25" i="181" s="1"/>
  <c r="A2" i="336"/>
  <c r="D51" i="336" s="1"/>
  <c r="A1" i="337"/>
  <c r="D58" i="335"/>
  <c r="N1" i="335"/>
  <c r="I63" i="335" s="1"/>
  <c r="D58" i="336" l="1"/>
  <c r="N1" i="336"/>
  <c r="I63" i="336" s="1"/>
  <c r="A2" i="337"/>
  <c r="D51" i="337" s="1"/>
  <c r="A1" i="338"/>
  <c r="G26" i="181"/>
  <c r="D63" i="335"/>
  <c r="B26" i="181" s="1"/>
  <c r="D58" i="337" l="1"/>
  <c r="N1" i="337"/>
  <c r="I63" i="337" s="1"/>
  <c r="A2" i="338"/>
  <c r="D51" i="338" s="1"/>
  <c r="A1" i="339"/>
  <c r="G27" i="181"/>
  <c r="D63" i="336"/>
  <c r="B27" i="181" s="1"/>
  <c r="D58" i="338" l="1"/>
  <c r="N1" i="338"/>
  <c r="I63" i="338" s="1"/>
  <c r="G28" i="181"/>
  <c r="D63" i="337"/>
  <c r="B28" i="181" s="1"/>
  <c r="A2" i="339"/>
  <c r="D51" i="339" s="1"/>
  <c r="A1" i="340"/>
  <c r="A2" i="340" l="1"/>
  <c r="D51" i="340" s="1"/>
  <c r="A1" i="341"/>
  <c r="A2" i="341" s="1"/>
  <c r="D51" i="341" s="1"/>
  <c r="D63" i="338"/>
  <c r="B29" i="181" s="1"/>
  <c r="G29" i="181"/>
  <c r="D58" i="339"/>
  <c r="N1" i="339"/>
  <c r="I63" i="339" s="1"/>
  <c r="G30" i="181" l="1"/>
  <c r="D63" i="339"/>
  <c r="B30" i="181" s="1"/>
  <c r="D58" i="341"/>
  <c r="N1" i="341"/>
  <c r="I63" i="341" s="1"/>
  <c r="D58" i="340"/>
  <c r="N1" i="340"/>
  <c r="I63" i="340" s="1"/>
  <c r="D63" i="341" l="1"/>
  <c r="B32" i="181" s="1"/>
  <c r="G32" i="181"/>
  <c r="G31" i="181"/>
  <c r="D63" i="340"/>
  <c r="B31" i="181" s="1"/>
  <c r="G33" i="181" l="1"/>
  <c r="B33" i="1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5D3707AE-929A-49FC-8D40-7C1500AF5C69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2541A8B2-B82B-4702-9B9C-F0BFF659376C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02BBD03A-50B0-4EF7-A4D0-B55A90D711EF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CBC44EEF-5730-46EF-8965-27D699024BDB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64B5229C-0261-4CE4-B699-56E7155C7AC2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9E2E924A-3E53-4282-9641-3A23E61D5AF7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D146D0D2-F9EA-4038-AE5A-1C9FBCE2FA9E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381CD809-57CB-452E-A9AC-F9E03CD1360D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613389C1-5C56-417F-8292-C2DAEAEB57E9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A34F8932-A35F-4802-968F-095BB51FB02F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2362BF39-70A4-4A5D-B5D6-A9A7AAC16134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6ABF5386-E97C-45A9-83B5-72AA1AAD83B0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D37AF41D-C389-4BCA-81C9-8BD60D1E2560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EC4BED77-D3DE-4BE3-A7BE-AB97068461A4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6A9479A4-43A8-4578-B273-D5DCDBA10993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C0EACDA0-9E89-4269-B08E-6E22279DA97B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3ED42FA0-106C-43E5-81B6-A697BF18271E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DAB888BA-5FAD-44B0-BBA6-98476BCA95AE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4CE9158B-7B59-418D-A066-77A70FFD1BFC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14C0D0EE-F9F2-404C-AE66-B3C5F94D26C2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64D323AF-60EE-4D63-8C2D-FAD8DF7CC25D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46070DC6-968E-4F51-91A9-FE3F224C33E5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8306DBAE-0BE1-4730-9939-C2D647DEEFE9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4B89D721-C9C8-4666-A9B4-9E415FAE529C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D68506D7-30E9-466C-9AD0-033F0C7DBE12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EAAD2A1C-E1CD-4EE8-BA7F-A43601DC19DD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2D8D44B4-C777-4C01-9956-3A52C5215144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249B30A4-70C9-449B-AD18-5650F420EDCB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3D14AE47-AA13-40EA-8E00-E8E8B9D4BE84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5FC696BB-B7DF-47AD-AE69-2E3A0C4D02CB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Harun AKAN (Aygersan A.Ş)</author>
  </authors>
  <commentList>
    <comment ref="C57" authorId="0" shapeId="0" xr:uid="{15799EB6-DDA1-4EF6-AE14-8A6EC56E990E}">
      <text>
        <r>
          <rPr>
            <b/>
            <sz val="9"/>
            <color indexed="81"/>
            <rFont val="Tahoma"/>
            <family val="2"/>
            <charset val="162"/>
          </rPr>
          <t>Verime Dahil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<sst xmlns="http://schemas.openxmlformats.org/spreadsheetml/2006/main" count="9999" uniqueCount="5714">
  <si>
    <t>Ürün Kodu</t>
  </si>
  <si>
    <t>Ampul Tutucu,Unıstop-2</t>
  </si>
  <si>
    <t>Ampul Tutucu,V227-MCA</t>
  </si>
  <si>
    <t>Ampul Tutucu,Sağ,L38</t>
  </si>
  <si>
    <t>Ampul Tutucu,Sol,L38</t>
  </si>
  <si>
    <t xml:space="preserve"> </t>
  </si>
  <si>
    <t>Açıklama</t>
  </si>
  <si>
    <t>Eleman Sayısı :</t>
  </si>
  <si>
    <t>Tedarikçi kaynaklı kayıp :</t>
  </si>
  <si>
    <t>İş Tekrarı :</t>
  </si>
  <si>
    <t>Deneme :</t>
  </si>
  <si>
    <t>Tplm K. Kapasite :</t>
  </si>
  <si>
    <t>Gerçek Kapasite :</t>
  </si>
  <si>
    <t>Std. Süre Dk</t>
  </si>
  <si>
    <t>Ürün Tanımı</t>
  </si>
  <si>
    <t>Eğitim / İdari :</t>
  </si>
  <si>
    <t>Plastik Dis Gövde,90x155</t>
  </si>
  <si>
    <t>Lens,Sag,Naturel,Toros Sinyal</t>
  </si>
  <si>
    <t>Lens, Sağ, Naturel+Turuncu, Toros</t>
  </si>
  <si>
    <t>Lens,Sol,Naturel,Toros Sinyal</t>
  </si>
  <si>
    <t>Lens, Sol, Naturel+Turuncu,Toros</t>
  </si>
  <si>
    <t>Plastik V227 MCA</t>
  </si>
  <si>
    <t>Ampul Tutucu,V227</t>
  </si>
  <si>
    <t>Ampul Tutucu,L65,Sag,F-3</t>
  </si>
  <si>
    <t>Ampul Tutucu,L65,Sol,F-3</t>
  </si>
  <si>
    <t>Ampul Tutucu,130L,Sağ</t>
  </si>
  <si>
    <t>Ampul Tutucu,130L,Sol</t>
  </si>
  <si>
    <t>Ampul Tutucu,130L,Sağ,İng.</t>
  </si>
  <si>
    <t>Ampul Tutucu,130L,Sol,İng.</t>
  </si>
  <si>
    <t>Ampul Tutucu,B/C85,Sol</t>
  </si>
  <si>
    <t>Plastik Dis Tas,T.88,Sag</t>
  </si>
  <si>
    <t>Plastik Dis Tas,T.88,Sol</t>
  </si>
  <si>
    <t>Plastik Dis Tas,T.93,Sağ</t>
  </si>
  <si>
    <t>Plastik Dis Tas,T.93,Sol</t>
  </si>
  <si>
    <t>Eski-Plastik Dis Tas,T.93,Sağ</t>
  </si>
  <si>
    <t>Eski-Plastik Dis Tas,T.93,Sol</t>
  </si>
  <si>
    <t>Plastik Dis Tas,R.9,Sag</t>
  </si>
  <si>
    <t>Plastik Dis Tas,R.9,Sol</t>
  </si>
  <si>
    <t>Plastik Dis Tas,R.11,Sag</t>
  </si>
  <si>
    <t>Plastik Dis Tas,R.11,Sol</t>
  </si>
  <si>
    <t>Ara Çerceve,T.88,Sag</t>
  </si>
  <si>
    <t>Ara Çerceve,T.88,Sol</t>
  </si>
  <si>
    <t>Ara Çerceve,T.93,Sag</t>
  </si>
  <si>
    <t>Ara Çerceve,T.93,Sol</t>
  </si>
  <si>
    <t>Çerceve,Baglanti,Sag,Desensiz</t>
  </si>
  <si>
    <t>Çerceve,Baglanti,Sol,Desensiz</t>
  </si>
  <si>
    <t>Çerceve,Baglanti,Sag</t>
  </si>
  <si>
    <t>Çerceve,Baglanti,Sol</t>
  </si>
  <si>
    <t>Çerceve,Baglanti,Sag,Desenli</t>
  </si>
  <si>
    <t>Çerceve,Baglanti,Sol,Desenli</t>
  </si>
  <si>
    <t>Çerceve,Baglanti,Sag,Otom.Des.</t>
  </si>
  <si>
    <t>Çerceve,Baglanti,Sol,Otom.Des</t>
  </si>
  <si>
    <t>Ampul tutucu, 270A, Sağ</t>
  </si>
  <si>
    <t>Ampul tutucu, 270A, Sol</t>
  </si>
  <si>
    <t>Ampul Tutucu,Sol,X204</t>
  </si>
  <si>
    <t>Ampul Tutucu,Sağ,X-61</t>
  </si>
  <si>
    <t>Ampul Tutucu,Sol,X-61</t>
  </si>
  <si>
    <t>Ampul Tutucu,X-61,PH2</t>
  </si>
  <si>
    <t>Ampul Tutucu,Sağ,W204</t>
  </si>
  <si>
    <t>Ampul Tutucu,Sol,W204</t>
  </si>
  <si>
    <t>Ampul Tutucu,F 34 SWL,Sağ</t>
  </si>
  <si>
    <t>Ampul Tutucu,F 34 SWL,Sol</t>
  </si>
  <si>
    <t>Ampul tutucu, W205, Sağ, Avrupa</t>
  </si>
  <si>
    <t>Ampul tutucu, W205, sol, Avrupa</t>
  </si>
  <si>
    <t>Ampul tutucu, W205, sağ, İngiltere</t>
  </si>
  <si>
    <t>Ampul tutucu, W205, sol, İngiltere</t>
  </si>
  <si>
    <t>Ampul tutucu, W205, sol, Amerika</t>
  </si>
  <si>
    <t>Ampul Tutucu , Sağ, W23 PH2</t>
  </si>
  <si>
    <t>Ampul Tutucu , Sol , W23 PH2</t>
  </si>
  <si>
    <t>Ampul Tutucu, Sağ, W246</t>
  </si>
  <si>
    <t>Ampul Tutucu, Sol, W246</t>
  </si>
  <si>
    <t>Lens Sol,R.9 Ön Sinyal Faz-3</t>
  </si>
  <si>
    <t>Lens Sol,Kırmızı,R.9,Faz-2</t>
  </si>
  <si>
    <t>Lens Sol,Füme,R.9,Faz-2</t>
  </si>
  <si>
    <t>Gövde Sol,R.9 ASK</t>
  </si>
  <si>
    <t>Lens Sol,Kırmızı,R.9 ASK</t>
  </si>
  <si>
    <t>Lens Sol,Turuncu+Geri Vites,R.9 ASK</t>
  </si>
  <si>
    <t>Lens Sağ,Geri Vites,R.9 ASK</t>
  </si>
  <si>
    <t>Lens Sol,Geri Vites,R.9 ASK</t>
  </si>
  <si>
    <t>Gövde Sağ,R.11 Ön Sinyal</t>
  </si>
  <si>
    <t>Gövde Sol,R.11 Ön Sinyal</t>
  </si>
  <si>
    <t>Gövde Sağ,R.11 ASK</t>
  </si>
  <si>
    <t>Gövde Sol,R.11 ASK</t>
  </si>
  <si>
    <t>Lens Sağ, Turuncu, R11 ASK</t>
  </si>
  <si>
    <t>Lens Sol, Turuncu, R11 ASK</t>
  </si>
  <si>
    <t>Lens Sağ,Turuncu+Füme,R.11 ASK</t>
  </si>
  <si>
    <t>Lens Sol,Turuncu+Füme,R.11 ASK</t>
  </si>
  <si>
    <t>Lens Sağ,Dış,R.19 Ön Sinyal</t>
  </si>
  <si>
    <t>Lens Sol,Dış,R.19 Ön Sinyal</t>
  </si>
  <si>
    <t>Lens Sağ,Füme+Kırmızı,Tempra ASK</t>
  </si>
  <si>
    <t>Lens Sol,Füme+Kırmızı,Tempra ASK</t>
  </si>
  <si>
    <t>Lens Sağ,Füme,Tempra ASK</t>
  </si>
  <si>
    <t>Lens Sol,Füme,Tempra ASK</t>
  </si>
  <si>
    <t>Gövde Sağ,Tempra ASK</t>
  </si>
  <si>
    <t>Gövde Sol,Tempra ASK</t>
  </si>
  <si>
    <t>Reflektör Sağ,Tempra ASK</t>
  </si>
  <si>
    <t>Reflektör Sol,Tempra ASK</t>
  </si>
  <si>
    <t>Bağlantı Plastiği,Beyaz,FT-15</t>
  </si>
  <si>
    <t>Kilitleme mandalı, W205</t>
  </si>
  <si>
    <t>Plastik Gövde,R.19 Sağ,Komple</t>
  </si>
  <si>
    <t>Plastik Gövde,R.19 Sol,Komple</t>
  </si>
  <si>
    <t>Plastik Çerçeve,R.19 Sağ</t>
  </si>
  <si>
    <t>Plastik Çerçeve,R.19 Sol</t>
  </si>
  <si>
    <t>Plastik Gövde,Sol,Komple,MBT 0403</t>
  </si>
  <si>
    <t>Ara Çerçeve,Sağ,MBT 0403</t>
  </si>
  <si>
    <t>Ara Çerçeve,Sol,MBT 0403</t>
  </si>
  <si>
    <t>Plastik Gövde,Toco-1,Sağ</t>
  </si>
  <si>
    <t>Sinyal Reflektör,Plastik,Sağ,Toco-4</t>
  </si>
  <si>
    <t>Sinyal Reflektör,Plastik,Sol,Toco-4</t>
  </si>
  <si>
    <t>UNISTOP1,Gövde Komple</t>
  </si>
  <si>
    <t>Unistop 1 Gövde Komple Plakalı</t>
  </si>
  <si>
    <t>Lens Komple,Kırmızı,UNISTOP1</t>
  </si>
  <si>
    <t>Lens,Turuncu,UNISTOP1</t>
  </si>
  <si>
    <t>Lens,Geri Vites,UNISTOP1</t>
  </si>
  <si>
    <t>Lens,İç,UNISTOP1</t>
  </si>
  <si>
    <t>UNISTOP1,Gövde Komple,Temsa</t>
  </si>
  <si>
    <t>Gövde,Sağ,Komple,Clio,ASK</t>
  </si>
  <si>
    <t>Gövde,Sol,Komple,Clio,ASK</t>
  </si>
  <si>
    <t>Gövde,Sağ,Tempra,Ön Sinyal</t>
  </si>
  <si>
    <t>Gövde,Sol,Tempra,Ön Sinyal</t>
  </si>
  <si>
    <t>Evobus Gövde büyük S300</t>
  </si>
  <si>
    <t>Turuncu lens Evobus Midibus</t>
  </si>
  <si>
    <t>Kırmızı lens Evobus/Midibus</t>
  </si>
  <si>
    <t>Şeffaf lens Evobus/Midibus</t>
  </si>
  <si>
    <t>Kırmızı lens BL / SL Midibus</t>
  </si>
  <si>
    <t>Kırmızı lens NSL Midibus</t>
  </si>
  <si>
    <t>Evobus/Midibus Gövde</t>
  </si>
  <si>
    <t>Evobus Reflektör</t>
  </si>
  <si>
    <t>Maske,Sağ,Ford Otosan Ask</t>
  </si>
  <si>
    <t>Maske,Sol,Ford Otosan Ask</t>
  </si>
  <si>
    <t>Gövde,Sağ,Komple,Ford Otosan Ask</t>
  </si>
  <si>
    <t>Gövde,Sol,Komple,Ford Otosan Ask</t>
  </si>
  <si>
    <t>Gövde,Sağ,Komple,V227 Ask NA</t>
  </si>
  <si>
    <t>Gövde,Sol,Komple,V227 Ask NA</t>
  </si>
  <si>
    <t>Komple lens</t>
  </si>
  <si>
    <t>Şeffaf lens insert</t>
  </si>
  <si>
    <t>Turuncu lens FRA HL DC T1</t>
  </si>
  <si>
    <t>Şeffaf Lens RFS HL DC T1</t>
  </si>
  <si>
    <t>gövde HL 367 MB T1</t>
  </si>
  <si>
    <t>Ampul tutucu gövde</t>
  </si>
  <si>
    <t>Duy</t>
  </si>
  <si>
    <t>LENS ÇERÇEVE SL / BL / NSL</t>
  </si>
  <si>
    <t>Kırmızı Çerçeve Lens SL/BL/NSL</t>
  </si>
  <si>
    <t>Turuncu Lens FRA MB UNIMOG</t>
  </si>
  <si>
    <t>Ampul tutucu</t>
  </si>
  <si>
    <t>Lens NSL 3300</t>
  </si>
  <si>
    <t>Kırmızı Dış lens SL NL NSL</t>
  </si>
  <si>
    <t>Lens Dış Çerçeve SL BL HL</t>
  </si>
  <si>
    <t>Kapak</t>
  </si>
  <si>
    <t>Lens Çerçeve</t>
  </si>
  <si>
    <t>Gövde Ünimog Sol</t>
  </si>
  <si>
    <t>Gövde ünimog Sağ FRA</t>
  </si>
  <si>
    <t>REFLEKTÖR HC377</t>
  </si>
  <si>
    <t>Yan Çıta Sağ</t>
  </si>
  <si>
    <t>Yan Çıta Sol HL MCO</t>
  </si>
  <si>
    <t>Blende Sol Siyah HL</t>
  </si>
  <si>
    <t>423 Reflektör Sol</t>
  </si>
  <si>
    <t>Spoiler Reflektör 253222</t>
  </si>
  <si>
    <t>Gövde HL 380</t>
  </si>
  <si>
    <t>LENS,NATUREL,Ø 125 DAİRESEL</t>
  </si>
  <si>
    <t>LENS,TURUNCU,Ø 125 DAİRESEL</t>
  </si>
  <si>
    <t>REFLEKTÖR,KOMPLE,GERİVİTES-SİNYAL,Ø125</t>
  </si>
  <si>
    <t>LENS, KIRMIZI Ø125 DAİRESEL</t>
  </si>
  <si>
    <t>LENS,KIRMIZI,REFLEKS</t>
  </si>
  <si>
    <t>REFLEKTÖR,KOMPLE,SİS,Ø 125,DAİRESEL</t>
  </si>
  <si>
    <t>REFLEKTÖR,KOMPLE,FREN-POZİSYON,Ø125</t>
  </si>
  <si>
    <t>REFLEKTÖR,KOMPLE,SİNYAL,PY21W,Ø125</t>
  </si>
  <si>
    <t>253 Reflektör Sol</t>
  </si>
  <si>
    <t>253 reflektör sağ</t>
  </si>
  <si>
    <t>423 reflektör Sag</t>
  </si>
  <si>
    <t>üst gövde bihalojen</t>
  </si>
  <si>
    <t>refleks 380</t>
  </si>
  <si>
    <t>Gövde R HL 377</t>
  </si>
  <si>
    <t>292 Reflektör Sol</t>
  </si>
  <si>
    <t>Gövde HL 377 + KZL Sol</t>
  </si>
  <si>
    <t>Lens Ø58 Refleks delikli</t>
  </si>
  <si>
    <t>Gövde Ön Sol,Side Marker,Ford</t>
  </si>
  <si>
    <t>Gövde Arka Sol,Side Marker,Ford</t>
  </si>
  <si>
    <t>Lens Ön Sağ,Side Marker,Turuncu,Ford</t>
  </si>
  <si>
    <t>Lens Ön Sol,Side Marker,Turuncu,Ford</t>
  </si>
  <si>
    <t>Lens Arka Sol,Side Marker,Kırmızı,Ford</t>
  </si>
  <si>
    <t>90x155 malzeme torbalama,7860-66-76</t>
  </si>
  <si>
    <t>T.93 Fren Lambası Malzeme Torbalama</t>
  </si>
  <si>
    <t>175x210 Bağlantı Grubu MlzTorbalama</t>
  </si>
  <si>
    <t>80x160 malzeme torbalama</t>
  </si>
  <si>
    <t>Traktör 100x155 Malzeme torbalama</t>
  </si>
  <si>
    <t>Traktör 100x155 Malzeme torbalama Y</t>
  </si>
  <si>
    <t>Malzeme torbalama 1040-1510</t>
  </si>
  <si>
    <t>Malzeme Torbalama 3570 / 100*165 yeni uzel</t>
  </si>
  <si>
    <t>Malzeme Torbalama 3520/3530</t>
  </si>
  <si>
    <t>Ampul Tutucu,Komple,V227</t>
  </si>
  <si>
    <t>Ampul Tutucu,B/C 85,Sol</t>
  </si>
  <si>
    <t>Ampul Tutucu,130L,Sağ,İngiltere</t>
  </si>
  <si>
    <t>Ampul Tutucu,130L,Sol,İngiltere</t>
  </si>
  <si>
    <t>Ampul Tutucu,Toyota 374L,Sol</t>
  </si>
  <si>
    <t>Ampul Tutucu,Sağ,595L/270A</t>
  </si>
  <si>
    <t>Ampul Tutucu,Sol,595L/270A</t>
  </si>
  <si>
    <t>Ampul Tutucu,Sol, X204</t>
  </si>
  <si>
    <t>Ampul Tutucu,Sağ,W204,Odelo</t>
  </si>
  <si>
    <t>Ampul Tutucu,Sol,W204,Odelo</t>
  </si>
  <si>
    <t>Ampul Tutucu, W205, Sağ, Avrupa</t>
  </si>
  <si>
    <t>Ampul Tutucu, W205, Sol, Avrupa</t>
  </si>
  <si>
    <t>Ampul Tutucu, W205, Sağ, İngiltere</t>
  </si>
  <si>
    <t>Ampul Tutucu, W205, Sol, İngiltere</t>
  </si>
  <si>
    <t>Ampul Tutucu, W205, Sağ, Amerika</t>
  </si>
  <si>
    <t>Ampul Tutucu, W205, Sol, Amerika</t>
  </si>
  <si>
    <t>Ampul Tutucu, W23 PH2, Sağ</t>
  </si>
  <si>
    <t>Ampul Tutucu, W23 PH2, Sol</t>
  </si>
  <si>
    <t>Dış Bölüm/Görev :</t>
  </si>
  <si>
    <t>Duruş (Arıza, Mlz.Bekl,Set-up…) :</t>
  </si>
  <si>
    <t>Ürün Performansı</t>
  </si>
  <si>
    <t>ANA SAYFA</t>
  </si>
  <si>
    <t>Ampul Tutucu,L65,Sag,F-2</t>
  </si>
  <si>
    <t>Ampul Tutucu,L65,Sol,F-2</t>
  </si>
  <si>
    <t>Ayar Butonu,MBT</t>
  </si>
  <si>
    <t>Plastik Gövde,Sağ,Komple,MBT 0403</t>
  </si>
  <si>
    <t>Plastik Gövde,F.Transit-15 Sağ,Komp</t>
  </si>
  <si>
    <t>Plastik Gövde,F.Transit-15 Sol,Komp</t>
  </si>
  <si>
    <t>Evobus büyük turuncu lens sağ</t>
  </si>
  <si>
    <t>Evobus büyük turuncu lens sol</t>
  </si>
  <si>
    <t>Evobus büyük kırmızı lens sağ</t>
  </si>
  <si>
    <t>Evobus büyük kırmızı lens sol</t>
  </si>
  <si>
    <t>Evobus kırmızı lens iç parça sağ</t>
  </si>
  <si>
    <t>Evobus kırmızı lens iç parça sol</t>
  </si>
  <si>
    <t>Evobus kırmızı+kırmızı lens sağ</t>
  </si>
  <si>
    <t>Evobus kırmızı+kırmızı lens sol</t>
  </si>
  <si>
    <t>Evobus kırmızı+Şeffaf lens sağ</t>
  </si>
  <si>
    <t>Evobus kırmızı+şeffaf lens sol</t>
  </si>
  <si>
    <t>Şeffaf Lens Midibus</t>
  </si>
  <si>
    <t>Gövde,Sağ,Toco-4 Ask</t>
  </si>
  <si>
    <t>Gövde,Sol,Komple,Toco-4 Ask</t>
  </si>
  <si>
    <t>Reflektör,Sis,Sol,Toco-4 Ask</t>
  </si>
  <si>
    <t>ŞEFFAF LENS RFS HL 377</t>
  </si>
  <si>
    <t>TURUNCU LENS FRA HL 377</t>
  </si>
  <si>
    <t>Reflektör,Geri Vites,130L Ask</t>
  </si>
  <si>
    <t>Reflektör,Sis,130L Ask</t>
  </si>
  <si>
    <t>Gövde,Sağ,130L Ask</t>
  </si>
  <si>
    <t>Gövde,Sol,130L Ask</t>
  </si>
  <si>
    <t>Lens İç,Geri Vites,130L Ask</t>
  </si>
  <si>
    <t>Lens İç,Sis,130L Ask</t>
  </si>
  <si>
    <t>Lens,Reflex,Sağ,130L Ask</t>
  </si>
  <si>
    <t>Lens,Reflex,Sol,130L Ask</t>
  </si>
  <si>
    <t>Lens İç,Geri Vites,Sağ,913N Ask</t>
  </si>
  <si>
    <t>Lens İç,Geri Vites,Sol,913N Ask</t>
  </si>
  <si>
    <t>Lens İç,Sinyal,Sağ,913N Ask</t>
  </si>
  <si>
    <t>Lens İç,Sinyal,Sol,913N Ask</t>
  </si>
  <si>
    <t>Lens İç,Geri Vites,Sağ,914N Ask</t>
  </si>
  <si>
    <t>Lens İç,Sinyal,914N Ask</t>
  </si>
  <si>
    <t>Lens İç,Sis,Sol,914N Ask</t>
  </si>
  <si>
    <t>Lens Refleks,Sağ,914N Ask</t>
  </si>
  <si>
    <t>Lens Refleks,Sol,914N Ask</t>
  </si>
  <si>
    <t>Gövde Sağ,913N Ask</t>
  </si>
  <si>
    <t>Gövde Sol,913N Ask</t>
  </si>
  <si>
    <t>Gövde,Sağ,Sol Dir.914N Ask</t>
  </si>
  <si>
    <t>Gövde,Sol,Sol Dir.914N Ask</t>
  </si>
  <si>
    <t>Refl.Büyük,Sağ,Kaplı,913N Ask</t>
  </si>
  <si>
    <t>Refl.Büyük,Sol,Kaplı,913N Ask</t>
  </si>
  <si>
    <t>Refl.Büyük,Sağ,914N Ask</t>
  </si>
  <si>
    <t>Refl.Büyük,Sol,914N Ask</t>
  </si>
  <si>
    <t>Reflektör Sis,Sağ,914N Ask</t>
  </si>
  <si>
    <t>Reflektör Sis,Sol,914N Ask</t>
  </si>
  <si>
    <t>Gövde NSL 3300</t>
  </si>
  <si>
    <t>Kırmızı spoiler lens</t>
  </si>
  <si>
    <t>ABDECKUNG</t>
  </si>
  <si>
    <t>Reflektör Swl Sol</t>
  </si>
  <si>
    <t>Reflektör Swl Sağ</t>
  </si>
  <si>
    <t>Spoiler gövdesi AU MCC</t>
  </si>
  <si>
    <t>423  reflektör Sağ</t>
  </si>
  <si>
    <t>refleks 378</t>
  </si>
  <si>
    <t>Şeffaf lens W210M SWL Sol</t>
  </si>
  <si>
    <t>Şeffaf lens W210M SWL Sağ</t>
  </si>
  <si>
    <t>Bağlantı elemanı W210M SWL</t>
  </si>
  <si>
    <t>Reflektör W211 Elegant Sol</t>
  </si>
  <si>
    <t>Reflektör W211 Avangart Sol</t>
  </si>
  <si>
    <t>Reflektör W211 Avangart Sağ</t>
  </si>
  <si>
    <t>Led reflektör W211 Sol</t>
  </si>
  <si>
    <t>Led reflektör W211 Sağ</t>
  </si>
  <si>
    <t>Reflektör W211M Elegant Sol</t>
  </si>
  <si>
    <t>Reflektör W211M Avangart Sol</t>
  </si>
  <si>
    <t>Lens Arka Sağ,Side Marker,Kırmızı,Ford</t>
  </si>
  <si>
    <t>Gövde,Sağ,Komple,V227TR.FACELIFT</t>
  </si>
  <si>
    <t>Gövde,Sol,Komple,V227TR.FACELIFT</t>
  </si>
  <si>
    <t>Petek,Sağ,V227 ASK,FACELIFT</t>
  </si>
  <si>
    <t>Petek,Sol,V227 ASK,FACELIFT</t>
  </si>
  <si>
    <t>İç lens,sağ,V227,FACELIFT</t>
  </si>
  <si>
    <t>İç lens,sol,V227,FACELIFT</t>
  </si>
  <si>
    <t>İç lens,stop,sağ B32 çamurluk</t>
  </si>
  <si>
    <t>İç lens,stop,sol B32 çamurluk</t>
  </si>
  <si>
    <t>İç Lens,Sinyal,Sol B32 çamurluk</t>
  </si>
  <si>
    <t>İç lens,sis,sağ B32 Bagaj</t>
  </si>
  <si>
    <t>İç lens,sis,sol B32 Bagaj</t>
  </si>
  <si>
    <t>İç Lens,Geri Vites,Sağ B32 Bagaj</t>
  </si>
  <si>
    <t>Yan Çıta,Sağ,B32 ASK</t>
  </si>
  <si>
    <t>Yan Çıta,Sol,B32 ASK</t>
  </si>
  <si>
    <t>Ara Çerceve,Iveco,Sag</t>
  </si>
  <si>
    <t>Ara Çerceve,Iveco,Sol</t>
  </si>
  <si>
    <t>Ara Çerceve,R.9,Sag</t>
  </si>
  <si>
    <t>Ara Çerceve,R.9,Sol</t>
  </si>
  <si>
    <t>Ara Çerceve,R.11,Sag</t>
  </si>
  <si>
    <t>Ara Çerceve,R.11,Sol</t>
  </si>
  <si>
    <t>Planlanan Hurda Oranı</t>
  </si>
  <si>
    <t>Koruyucu Kapak</t>
  </si>
  <si>
    <t>Koruyucu Kapak,Contasız,R.9-R.11</t>
  </si>
  <si>
    <t>TEZGAH KAYNAKLI HATA</t>
  </si>
  <si>
    <t>Ampul Tutucu,Unıstop</t>
  </si>
  <si>
    <t>Duy Plakasi ve Alt Plaka,Sag</t>
  </si>
  <si>
    <t>Duy Plakasi ve Alt Plaka,Sol</t>
  </si>
  <si>
    <t>Ara Çerceve,P.504,Sag</t>
  </si>
  <si>
    <t>Ara Çerceve,P.504,Sol</t>
  </si>
  <si>
    <t>Ampul Tutucu,B/C85,Sag</t>
  </si>
  <si>
    <t>Kırık/Granül malzeme kullnıldığından gelen malzemenin durumuna bağlı hurda oranları çok değişken ortalama bir rakam belirledim</t>
  </si>
  <si>
    <t xml:space="preserve">Bat 4000 arızası kaynaklı son dönem hata </t>
  </si>
  <si>
    <t>Çerçeve</t>
  </si>
  <si>
    <t>Plastik Ara Çerçeve,BMC Sag</t>
  </si>
  <si>
    <t>Plastik Ara Çerçeve,BMC Sol</t>
  </si>
  <si>
    <t>Lens,Sag,Sinyal İveco</t>
  </si>
  <si>
    <t>Lens,Sol,Sinyal İveco</t>
  </si>
  <si>
    <t>Sari Balon,Tempra,Iveco,R9</t>
  </si>
  <si>
    <t>Lens,Plaka Aydinlatma,Unistop</t>
  </si>
  <si>
    <t>Ampul tutucu, sağ, L38</t>
  </si>
  <si>
    <t>Ampul tutucu, sol, L38</t>
  </si>
  <si>
    <t>Ampul Tutucu,F 34 HDL,Sağ</t>
  </si>
  <si>
    <t>Ampul Tutucu,F 34 HDL,Sol</t>
  </si>
  <si>
    <t>Lens İç,Turuncu,R.11 Ön Sinyal</t>
  </si>
  <si>
    <t>Lens Toplayıcı İç,R.11 Ön Sinyal</t>
  </si>
  <si>
    <t>Gövde Sağ,R.21 Ön Sinyal</t>
  </si>
  <si>
    <t>Gövde Sol,R.21 Ön Sinyal</t>
  </si>
  <si>
    <t>Reflektör,T.93 Fren Lambası</t>
  </si>
  <si>
    <t>Gövde Sağ,F.Transit-15 Ön Sinyal</t>
  </si>
  <si>
    <t>Gövde Sol,F.Transit-15 Ön Sinyal</t>
  </si>
  <si>
    <t>Gövde Sağ,BMC Ön Sinyal</t>
  </si>
  <si>
    <t>Gövde Sol,BMC Ön Sinyal</t>
  </si>
  <si>
    <t>Plastik Tespitleme Pimi,Tempra ÖnSi</t>
  </si>
  <si>
    <t>Yan Çıta,Sağ,Clio,ASK</t>
  </si>
  <si>
    <t>Yan Çıta,Sol,Clio,ASK</t>
  </si>
  <si>
    <t>Bu kalıplar için ayrı bir çalışma yapılacaktır, ayrıca vardiya altında imalat programlanmayacaktır.</t>
  </si>
  <si>
    <t>Plastik Gövde,Toco-1,Sol</t>
  </si>
  <si>
    <t>Lens,Reflex,Sağ,Clio ASK</t>
  </si>
  <si>
    <t>Lens,Reflex,Sol,Clio ASK</t>
  </si>
  <si>
    <t>Lens,Sağ,Naturel,Tempra,Ön Sinyal</t>
  </si>
  <si>
    <t>Lens,Sol,Naturel,Tempra,Ön Sinyal</t>
  </si>
  <si>
    <t>S300 iç reflektör</t>
  </si>
  <si>
    <t>Traktör 65S Ön Panjur 47813248 Sat</t>
  </si>
  <si>
    <t>Lens Plaka lambası</t>
  </si>
  <si>
    <t>Şeffaf Lens RFS 3300</t>
  </si>
  <si>
    <t>reflektör 3300 RFS</t>
  </si>
  <si>
    <t>Lens İç,Geri Vites,Sol,914N Ask</t>
  </si>
  <si>
    <t>Lens İç,Sis,Sağ,914N Ask</t>
  </si>
  <si>
    <t>Gövde,Sağ,Sağ Dir.914N Ask</t>
  </si>
  <si>
    <t>Gövde,Sol,Sağ Dir.914N Ask</t>
  </si>
  <si>
    <t>Refl.Büyük,Sağ,Sağ Dir.913N Ask</t>
  </si>
  <si>
    <t>Refl.Büyük,Sol,Sağ Dir.913N Ask</t>
  </si>
  <si>
    <t>Gövde</t>
  </si>
  <si>
    <t>beyaz kapak Sol</t>
  </si>
  <si>
    <t>beyaz kapak Sağ</t>
  </si>
  <si>
    <t>Blende Siyah Sol HL MCC</t>
  </si>
  <si>
    <t>Şeffaf kapak Sol HL</t>
  </si>
  <si>
    <t>Şeffaf Kapak Sağ HL</t>
  </si>
  <si>
    <t>Blende Siyah Sağ HL MCC</t>
  </si>
  <si>
    <t>253 reflektör Sağ</t>
  </si>
  <si>
    <t>423 reflektör Sol</t>
  </si>
  <si>
    <t>Gövde L HL 377</t>
  </si>
  <si>
    <t>292 Reflektör Sağ</t>
  </si>
  <si>
    <t>Reflektör W210M SWL Sol</t>
  </si>
  <si>
    <t>Reflektör W210M SWL Sağ</t>
  </si>
  <si>
    <t>Yan Çıta W211 + W211M Sol</t>
  </si>
  <si>
    <t>Yan Çıta W211 + W211M Sağ</t>
  </si>
  <si>
    <t>Gövde,Komple,Sağ,Çamurluk</t>
  </si>
  <si>
    <t>Gövde,Komple,Sol,Çamurluk</t>
  </si>
  <si>
    <t>Plastik kapsül</t>
  </si>
  <si>
    <t>Plastik Kovan Üst,Siklon</t>
  </si>
  <si>
    <t>Hava Yönlendirici Taban plastiği</t>
  </si>
  <si>
    <t>Ürt. Adt</t>
  </si>
  <si>
    <t>P. Kod</t>
  </si>
  <si>
    <t>Fire %</t>
  </si>
  <si>
    <t>SAP Rjm Fire Adt</t>
  </si>
  <si>
    <t>SAP Std Fire %</t>
  </si>
  <si>
    <t>Std T.Süresi (Dk)</t>
  </si>
  <si>
    <t>İç Lens,Sinyal,Sağ B32 çamurluk</t>
  </si>
  <si>
    <t>İç Lens,Geri Vites,Sol B32 Bagaj</t>
  </si>
  <si>
    <t>Reflektör,Sis,Sağ,Toco-4 Ask</t>
  </si>
  <si>
    <t>PLAN</t>
  </si>
  <si>
    <t>GERÇEKLEŞEN</t>
  </si>
  <si>
    <t>FİRE</t>
  </si>
  <si>
    <t>FİRE ORANI</t>
  </si>
  <si>
    <t>DURUŞ</t>
  </si>
  <si>
    <t>%</t>
  </si>
  <si>
    <t>DURUŞLARIN TOPLAMI</t>
  </si>
  <si>
    <t>Gövde NSL/RFS 3300</t>
  </si>
  <si>
    <t>Lens Dış,Sağ,Kırmızı+Pembe,130L Ask</t>
  </si>
  <si>
    <t>Lens Dış,Sol,Kırmızı+Pembe,130L Ask</t>
  </si>
  <si>
    <t>Lens Dış,Sağ,001A Ask</t>
  </si>
  <si>
    <t>Lens Dış,Sol,001A Ask</t>
  </si>
  <si>
    <t>Lens Dış,Sağ,Kırmızı+Pembe,913N Ask</t>
  </si>
  <si>
    <t>Lens Dış,Sol,Kırmızı+Pembe,913N Ask</t>
  </si>
  <si>
    <t>Gövde Sağ,001A Ask</t>
  </si>
  <si>
    <t>Gövde Sol,001A Ask</t>
  </si>
  <si>
    <t>Lens A,Sis,Sağ,001A Ask</t>
  </si>
  <si>
    <t>Lens A,Sis,Sol,001A Ask</t>
  </si>
  <si>
    <t>Lens B,Geri Vites,Sağ,001A Ask</t>
  </si>
  <si>
    <t>Lens B,Geri Vites,Sol,001A Ask</t>
  </si>
  <si>
    <t>Braket A,Sinyal,Sağ,001A Ask</t>
  </si>
  <si>
    <t>Braket A,Sinyal,Sol,001A Ask</t>
  </si>
  <si>
    <t>Refl. A,Sis-Geri Vites,Sağ,001A Ask</t>
  </si>
  <si>
    <t>Refl. A,Sis-Geri Vites,Sol,001A Ask</t>
  </si>
  <si>
    <t>Reflektör B,Stop,Sağ,001A Ask</t>
  </si>
  <si>
    <t>Reflektör B,Stop,Sol,001A Ask</t>
  </si>
  <si>
    <t>Ara Çerçeve,Braketli,Sağ,001A Ask</t>
  </si>
  <si>
    <t>Ara Çerçeve,Braketli,Sol,001A Ask</t>
  </si>
  <si>
    <t>Refl.A,Sis-Geri Vites,Sağ,001A Ask SD</t>
  </si>
  <si>
    <t>Refl.A,Sis-Geri Vites,Sol,001A Ask SD</t>
  </si>
  <si>
    <t>Çerçeve Sol R170</t>
  </si>
  <si>
    <t>Çerçeve Sağ R170</t>
  </si>
  <si>
    <t>Kapak Sol R170</t>
  </si>
  <si>
    <t>Kapak Sağ R170</t>
  </si>
  <si>
    <t>Reflektör Sol R170</t>
  </si>
  <si>
    <t>Reflektör Sağ R170</t>
  </si>
  <si>
    <t>Reflektör Sol R170 SAE</t>
  </si>
  <si>
    <t>Reflektör Sağ R170 SAE</t>
  </si>
  <si>
    <t>Reflektör Sol ASTRA A3301</t>
  </si>
  <si>
    <t>Reflektör Sağ ASTRA A3301</t>
  </si>
  <si>
    <t>S.No</t>
  </si>
  <si>
    <t>Lens İç Sağ,Turuncu,R.21 Ön Sinyal</t>
  </si>
  <si>
    <t>Lens İç Sol,Turuncu,R.21 Ön Sinyal</t>
  </si>
  <si>
    <t>TARİH</t>
  </si>
  <si>
    <t>ürün süre</t>
  </si>
  <si>
    <t>Flanşlı pabuç W210M SWL Sol</t>
  </si>
  <si>
    <t>Flanşlı pabuç W210M SWL Sağ</t>
  </si>
  <si>
    <t>Gövde Ø58 Refleks delikli</t>
  </si>
  <si>
    <t>Lens Ø58 Refleks delikli Turuncu</t>
  </si>
  <si>
    <t>Reflektör Sol 292131</t>
  </si>
  <si>
    <t>Reflektör Sağ 292132</t>
  </si>
  <si>
    <t>5'li gövde plaka lensi</t>
  </si>
  <si>
    <t>Soket W210M SWL</t>
  </si>
  <si>
    <t>Spoiler AU MCO</t>
  </si>
  <si>
    <t>GÖVDE,SOL,DELİKLİ,B32 SİS</t>
  </si>
  <si>
    <t>GÖVDE,SAĞ,DELİKSİZ,B32 SİS</t>
  </si>
  <si>
    <t>LENS,SOL,B32 SİS</t>
  </si>
  <si>
    <t>LENS,SAĞ,B32 SİS</t>
  </si>
  <si>
    <t>Lens Sis Beyaz,Temsa</t>
  </si>
  <si>
    <t>Lens Sis Hina Sarı,Temsa</t>
  </si>
  <si>
    <t>Sol Reflektör</t>
  </si>
  <si>
    <t>Reflektör Sağ</t>
  </si>
  <si>
    <t>kırmızı kapak sol</t>
  </si>
  <si>
    <t>kırmızı kapak sağ</t>
  </si>
  <si>
    <t>Gerçekleşen Toplam Süre</t>
  </si>
  <si>
    <t>Kayıp Zamanlar Toplamı</t>
  </si>
  <si>
    <t>İşçilik Performansı</t>
  </si>
  <si>
    <t>LENS,BEYAZ,CADEFACE,ÖN SİNYAL</t>
  </si>
  <si>
    <t>GÖVDE,PY21W,CADEFACE,ÖN SİNYAL</t>
  </si>
  <si>
    <t>LENS,TURUNCU,CADEFACE,ÖN SİNYAL</t>
  </si>
  <si>
    <t>LENS,TURUNCU,Ø 55 ÖN SİNYAL</t>
  </si>
  <si>
    <t>GÖVDE,Ø 55 ÖN SİNYAL</t>
  </si>
  <si>
    <t>LENS,POZİSYON,Ø98 ASK</t>
  </si>
  <si>
    <t>LENS,KOMPLE,POZ.+STOP,Ø98 ASK</t>
  </si>
  <si>
    <t>REFLEKTÖR,SİS,Ø98 ASK</t>
  </si>
  <si>
    <t>LENS,SİS,Ø98 ASK</t>
  </si>
  <si>
    <t>REFLEKTÖR,GERİ VİTES,Ø98 ASK</t>
  </si>
  <si>
    <t>LENS,GERİ VİTES,Ø98 ASK</t>
  </si>
  <si>
    <t>LENS,SİNYAL,Ø98 ASK</t>
  </si>
  <si>
    <t>REFLEKTÖR,Ø98 ASK</t>
  </si>
  <si>
    <t>LENS,REFLEX,Ø98 ASK</t>
  </si>
  <si>
    <t>LENS,KOMPLE,SİNYAL,Ø98 ASK</t>
  </si>
  <si>
    <t>REFLEKTÖR,SAPLAMALI,Ø98 ASK</t>
  </si>
  <si>
    <t>GÖVDE,Ø70 DRL,12/24V</t>
  </si>
  <si>
    <t>GÖVDE,SAPLAMALI,Ø98 ASK</t>
  </si>
  <si>
    <t>LENS,KIRMIZI,Ø 55 ARKA POZİSYON</t>
  </si>
  <si>
    <t>LENS,NATUREL,Ø 55 ÖN SİNYAL</t>
  </si>
  <si>
    <t>GÖVDE,P21W,CADEFACE,ÖN SİNYAL</t>
  </si>
  <si>
    <t>Gövde Sol S211 SWL</t>
  </si>
  <si>
    <t>Gövde Sağ S211 SWL</t>
  </si>
  <si>
    <t>Gövde Sol S211 Avangart SWL</t>
  </si>
  <si>
    <t>Gövde Sağ S211 Avangart SWL</t>
  </si>
  <si>
    <t>Çerçeve Sol S211 SWL</t>
  </si>
  <si>
    <t>Çerçeve Sağ S211 SWL</t>
  </si>
  <si>
    <t>Gövde Sol S211 HDL</t>
  </si>
  <si>
    <t>Gövde Sağ S211 HDL</t>
  </si>
  <si>
    <t>Çerçeve Sol S211 HDL</t>
  </si>
  <si>
    <t>Çerçeve Sağ S211 HDL</t>
  </si>
  <si>
    <t>Refleks Sol S211 HDL</t>
  </si>
  <si>
    <t>Reflektör W169 Sol</t>
  </si>
  <si>
    <t>Reflektör W169 Sağ</t>
  </si>
  <si>
    <t>optik lens ZAFIRA sol BL/SL</t>
  </si>
  <si>
    <t>Reflektör ZAFIRA sol</t>
  </si>
  <si>
    <t>Reflektör ZAFIRA sağ</t>
  </si>
  <si>
    <t>Gövde ZAFIRA sol</t>
  </si>
  <si>
    <t>Gövde ZAFIRA sağ</t>
  </si>
  <si>
    <t>Çerçeve ZAFIRA sol</t>
  </si>
  <si>
    <t>Çerçeve ZAFIRA sağ</t>
  </si>
  <si>
    <t>290B Gövde Base Sol</t>
  </si>
  <si>
    <t>Gövde R HL 377 F. Zentral</t>
  </si>
  <si>
    <t>TOPLAM ÜRETİM</t>
  </si>
  <si>
    <t>Blende Sağ Siyah HL</t>
  </si>
  <si>
    <t>C2 Evobus TIR Lensi 4 ayaklı</t>
  </si>
  <si>
    <t>C2 Evobus TIR Lensi 3 ayaklı</t>
  </si>
  <si>
    <t>C2 Evobus ana bezel Sol</t>
  </si>
  <si>
    <t>C2 Evobus Gövde Sol</t>
  </si>
  <si>
    <t>VW310 Neo Housing Sol</t>
  </si>
  <si>
    <t>GÖVDE,SOL,DELİKSİZ,B32 SİS,SAĞ DİREK.</t>
  </si>
  <si>
    <t>GÖVDE,SAĞ,DELİKLİ,B32 SİS,SAĞ DİREK.</t>
  </si>
  <si>
    <t>Birim İşçilik Süresi  dk.</t>
  </si>
  <si>
    <t>Birim İşçilik Süresi  sn.</t>
  </si>
  <si>
    <t>Plastik,KC4 Ek Ünite, Lens Sol</t>
  </si>
  <si>
    <t>Plastik,KC4 Ek Ünite, Gövde Sol</t>
  </si>
  <si>
    <t>Plastik,KC4 Ek Ünite, Gövde Sağ</t>
  </si>
  <si>
    <t>REFLEKTÖR,SİS,Ø98 ASK,AYG</t>
  </si>
  <si>
    <t>REFLEKTÖR,GERİVİTES,Ø98 ASK,AYG</t>
  </si>
  <si>
    <t>Gövde Komple,Ø180 H,Farbalux</t>
  </si>
  <si>
    <t>Gövde Komple,Ayar Motorlu,Ø180 H,Farbalux</t>
  </si>
  <si>
    <t>Gövde,Sağ,Komple,Sol Trafik,Toco-4</t>
  </si>
  <si>
    <t>Gövde,Sol,Sol Trafik,Toco-4</t>
  </si>
  <si>
    <t>ASK Lens,Kırmızı,Sağ,Kom,Clio,FAZ-2</t>
  </si>
  <si>
    <t>ASK Lens,Kırmızı,Sol,Kom,Clio,FAZ-2</t>
  </si>
  <si>
    <t>ASK Lens,Komple,Sağ,Clio,FAZ-3</t>
  </si>
  <si>
    <t>ASK Lens,Komple,Sol,Clio,FAZ-3</t>
  </si>
  <si>
    <t>Lens Dış Şeffaf,Sol,374L ASK</t>
  </si>
  <si>
    <t>147 B driver Guide Bracet</t>
  </si>
  <si>
    <t>147B Hıgh Base A Sol</t>
  </si>
  <si>
    <t>147B Hıgh Base A Sağ</t>
  </si>
  <si>
    <t>147B Low Inner Lens C Sol</t>
  </si>
  <si>
    <t>147B Low Inner Lens C sağ</t>
  </si>
  <si>
    <t>270 A Reflektör D Sol</t>
  </si>
  <si>
    <t>270 A Reflektör D Sağ</t>
  </si>
  <si>
    <t>466 A turn ref. B (far Sin Ref. B) sol</t>
  </si>
  <si>
    <t>466 A turn ref. B (far Sin Ref. B) sağ</t>
  </si>
  <si>
    <t>466 A CLL Ref. C (AFRİKA VERSİYON) SOL</t>
  </si>
  <si>
    <t>466 A CLL Ref. C (AFRİKA VERSİYON) SAĞ</t>
  </si>
  <si>
    <t>466 A DRL inner Lens Sol</t>
  </si>
  <si>
    <t>466 A DRL inner Lens Sağ</t>
  </si>
  <si>
    <t>REFLEKTÖR,DRL,P21W</t>
  </si>
  <si>
    <t>Seat SE 310 Urban Sol</t>
  </si>
  <si>
    <t>Seat SE 310 Urban Sağ</t>
  </si>
  <si>
    <t>Lens İç,Fren,Sağ,681N ASK</t>
  </si>
  <si>
    <t>Lens İç,Fren,Sol,681N ASK</t>
  </si>
  <si>
    <t>Üst Kapak</t>
  </si>
  <si>
    <t>Bağlantı Klipsi</t>
  </si>
  <si>
    <t>Sağ Düğme</t>
  </si>
  <si>
    <t>Sol Düğme</t>
  </si>
  <si>
    <t>Emniyet Mandalı</t>
  </si>
  <si>
    <t>Arka Destek</t>
  </si>
  <si>
    <t>Ana Gövde</t>
  </si>
  <si>
    <t>Bakla</t>
  </si>
  <si>
    <t>Gövde Sol,Sinyal+Pozisyon,Otokar</t>
  </si>
  <si>
    <t>Gövde Sağ,Sinyal+Pozisyon,Otokar</t>
  </si>
  <si>
    <t>Mekanizma Arayüzü</t>
  </si>
  <si>
    <t>Lens iç Sol unistop3</t>
  </si>
  <si>
    <t>Lens Sol unistop3</t>
  </si>
  <si>
    <t>Genel Verimlilik</t>
  </si>
  <si>
    <t>Reflektör,Ø90 DRL,Ledli</t>
  </si>
  <si>
    <t>Dış Lens, Sol, 595L/270A RCL</t>
  </si>
  <si>
    <t>Turuncu Lens Sağ</t>
  </si>
  <si>
    <t>Lens, Unistop-2</t>
  </si>
  <si>
    <t>Lens Sağ,F.Transit-15 Ön Sinyal</t>
  </si>
  <si>
    <t>Lens Sol,F.Transit-15 Ön Sinyal</t>
  </si>
  <si>
    <t>Hurda Oranı  %</t>
  </si>
  <si>
    <t>Ara Çerçeve,Uzun Hüzme,FB,Manuel</t>
  </si>
  <si>
    <t>Ara Çerçeve,Kısa Hüzme,FB</t>
  </si>
  <si>
    <t>Skoda Karoq HDL ASK Reflektör Sol</t>
  </si>
  <si>
    <t>Skoda Karoq HDL ASK Reflektör Sağ</t>
  </si>
  <si>
    <t>Şarjör Pencere</t>
  </si>
  <si>
    <t xml:space="preserve">Yay Tablası </t>
  </si>
  <si>
    <t>Plastik dis tas,BMC sis,Sag</t>
  </si>
  <si>
    <t>Plastik dis tas,BMC sis,Sol</t>
  </si>
  <si>
    <t>BMC Plastik Dış Tas,Sağ ENJEKSİYON</t>
  </si>
  <si>
    <t>BMC Plastik Dış Tas,Sol ENJEKSİYON</t>
  </si>
  <si>
    <t>Lens Sağ,Turuncu,T.88 Ön Sinyal</t>
  </si>
  <si>
    <t>Lens Sol,Turuncu,T.88 Ön Sinyal</t>
  </si>
  <si>
    <t>Kapak 3. fren NA</t>
  </si>
  <si>
    <t>Gövde, Komple, 3. Fren, NA</t>
  </si>
  <si>
    <t>Lens, Sis, 560A</t>
  </si>
  <si>
    <t>İç Lens-A, Sol, 147B Low Far+Sin.</t>
  </si>
  <si>
    <t>İç Lens-A, Sağ, 147B Low Far+Sin.</t>
  </si>
  <si>
    <t>Braket, Sol, 560A Çamurluk Low Sae</t>
  </si>
  <si>
    <t>Braket, Sağ, 560A Çamurluk Low Sae</t>
  </si>
  <si>
    <t>İç Lens, Sol, Pozisyon, 595L/270A RCL</t>
  </si>
  <si>
    <t>İç Lens, Sağ, Pozisyon, 595L/270A RCL</t>
  </si>
  <si>
    <t>İç Lens, Sol, Sis, 595L/270A RCL</t>
  </si>
  <si>
    <t>İç Lens, Sağ, Sis, 595L/270A RCL</t>
  </si>
  <si>
    <t>İç Lens, Sol, Geri Vites, 595L/270A RCL</t>
  </si>
  <si>
    <t>İç Lens, Sağ, Geri Vites, 595L/270A RCL</t>
  </si>
  <si>
    <t>Base, Sol, 560A, Far+Sinyal, Low</t>
  </si>
  <si>
    <t>Base, Sağ, 560A, Far+Sinyal, Low</t>
  </si>
  <si>
    <t>İç Lens-H, Sol, 560A, Çamurluk, High</t>
  </si>
  <si>
    <t>İç Lens,-G, Sol, 560A Bagaj, High</t>
  </si>
  <si>
    <t>İç Lens,-G, Sağ, 560A Bagaj, High</t>
  </si>
  <si>
    <t>Gölgelik, Sol, 560A , Çamurluk, High</t>
  </si>
  <si>
    <t>Gölgelik, Sağ, 560A , Çamurluk, High</t>
  </si>
  <si>
    <t>Braket, Sol, Datum-2, 147B Far</t>
  </si>
  <si>
    <t>Braket, Sağ, Datum-2, 147B Far</t>
  </si>
  <si>
    <t>Braket, Sol, Datum-5, 147B Far</t>
  </si>
  <si>
    <t>Braket, Sağ, Datum-5, 147B Far</t>
  </si>
  <si>
    <t>Braket, Sol, Datum-4, 147B Far</t>
  </si>
  <si>
    <t>Braket, Sağ, Datum-4, 147B Far</t>
  </si>
  <si>
    <t>Braket, Sol, gril, 147B Far</t>
  </si>
  <si>
    <t>Braket, Sağ, gril, 147B Far</t>
  </si>
  <si>
    <t>Braket, Sol, Bumper, 147B Far</t>
  </si>
  <si>
    <t>Braket, Sağ, Bumper, 147B Far</t>
  </si>
  <si>
    <t>İç Lens, Sol, Led, 270A ASK</t>
  </si>
  <si>
    <t>İç Lens, Sağ, Led, 270A ASK</t>
  </si>
  <si>
    <t>İç Lens, Sol, Led, 595L ASK</t>
  </si>
  <si>
    <t>İç Lens, Sağ, Led, 595L ASK</t>
  </si>
  <si>
    <t>Havalandırma Plastiği tapa</t>
  </si>
  <si>
    <t>S4S SİS IŞIK TÜPÜ SOL</t>
  </si>
  <si>
    <t>S4S SİS IŞIK TÜPÜ SAĞ</t>
  </si>
  <si>
    <t>C192 Middle Cover</t>
  </si>
  <si>
    <t>AC236+ Reflector TL TRP Sol</t>
  </si>
  <si>
    <t>AC236+ Reflector TL TRP Sağ</t>
  </si>
  <si>
    <t>AC236+ PCB Cover Sol</t>
  </si>
  <si>
    <t>AC236+ PCB Cover Sağ</t>
  </si>
  <si>
    <t>Malzeme</t>
  </si>
  <si>
    <t>Reflektör Ø55 Ayg</t>
  </si>
  <si>
    <t>Gövde Ø55 Ayg</t>
  </si>
  <si>
    <t>Govde,Sol,Sis Ref.,681N ASK</t>
  </si>
  <si>
    <t>Govde,Sag,681N ASK</t>
  </si>
  <si>
    <t>Govde,Sol,Sol,Trafik,681N ASK</t>
  </si>
  <si>
    <t>Govde,Sag,Sis Ref.Sol Trafik,681N ASK</t>
  </si>
  <si>
    <t>Govde,Sol,Sol Direksiyon,374L ASK</t>
  </si>
  <si>
    <t>Govde,Sag,Sol Direksiyon,374L ASK</t>
  </si>
  <si>
    <t>Govde,Sol,Sag Direksiyon,374L ASK</t>
  </si>
  <si>
    <t>Govde,Sag,Sag Direksiyon,374L ASK</t>
  </si>
  <si>
    <t>Dıs Lens,Sol,466A ASK,Camurluk</t>
  </si>
  <si>
    <t>Dıs Lens,Sag,466A ASK,Camurluk</t>
  </si>
  <si>
    <t>Dıs Lens,Sol,147B,Camurluk</t>
  </si>
  <si>
    <t>Dıs Lens,Sag,147B,Camurluk</t>
  </si>
  <si>
    <t>405 B, BRAKET A SOL AVRUPA</t>
  </si>
  <si>
    <t>405 B, BRAKET A SAĞ AVRUPA</t>
  </si>
  <si>
    <t>Lens Dış Sağ,Beyaz,R.11 Ön Sinyal</t>
  </si>
  <si>
    <t>Lens Dış Sol,Beyaz,R.11 Ön Sinyal</t>
  </si>
  <si>
    <t>Lens Sağ,Kırmızı,Arka Stop,R.11</t>
  </si>
  <si>
    <t>Lens Sol,Kırmızı,Arka Stop,R.11</t>
  </si>
  <si>
    <t>LENS,SİNYAL,SOL,595L,FAR+SİNYAL</t>
  </si>
  <si>
    <t>LENS,SİNYAL,SAĞ,595L,FAR+SİNYAL</t>
  </si>
  <si>
    <t>İÇ LENS-B,SOL,290B FAR+SİNYAL,LOW</t>
  </si>
  <si>
    <t>Lens,Sağ,Kırmızı+Naturel,L84 Ask</t>
  </si>
  <si>
    <t>Lens,Sol,Kırmızı+Naturel,L84 Ask</t>
  </si>
  <si>
    <t>turuncu lens iç lensi eksik</t>
  </si>
  <si>
    <t>HDL Soket Plastiği OPEL Sol</t>
  </si>
  <si>
    <t>HDL Soket Plastiği OPEL Sağ</t>
  </si>
  <si>
    <t>Şeffaf Balon SWL</t>
  </si>
  <si>
    <t>Vida adaptörü sol</t>
  </si>
  <si>
    <t>Vida adaptörü sağ</t>
  </si>
  <si>
    <t>Reflektör HDL Sol</t>
  </si>
  <si>
    <t>Reflektör HDL Sağ</t>
  </si>
  <si>
    <t>Reflektör Signum Sol</t>
  </si>
  <si>
    <t>Reflektör Signum Sağ</t>
  </si>
  <si>
    <t>342013 turuncu+seffaf çakılmış</t>
  </si>
  <si>
    <t>Bağlantı Braketi</t>
  </si>
  <si>
    <t>Lens,Sol,ASK Camurluk,B32</t>
  </si>
  <si>
    <t>Lens,Sag,ASK Camurluk,B32</t>
  </si>
  <si>
    <t>Lens,Sol,ASK Bagaj,B32</t>
  </si>
  <si>
    <t>Lens,Sag,ASK Bagaj,B32</t>
  </si>
  <si>
    <t>Lens, Kirmizi+Naturel,Sol,V227 FACELIFT</t>
  </si>
  <si>
    <t>Lens, Kirmizi+Naturel,Sag,V227 FACELIFT</t>
  </si>
  <si>
    <t>Dis Lens,Sol,L38,Bagaj</t>
  </si>
  <si>
    <t>Dis Lens,Sag,L38,Bagaj</t>
  </si>
  <si>
    <t>Dis Lens,Sol,L38,Camurluk</t>
  </si>
  <si>
    <t>Dis Lens,Sag,L38,Camurluk</t>
  </si>
  <si>
    <t>Dis Lens,Sol,L38,Bagaj,Siyah</t>
  </si>
  <si>
    <t>Dis Lens,Sag,L38,Bagaj,Siyah</t>
  </si>
  <si>
    <t>Dis Lens,Sol,L38,Camurluk,Siyah</t>
  </si>
  <si>
    <t>Dis Lens,Sag,L38,Camurluk,Siyah</t>
  </si>
  <si>
    <t>Lens, Kırmızı, Sağ, Komple</t>
  </si>
  <si>
    <t>Soket Plastiği Ø55, Ayg</t>
  </si>
  <si>
    <t>Baglantı Braketi,Mercekli,Ters</t>
  </si>
  <si>
    <t>Reflektör S204 sağ + enjektör</t>
  </si>
  <si>
    <t>Ø61 Sarı Refleks Lens</t>
  </si>
  <si>
    <t>Ø61 Gövde RS</t>
  </si>
  <si>
    <t>Vidali Gövde 1148 RS</t>
  </si>
  <si>
    <t>Kırmızı Lens 1148</t>
  </si>
  <si>
    <t>Kırmızı Lens 1149 (ULO-923 50)</t>
  </si>
  <si>
    <t>Gövde 1149 RS</t>
  </si>
  <si>
    <t>Şeffaf Lens 1149 (ULO-923)</t>
  </si>
  <si>
    <t>Sarı Lens 1149 (923-50)</t>
  </si>
  <si>
    <t>Reflektör EVOBUS EVOGRAU2</t>
  </si>
  <si>
    <t>Reflektör EVOBUS EVOGRAU3</t>
  </si>
  <si>
    <t>Kırmızı Ön Lens 1521</t>
  </si>
  <si>
    <t>Beyaz Kapak 1521</t>
  </si>
  <si>
    <t>Şeffaf Ön Lens 1521</t>
  </si>
  <si>
    <t>Sarı Ön Lens 1521</t>
  </si>
  <si>
    <t>Kırmızı Lens 1521</t>
  </si>
  <si>
    <t>Beyaz Koruyucu Kapak 1521</t>
  </si>
  <si>
    <t>Şeffaf Lens 1521</t>
  </si>
  <si>
    <t>Sarı Lens 1521</t>
  </si>
  <si>
    <t>15mm Pimli Komple Ürün 1523 RS</t>
  </si>
  <si>
    <t>Kırmızı Lens 1523</t>
  </si>
  <si>
    <t>Sarı Lens 1523</t>
  </si>
  <si>
    <t>Kırmızı Lens 1523 SAE</t>
  </si>
  <si>
    <t>Siyah Gövde 1523 RS</t>
  </si>
  <si>
    <t>Kırmızı Koruyucu Kapak 1518 RS</t>
  </si>
  <si>
    <t>Kırmızı Lens 1518</t>
  </si>
  <si>
    <t>Koruyucu Kapak 1143 Ø60D RS</t>
  </si>
  <si>
    <t>Kırmızı Lens 1105</t>
  </si>
  <si>
    <t>Sarı Lens 1205</t>
  </si>
  <si>
    <t>Kırmızı Lens 1149 SAE (Ø75mm)</t>
  </si>
  <si>
    <t>Lens 3500 LED SML/SRS WAAGR</t>
  </si>
  <si>
    <t>Lens 3500 LED SML/SRS SENKR</t>
  </si>
  <si>
    <t>Lens 3500 LED SML/SRS SAE</t>
  </si>
  <si>
    <t>Kırmızı Lens 3500 LED SML/SRS SAE</t>
  </si>
  <si>
    <t>Lens EVOBUS O404 L GE 188749</t>
  </si>
  <si>
    <t>Reflektör L EVOBUS O404</t>
  </si>
  <si>
    <t>Lens EVOBUS 0404 R GE.188750</t>
  </si>
  <si>
    <t>Reflektör R EVOBUS O404</t>
  </si>
  <si>
    <t>Lens EVOBUS O580 L FRA</t>
  </si>
  <si>
    <t>Lens EVOBUS O580 R FRA</t>
  </si>
  <si>
    <t>Reflektör O580 L ECE FRA</t>
  </si>
  <si>
    <t>Reflektör O580 R ECE FRA</t>
  </si>
  <si>
    <t>T. 93 ALT CITA,SAG,SIYAH</t>
  </si>
  <si>
    <t>T. 93 ALT CITA,SOL,SIYAH</t>
  </si>
  <si>
    <t>Bağlantı Pls.Üst,Sol,595L Dış Tas, Ambalajlı</t>
  </si>
  <si>
    <t>Bağlantı Pls.Üst,Sağ,595L Dış Tas, Ambalajlı</t>
  </si>
  <si>
    <t>Bağlantı Pls.Alt,Sol,595L Dış Tas, Ambalajlı</t>
  </si>
  <si>
    <t>Bağlantı Pls.Alt,Sağ,595L Dış Tas, Ambalajlı</t>
  </si>
  <si>
    <t>Lens İç,Geri Vites,130L Ask, Ambalajlı</t>
  </si>
  <si>
    <t>Lens İç,Sis,130L Ask, Ambalajlı</t>
  </si>
  <si>
    <t>Lens,Reflex,Sağ,130L Ask, Ambalajlı</t>
  </si>
  <si>
    <t>Lens,Reflex,Sol,130L Ask, Ambalajlı</t>
  </si>
  <si>
    <t>C190 Dis Lens Sol</t>
  </si>
  <si>
    <t>C190 Dis Lens Sag</t>
  </si>
  <si>
    <t>C190 Optik Lens Sol</t>
  </si>
  <si>
    <t>C190 Optik Lens Sag</t>
  </si>
  <si>
    <t>Reflektör VW D1 R ZFRA 395304</t>
  </si>
  <si>
    <t>Kapak VW D1 R ZFRA 395306</t>
  </si>
  <si>
    <t>Reflektör VW D1 L ZFRA 395303</t>
  </si>
  <si>
    <t>Kapak VW D1 L ZFRA 395305</t>
  </si>
  <si>
    <t>Lens VW D1 GP3 L ZFRA CCC</t>
  </si>
  <si>
    <t>Gövde SML 3500(24V 1.5W-dikey-gri)</t>
  </si>
  <si>
    <t>Gövde SML 3500(12V 0.75W-yatay-gri)</t>
  </si>
  <si>
    <t>Gövde SML 3500(12V 0.75W-dikey-gri)</t>
  </si>
  <si>
    <t>Gövde SML 3500(24V 1.5W-yatay-siyah)</t>
  </si>
  <si>
    <t>Neo Facelift Sol</t>
  </si>
  <si>
    <t>Neo Facelift Sağ</t>
  </si>
  <si>
    <t>Reflektör Braket LV/HV Sol</t>
  </si>
  <si>
    <t>Reflektör Braket LV/HV Sağ</t>
  </si>
  <si>
    <t>Lightguide Mounting Peace HV Sol</t>
  </si>
  <si>
    <t>Motor Tutucu LV/HV Sol</t>
  </si>
  <si>
    <t>Motor Tutucu LV/HV Sağ</t>
  </si>
  <si>
    <t>W221 Ampul Tutucu Sol</t>
  </si>
  <si>
    <t>Mini U25 Housing Sol</t>
  </si>
  <si>
    <t>Lens LACK EVOBUS 0404 L 1887</t>
  </si>
  <si>
    <t>Lens LACK EVOBUS 0404 R 1887</t>
  </si>
  <si>
    <t>ABDECKUNG 3702 EVOBUS EVOGRAU3</t>
  </si>
  <si>
    <t>Lens, Geri Vites, Sol, Clio ASK</t>
  </si>
  <si>
    <t>Lens, Geri Vites, Sağ, Clio ASK</t>
  </si>
  <si>
    <t>Lens, Turuncu, Sol, Clio ASK</t>
  </si>
  <si>
    <t>Lens, Turuncu, Sağ, Clio ASK</t>
  </si>
  <si>
    <t>Lens, Sinyal, Naturel, Sol, Clio ASK, Faz-3</t>
  </si>
  <si>
    <t>Lens, Sinyal, Naturel, Sağ, Clio ASK, Faz-3</t>
  </si>
  <si>
    <t>Balon, W211</t>
  </si>
  <si>
    <t>LAMPENTRAEGER L SWL W212, Plastik Soket</t>
  </si>
  <si>
    <t>LAMPENTRAEGER R SWL W212, Plastik Soket</t>
  </si>
  <si>
    <t>REFLEKTOR DRL TI H566 SOL</t>
  </si>
  <si>
    <t>REFLEKTOR DRL TI H566 SAG</t>
  </si>
  <si>
    <t>BEZEL H566 SOL</t>
  </si>
  <si>
    <t>BEZEL H566 SAG</t>
  </si>
  <si>
    <t>BEZEL SIS H566 SOL</t>
  </si>
  <si>
    <t>BEZEL SIS H566 SAG</t>
  </si>
  <si>
    <t>IC LENS H566 SOL</t>
  </si>
  <si>
    <t>IC LENS H566 SAG</t>
  </si>
  <si>
    <t>SIYAH BEZEL H566 SOL</t>
  </si>
  <si>
    <t>SIYAH BEZEL H566 SAG</t>
  </si>
  <si>
    <t>SIYAH BEZEL SIS H566 SOL</t>
  </si>
  <si>
    <t>SIYAH BEZEL SIS H566 SAG</t>
  </si>
  <si>
    <t>GOVDE H566 SOL HIGH</t>
  </si>
  <si>
    <t>GOVDE H566 SAG HIGH</t>
  </si>
  <si>
    <t>GOVDE SIS H566 SOL</t>
  </si>
  <si>
    <t>GOVDE SIS H566 SAG</t>
  </si>
  <si>
    <t>PES CERCEVE HIGH H566 SOL</t>
  </si>
  <si>
    <t>PES CERCEVE HIGH H566 SAG</t>
  </si>
  <si>
    <t>AYAR BRAKETI HIGH LOW 2 H566</t>
  </si>
  <si>
    <t>Dış Lens Ø55 Ayg Amber</t>
  </si>
  <si>
    <t>GEHAEUSE SCHW SML/SRS 3500 24V</t>
  </si>
  <si>
    <t>Braket1 Sol unistop3 ICA</t>
  </si>
  <si>
    <t>Braket1 Sağ unistop3 ICA</t>
  </si>
  <si>
    <t>Braket2 Sol unistop3 ICA</t>
  </si>
  <si>
    <t>Braket2 Sağ unistop3 ICA</t>
  </si>
  <si>
    <t>Kapak Bliss Sol unistop3 ICA</t>
  </si>
  <si>
    <t>Kapak Bliss Sağ unistop3 ICA</t>
  </si>
  <si>
    <t>130D,JOINT,FAR+SİNYAL,HİGH</t>
  </si>
  <si>
    <t>130D,BRACKET-SOL,FAR+SİNYAL,HİGH</t>
  </si>
  <si>
    <t>Oluşturulma Tarihi</t>
  </si>
  <si>
    <t>Belge Tarihi</t>
  </si>
  <si>
    <t>Env.Belge Tipi</t>
  </si>
  <si>
    <t>Malzeme Açıklaması</t>
  </si>
  <si>
    <t>Hareket Yönü</t>
  </si>
  <si>
    <t>Stk.Tipi</t>
  </si>
  <si>
    <t>Stok Miktar</t>
  </si>
  <si>
    <t>Stok Birimi</t>
  </si>
  <si>
    <t>Oluşturan</t>
  </si>
  <si>
    <t>Kullanılabilir</t>
  </si>
  <si>
    <t>AD</t>
  </si>
  <si>
    <t>IASBATCH</t>
  </si>
  <si>
    <t>OR</t>
  </si>
  <si>
    <t>Giriş</t>
  </si>
  <si>
    <t>Lens iç Sag unistop3</t>
  </si>
  <si>
    <t>İÇ LENS-B,SAG,290B FAR+SİNYAL,LOW</t>
  </si>
  <si>
    <t>Gövde, Çalışma Lambası</t>
  </si>
  <si>
    <t>Braket, Çalışma Lambası</t>
  </si>
  <si>
    <t>GÖVDE,SOKETLİ,SIDE MARKER,FORD</t>
  </si>
  <si>
    <t>V769 BEV C2C Carrier Sol</t>
  </si>
  <si>
    <t>V769 BEV C2C Carrier Sağ</t>
  </si>
  <si>
    <t>Stellantis D85 TRP Reflector Sol</t>
  </si>
  <si>
    <t>Stellantis D85 TRP Reflector Sağ</t>
  </si>
  <si>
    <t>Oled Carrier Fep L</t>
  </si>
  <si>
    <t>Oled Carrier Fep R</t>
  </si>
  <si>
    <t>Oled Carrier Oled 1 Trp L</t>
  </si>
  <si>
    <t>Oled Carrier Oled 1 Trp R</t>
  </si>
  <si>
    <t>Oled Carrier Oled 2 Trp L</t>
  </si>
  <si>
    <t>Oled Carrier Oled 2 Trp R</t>
  </si>
  <si>
    <t>REFLEKTOR,SOL,BRL-TI,SEAT,ÇAMURLUK</t>
  </si>
  <si>
    <t>REFLEKTOR,SAĞ,BRL-TI,SEAT,ÇAMURLUK</t>
  </si>
  <si>
    <t>Lens,Turuncu,Ön sinyal</t>
  </si>
  <si>
    <t>Lens,Kirmizi,Arka sinyal</t>
  </si>
  <si>
    <t>Housing,Naturel,Büyük</t>
  </si>
  <si>
    <t>Housing,Naturel,Küçük</t>
  </si>
  <si>
    <t>Insert,Siyah,Küçük</t>
  </si>
  <si>
    <t>Insert,Siyah,Büyük</t>
  </si>
  <si>
    <t>Bushing,Natural</t>
  </si>
  <si>
    <t>Filtre,Mavi,Ön sinyal</t>
  </si>
  <si>
    <t>Filtre,Yesil,Arka sinyal</t>
  </si>
  <si>
    <t>Filtre,Kirmizi,Arka sinyal</t>
  </si>
  <si>
    <t>GOVDE H566 SOL BASE</t>
  </si>
  <si>
    <t>GOVDE H566 SAG BASE</t>
  </si>
  <si>
    <t>ABS Gri KIRIK</t>
  </si>
  <si>
    <t>Koruyucu Kapak Contalı, BMC Prof.+R19</t>
  </si>
  <si>
    <t>Koruyucu Kapak,Contali</t>
  </si>
  <si>
    <t>Kırık PP%40 taklı siyah</t>
  </si>
  <si>
    <t>Plastik dis tas,80x160</t>
  </si>
  <si>
    <t>Ref.Göv.90x155</t>
  </si>
  <si>
    <t>Plastik Dis Çerce,90x155</t>
  </si>
  <si>
    <t>Plastik, SFTP Kapak</t>
  </si>
  <si>
    <t>Plastik, SFTP Adaptör, Sol</t>
  </si>
  <si>
    <t>Plastik, SFTP Adaptör, Sağ</t>
  </si>
  <si>
    <t>Plastik,KC4 Ek Ünite, Lens Sag</t>
  </si>
  <si>
    <t>Skoda Karoq HDL Housing Sol</t>
  </si>
  <si>
    <t>Skoda Karoq HDL Housing Sağ</t>
  </si>
  <si>
    <t>Kırık PMMA Şeffaf ALTUGLAS V825T 101 CLEAR</t>
  </si>
  <si>
    <t>Boş Kod</t>
  </si>
  <si>
    <t>Dacia X52 Side Finisher Sol</t>
  </si>
  <si>
    <t>Dacia X52 Side Finisher Sağ</t>
  </si>
  <si>
    <t>Plastik Ara Çerçeve-F,405 B,Extention Sol</t>
  </si>
  <si>
    <t>Plastik Ara Çerçeve-F,405 B,Extention Sag</t>
  </si>
  <si>
    <t>405 B, BRAKET A SOL AMERİKA</t>
  </si>
  <si>
    <t>405 B, BRAKET A SAG AMERİKA</t>
  </si>
  <si>
    <t xml:space="preserve">Ana Gövde </t>
  </si>
  <si>
    <t>5.56 BAKLA</t>
  </si>
  <si>
    <t>Üst Takip Parçası</t>
  </si>
  <si>
    <t>Ara Destek Parçası</t>
  </si>
  <si>
    <t>Taban Kızağı</t>
  </si>
  <si>
    <t>Terminal Kontak,Unıversal Tip 1</t>
  </si>
  <si>
    <t>Şase terminalı,V227-MCA</t>
  </si>
  <si>
    <t>Sase Terminali,V227</t>
  </si>
  <si>
    <t>Ampul Tutucu,L84,Sag</t>
  </si>
  <si>
    <t>Ampul Tutucu,L84,Sol</t>
  </si>
  <si>
    <t>Şase terminalı,Sağ,L65,F3</t>
  </si>
  <si>
    <t>Şase terminalı,Sol,L65,F3</t>
  </si>
  <si>
    <t>GRANÜL, Polikarbonat, Açık Gri</t>
  </si>
  <si>
    <t>Polikarbonat, Açık Gri kırık</t>
  </si>
  <si>
    <t>Terminal kontak Tip 3</t>
  </si>
  <si>
    <t>Şase terminalı,Sağ,BC 85</t>
  </si>
  <si>
    <t>0.8x552 mm, GZR,  DX51D Z140</t>
  </si>
  <si>
    <t>Şase terminalı,Sol,BC 85</t>
  </si>
  <si>
    <t>Ayar Butonu</t>
  </si>
  <si>
    <t>Plastik Reflektör,Sinyal,Sag</t>
  </si>
  <si>
    <t>Plastik Reflektör,Sinyal,Sol</t>
  </si>
  <si>
    <t>GRANÜL, PC SİYAH SABİC LEXAN HF 110 R-701</t>
  </si>
  <si>
    <t>PC sabic siyah</t>
  </si>
  <si>
    <t>Boş kod</t>
  </si>
  <si>
    <t>Manivela Plastigi</t>
  </si>
  <si>
    <t>Plastik başlı vida,Skoda</t>
  </si>
  <si>
    <t>KırıkPC Turuncu Sabic Lexan LS2 4135</t>
  </si>
  <si>
    <t>Lens,Turuncu,Opel Corsa,Sag</t>
  </si>
  <si>
    <t>Lens,Turuncu,Opel Corsa,Sol</t>
  </si>
  <si>
    <t>Sari Balon,Skoda far</t>
  </si>
  <si>
    <t>FB Outer  Lens</t>
  </si>
  <si>
    <t>Kırık PMMA Turuncu</t>
  </si>
  <si>
    <t>Lens,Turuncu,R.19,Sağ</t>
  </si>
  <si>
    <t>Kırık Polikarbonat. Turuncu</t>
  </si>
  <si>
    <t>Lens,Turuncu,R.19,Sol</t>
  </si>
  <si>
    <t>Kırık PP%20 Talklı siyah</t>
  </si>
  <si>
    <t>Şase terminalı,Unıstop-2</t>
  </si>
  <si>
    <t>Terminal şase, 270A, Sağ</t>
  </si>
  <si>
    <t>Terminal şase, 270A, Sol</t>
  </si>
  <si>
    <t>Ampul Tutucu,Sag,X204</t>
  </si>
  <si>
    <t>Yay, Kontak Tip 6, yerli</t>
  </si>
  <si>
    <t>Ampul tutucu, W205, Sag, Amerika</t>
  </si>
  <si>
    <t>Terminal Şase, Sağ, W23 PH2</t>
  </si>
  <si>
    <t>Terminal Şase, Sol, W23 PH2</t>
  </si>
  <si>
    <t>Gövde Sag,R.9 Ön Sinyal</t>
  </si>
  <si>
    <t>Kırık ABS Gri novodur hh112</t>
  </si>
  <si>
    <t>Gövde Sol,R.9 Ön Sinyal</t>
  </si>
  <si>
    <t>Lens Sag,R.9 Ön Sinyal</t>
  </si>
  <si>
    <t>Lens Sol,R.9 Ön Sinyal</t>
  </si>
  <si>
    <t>Gövde Sag,R.9 Ön Sinyal Faz-3</t>
  </si>
  <si>
    <t>Gövde Sol,R.9 Ön Sinyal Faz-3</t>
  </si>
  <si>
    <t>Lens Sag,R.9 Ön Sinyal Faz-3</t>
  </si>
  <si>
    <t>Gövde Sag,ASK.R.9 FAZ 2</t>
  </si>
  <si>
    <t>Gövde Sol,ASK.R.9 FAZ 2</t>
  </si>
  <si>
    <t>Lens Sag Kırmızı,R.9,Faz-2</t>
  </si>
  <si>
    <t>kırık PMMA Kırmızı</t>
  </si>
  <si>
    <t>Lens Sag,Füme,R.9,Faz-2</t>
  </si>
  <si>
    <t>Gövde Sag,R.9 ASK</t>
  </si>
  <si>
    <t>GRANÜL, ABS GRİ STYROLUTİON NOVODUR HH-112 P25596 GRAU</t>
  </si>
  <si>
    <t>Lens Sag,Kırmızı,R.9 ASK</t>
  </si>
  <si>
    <t>Lens Sag,Turuncu+Geri Vites,R.9 ASK</t>
  </si>
  <si>
    <t>Gövde Sağ,R.19 Ön Sinyal(FRB-Okul)</t>
  </si>
  <si>
    <t>Gövde Sol,R.19 Ön Sinyal(FRB-Okul)</t>
  </si>
  <si>
    <t>Lens Sağ,Prizmalı,R.19 Ön Sinyal</t>
  </si>
  <si>
    <t>Lens Sol,Prizmalı,R.19 Ön Sinyal</t>
  </si>
  <si>
    <t>Gövde Sag,Saplamalı,T.88 Ön Sinyal</t>
  </si>
  <si>
    <t>Gövde Sol,Saplamalı,T.88 Ön Sinyal</t>
  </si>
  <si>
    <t>Lens Sağ,Beyaz,T.88 Ön Sinyal</t>
  </si>
  <si>
    <t>Lens Sol,Beyaz,T.88 Ön Sinyal</t>
  </si>
  <si>
    <t>Sarı Balon Sağ,T.88 Ön Sinyal</t>
  </si>
  <si>
    <t>Sarı Balon Sol,T.88 Ön Sinyal</t>
  </si>
  <si>
    <t>Gövde Sag,Saplamalı,T.93 Ön Sinyal</t>
  </si>
  <si>
    <t>Gövde Sol,Saplamalı,T.93 Ön Sinyal</t>
  </si>
  <si>
    <t>Reflektör Sağ,T.93 Ön Sinyal( Dışardan tedarik ediliyor)</t>
  </si>
  <si>
    <t>Reflektör Sol,T.93 Ön Sinyal(Dışardan tedarik ediliyor)</t>
  </si>
  <si>
    <t>Lens Sağ,Beyaz,T.93 Ön Sinyal</t>
  </si>
  <si>
    <t>Lens Sol,Beyaz,T.93 Ön Sinyal</t>
  </si>
  <si>
    <t>Gövde,Far,Sis,Temsa</t>
  </si>
  <si>
    <t>kırık PMMA Füme</t>
  </si>
  <si>
    <t>Lens Sağ,BMC Ön Sinyal</t>
  </si>
  <si>
    <t>Lens Sol, BMC Ön Sinyal</t>
  </si>
  <si>
    <t>Plastik tapa,Yağ Pompası</t>
  </si>
  <si>
    <t>Kapak, Su Tahliye</t>
  </si>
  <si>
    <t>Plastik tutucu</t>
  </si>
  <si>
    <t>Plastik Buton,Ayar,P.504</t>
  </si>
  <si>
    <t>Reflektör toz tapasi,H4</t>
  </si>
  <si>
    <t>LENS,UÇ BELİRTME LAMBASI,MERCEDES</t>
  </si>
  <si>
    <t>GÖVDE,UÇ BELİRTME LAMBASI,MERCEDES</t>
  </si>
  <si>
    <t>Gövde,AS 950 Üniversal</t>
  </si>
  <si>
    <t>Kırık PC ABS, siyah</t>
  </si>
  <si>
    <t>Lens Turuncu,AS 950</t>
  </si>
  <si>
    <t>Lens seffaf ,AS 950</t>
  </si>
  <si>
    <t>Lens Dış kırmızı,AS 950</t>
  </si>
  <si>
    <t>Lens Kırmızı Toplayıcı,AS 950</t>
  </si>
  <si>
    <t>GÖVDE,TOGG C-SUV DRL SOL</t>
  </si>
  <si>
    <t>GÖVDE,TOGG C-SUV DRL SAG</t>
  </si>
  <si>
    <t>LENS, TOGG C-SUV DRL SOL</t>
  </si>
  <si>
    <t>LENS, TOGG C-SUV DRL SAG</t>
  </si>
  <si>
    <t>REFLEKTÖR, TOGG C-SUV DRL/PO SOL</t>
  </si>
  <si>
    <t>REFLEKTÖR, TOGG C-SUV DRL/PO SAG</t>
  </si>
  <si>
    <t>Bağlantı Pls.Üst,Sol,595L Dış Tas</t>
  </si>
  <si>
    <t>Bağlantı Pls.Üst,Sağ,595L Dış Tas</t>
  </si>
  <si>
    <t>Bağlantı Pls.Alt,Sol,595L Dış Tas</t>
  </si>
  <si>
    <t>Bağlantı Pls.Alt,Sağ,595L Dış Tas</t>
  </si>
  <si>
    <t>BALON,POZİSYON,595L RCL,SOL</t>
  </si>
  <si>
    <t>BALON,POZİSYON,595L RCL,SAĞ</t>
  </si>
  <si>
    <t>LENS İÇ,LED,SOL,270A,F+S</t>
  </si>
  <si>
    <t>LENS İÇ,LED,SAĞ,270A,F+S</t>
  </si>
  <si>
    <t>İÇ LENS, SOL,466A, FAR+SİNYAL, DRL</t>
  </si>
  <si>
    <t>İÇ LENS,SAĞ,466A,FAR+SİNYAL,DRL</t>
  </si>
  <si>
    <t>REFLEX-REFL.,SOL,560A,FAR+SİNYAL</t>
  </si>
  <si>
    <t>REFLEX-REFL.,SAĞ,560A,FAR+SİNYAL</t>
  </si>
  <si>
    <t>BASE-E,SOL,560A,FAR+SİNYAL</t>
  </si>
  <si>
    <t>BASE-E,SAG,560A,FAR+SİNYAL</t>
  </si>
  <si>
    <t>REFLEX REFLEKTÖR,SOL,560A ÇAMURLUK,LOW</t>
  </si>
  <si>
    <t>REFLEX REFLEKTÖR,SAĞ,560A ÇAMURLUK,LOW</t>
  </si>
  <si>
    <t>İÇ LENS-B,SOL,147B LOW,FAR+SİN.</t>
  </si>
  <si>
    <t>İÇ LENS-B,SAĞ,147B LOW,FAR+SİN.</t>
  </si>
  <si>
    <t>İÇ LENS-A,SOL,147B HIGH,FAR+SİNYAL</t>
  </si>
  <si>
    <t>İÇ LENS-A,SAĞ,147B HIGH,FAR+SİNYAL</t>
  </si>
  <si>
    <t>İÇ LENS-C,SOL,147B HIGH,FAR+SİNYAL</t>
  </si>
  <si>
    <t>İÇ LENS-C,SAĞ,147B HIGH,FAR+SİNYAL</t>
  </si>
  <si>
    <t>KAPAK,SOL,147B,FAR+SİNYAL,HIGH</t>
  </si>
  <si>
    <t>KAPAK,SAĞ,147B,FAR+SİNYAL,HIGH</t>
  </si>
  <si>
    <t>İÇ LENS-A,SOL,290B FAR+SİNYAL,LOW</t>
  </si>
  <si>
    <t>İÇ LENS-A,SAĞ,290B FAR+SİNYAL,LOW</t>
  </si>
  <si>
    <t>REFLEKS REFLEKTÖR ,SOL,405B,FAR,HIGH,USA</t>
  </si>
  <si>
    <t>REFLEKS REFLEKTÖR ,SAG,405B,FAR,HIGH,USA</t>
  </si>
  <si>
    <t>REFLEX-REFL.,SOL,405B,LOW,USA</t>
  </si>
  <si>
    <t>REFLEX-REFL.,SAG,405B,LOW,USA</t>
  </si>
  <si>
    <t>BRAKET,LED,SOL,270A,F+S</t>
  </si>
  <si>
    <t>BRAKET,LED,SAĞ,270A,F+S</t>
  </si>
  <si>
    <t>İÇ LENS,SOL,SİNYAL,595L/270 RCL</t>
  </si>
  <si>
    <t>İÇ LENS,SAĞ,SİNYAL,595L/270 RCL</t>
  </si>
  <si>
    <t>BRAKET,SOL,595L/270A</t>
  </si>
  <si>
    <t>BRAKET,SAĞ,595L/270A</t>
  </si>
  <si>
    <t>REFLEKTÖR-B,SOL,147B LOW,FAR+SİN.</t>
  </si>
  <si>
    <t>REFLEKTÖR-B,SAĞ,147B LOW,FAR+SİN.</t>
  </si>
  <si>
    <t>REFLEKTÖR-A,SOL,147B HIGH,FAR+SİN.</t>
  </si>
  <si>
    <t>REFLEKTÖR-A,SAĞ,147B HIGH,FAR+SİN.</t>
  </si>
  <si>
    <t>ARA ÇERÇEVE-E,SOL,147B LOW,FAR+SİN.</t>
  </si>
  <si>
    <t>ARA ÇERÇEVE-E,SAĞ,147B LOW,FAR+SİN.</t>
  </si>
  <si>
    <t>560A GÖVDE,SİS</t>
  </si>
  <si>
    <t>Plastik Gövde,Tempra Sağ</t>
  </si>
  <si>
    <t>Plastik Gövde,Tempra Sol</t>
  </si>
  <si>
    <t>Plastik Gövde,Sağ,Komple,MBT 0345</t>
  </si>
  <si>
    <t>Plastik Gövde,Sol,Komple,MBT 0345</t>
  </si>
  <si>
    <t>Ara Çerçeve,Sağ,MBT 0345</t>
  </si>
  <si>
    <t>Ara Çerçeve,Sol,MBT 0345</t>
  </si>
  <si>
    <t>Plastik Gövde,Sağ,Komple,Toco-4</t>
  </si>
  <si>
    <t>Plastik Gövde,Sol,Komple,Toco-4</t>
  </si>
  <si>
    <t>Gövde , Unistop-2, 12 V</t>
  </si>
  <si>
    <t>Gövde , Unistop-2, 12 V(Boyasız Vidalı)</t>
  </si>
  <si>
    <t>Lens İç,Fren,Sağ,374L ASK</t>
  </si>
  <si>
    <t>Lens İç,Fren,Sol,374L ASK</t>
  </si>
  <si>
    <t>Lens İç,Sinyal,Sağ,374L ASK</t>
  </si>
  <si>
    <t>Lens İç,Sinyal,Sol,374L ASK</t>
  </si>
  <si>
    <t>Lens İç,Geri Vites,Sağ,374L ASK</t>
  </si>
  <si>
    <t>Lens İç,Geri Vites,Sol,374L ASK</t>
  </si>
  <si>
    <t>Reflektör, sis, Sol 374 L ASK</t>
  </si>
  <si>
    <t>Reflektör, sis, Sağ 374 L ASK</t>
  </si>
  <si>
    <t>Lens Dış Şeffaf,Sag,374L ASK</t>
  </si>
  <si>
    <t>Lens İç,Sis,Sağ,374L ASK</t>
  </si>
  <si>
    <t>Lens İç,Sis,Sol,374L ASK</t>
  </si>
  <si>
    <t>Kırık, ABS-HT, Gri</t>
  </si>
  <si>
    <t>Lens,Sağ,Naturel,İveco,Ön Sinyal</t>
  </si>
  <si>
    <t>Lens,Sol,Naturel,İveco,Ön Sinyal</t>
  </si>
  <si>
    <t>Gövde,Sağ,İveco,Ön Sinyal</t>
  </si>
  <si>
    <t>Gövde,Sol,İveco,Ön Sinyal</t>
  </si>
  <si>
    <t>Lens Dış Şeffaf,Sağ,681N ASK</t>
  </si>
  <si>
    <t>Lens Dış Şeffaf,Sol,681N ASK</t>
  </si>
  <si>
    <t>Seperatör AS 950</t>
  </si>
  <si>
    <t>Lens İç,Pozisyon,Sağ,681N ASK(EMG'den tedarik ediliyor)</t>
  </si>
  <si>
    <t>Lens İç,Pozisyon,Sol,681N ASK(EMG'den tedarik ediliyor)</t>
  </si>
  <si>
    <t>Lens İç,Sinyal,Sağ,681N ASK(EMG'den tedarik ediliyor)</t>
  </si>
  <si>
    <t>Lens İç,Sinyal,Sol,681N ASK(EMG'den tedarik ediliyor)</t>
  </si>
  <si>
    <t>Lens İç,Geri Vites,Sağ,681N ASK</t>
  </si>
  <si>
    <t>Lens İç,Geri Vites,Sol,681N ASK</t>
  </si>
  <si>
    <t>Lens İç,Sis,Sağ,681N ASK</t>
  </si>
  <si>
    <t>Lens İç,Sis,Sol,681N ASK</t>
  </si>
  <si>
    <t>Plastik Reflektör,AS 950</t>
  </si>
  <si>
    <t>Reflektör, sis, Sol 681N Ask</t>
  </si>
  <si>
    <t>Reflektör, sis, Sağ 681N Ask</t>
  </si>
  <si>
    <t>Ask,Gövde,V227,Sağ,Ayg.T.</t>
  </si>
  <si>
    <t>Ask,Gövde,V227,Sol,Ayg.T.</t>
  </si>
  <si>
    <t>Lens İç,V227,Sağ</t>
  </si>
  <si>
    <t>Lens İç,V227,Sol</t>
  </si>
  <si>
    <t>Lens Naturel,V227,Sağ</t>
  </si>
  <si>
    <t>Lens Naturel,V227,Sol</t>
  </si>
  <si>
    <t>Lens Kırmızı Toplayıcı,V227,Sağ</t>
  </si>
  <si>
    <t>Lens Kırmızı Toplayıcı,V227,Sol</t>
  </si>
  <si>
    <t>Plastik Tıpa</t>
  </si>
  <si>
    <t>Gövde Komple Sağ,L.84 Ask</t>
  </si>
  <si>
    <t>Gövde Komple Sol,L.84 Ask</t>
  </si>
  <si>
    <t>Yan Çıta,Sağ,R.Megane-2 Ask</t>
  </si>
  <si>
    <t>Yan Çıta,Sol,R.Megane-2 Ask</t>
  </si>
  <si>
    <t>ASA KIRMIZI, SUNPET RED 5014046 KIRIK</t>
  </si>
  <si>
    <t>Yalıtım burçu</t>
  </si>
  <si>
    <t>Yalıtım burç</t>
  </si>
  <si>
    <t>LENS NSL 3300</t>
  </si>
  <si>
    <t>Turuncu Lens</t>
  </si>
  <si>
    <t>Kontak Duyu</t>
  </si>
  <si>
    <t>Braket B,Sol,Kopmle,001A Ask</t>
  </si>
  <si>
    <t>Gövde NSL 3300 lacikert</t>
  </si>
  <si>
    <t>Refleks Lens  Signum  sol</t>
  </si>
  <si>
    <t>Refleks lens sağ</t>
  </si>
  <si>
    <t>Dış Lens Ø90 Drl Ledli</t>
  </si>
  <si>
    <t>Reflektör L LL O.OBERFLAECHBEH</t>
  </si>
  <si>
    <t>Reflektör R LL O.OBERFLAECHBEH</t>
  </si>
  <si>
    <t>Çerçeve SWL OPEL Sol</t>
  </si>
  <si>
    <t>Çerçeve SWL OPEL Sağ</t>
  </si>
  <si>
    <t>Çerçeve HDL OPEL Sol</t>
  </si>
  <si>
    <t>Çerçeve HDL OPEL Sağ</t>
  </si>
  <si>
    <t>Çerçeve Signum Sol</t>
  </si>
  <si>
    <t>Çerçeve Signum Sağ</t>
  </si>
  <si>
    <t>GÖVDE,KABLOLU,SIDE MARKER</t>
  </si>
  <si>
    <t>LENS,SIDE MARKER</t>
  </si>
  <si>
    <t>Plastik Bağlantı Çerçevesi</t>
  </si>
  <si>
    <t>LENS,SİS,Ø98 ASK,AYG</t>
  </si>
  <si>
    <t>LENS,GERİVİTES,Ø98 ASK,AYG</t>
  </si>
  <si>
    <t>Reflektör W211 Elegant Sag</t>
  </si>
  <si>
    <t>Reflektör W211M Elegant Sag</t>
  </si>
  <si>
    <t>Reflektör W211M Avangart Sag</t>
  </si>
  <si>
    <t>Ara çerçeve,Ø130 H,Farbalux</t>
  </si>
  <si>
    <t>Gövde Komple,Sol,Bagaj,L38</t>
  </si>
  <si>
    <t>Gövde Komple,Sağ,Bagaj,L38</t>
  </si>
  <si>
    <t>Gövde Komple,Sol,Çamurluk,L38</t>
  </si>
  <si>
    <t>Gövde Komple,Sağ,Çamurluk,L38</t>
  </si>
  <si>
    <t>İç Lens,Optik,Sol,Bagaj,L38</t>
  </si>
  <si>
    <t>Yan refleks Sol S211 SWL</t>
  </si>
  <si>
    <t>Yan refleks Sağ S211 SWL</t>
  </si>
  <si>
    <t>Refleks Sag S211 HDL</t>
  </si>
  <si>
    <t>optik lens ZAFIRA sağ BL/SL (Küçük)</t>
  </si>
  <si>
    <t>Plastik,Reflektör,Sol,Bagaj,L38</t>
  </si>
  <si>
    <t>Plastik,Reflektör,Sol,Bagaj,L38,Sağ Direksiyon</t>
  </si>
  <si>
    <t>Plastik,Reflektör,Sağ,Bagaj,L38</t>
  </si>
  <si>
    <t>Plastik,Reflektör,Sol,Çamurluk,L38</t>
  </si>
  <si>
    <t>Plastik,Reflektör,Sağ,Çamurluk,L38</t>
  </si>
  <si>
    <t>İç Lens,Sol,Stop,Çamurluk,L38</t>
  </si>
  <si>
    <t>İç Lens,Sağ,Stop,Çamurluk,L38</t>
  </si>
  <si>
    <t>Yan Çıta,Sol,Çamurluk,L38,ASK</t>
  </si>
  <si>
    <t>Yan Çıta,Sağ,Çamurluk,L38,ASK</t>
  </si>
  <si>
    <t>Gövde Sol,KC4,ASK</t>
  </si>
  <si>
    <t>Gövde Sağ,KC4,ASK</t>
  </si>
  <si>
    <t>Gövde Sol,NC-4,ASK</t>
  </si>
  <si>
    <t>Gövde Sağ,NC-4,ASK</t>
  </si>
  <si>
    <t>Gövde Sol,Setra ASK</t>
  </si>
  <si>
    <t>Gövde Sağ,Setra ASK</t>
  </si>
  <si>
    <t>Gövde Üst,Delikli,Mercekli Far</t>
  </si>
  <si>
    <t>Gövde Alt,Tırnaklı,Mercekli Far</t>
  </si>
  <si>
    <t>Gövde Alt,Tırnaklı,12V,Ayar Motorlu,Mercekli Far</t>
  </si>
  <si>
    <t>Ara Çerçeve,Mercekli Far</t>
  </si>
  <si>
    <t>Gövde Üst,Mercekli Far</t>
  </si>
  <si>
    <t>Gövde Üst,Kısa Hüzme,Plakalı,Mercekli Far</t>
  </si>
  <si>
    <t>Gövde Üst,Kısa Hüzme,Ledli,Mercekli Far</t>
  </si>
  <si>
    <t>Gövde Alt,Tırnaklı,Komple,24V,Ayar Motorlu,Mercekli Far</t>
  </si>
  <si>
    <t>Ara Çerçeve,Led Delikli,Mercekli Far</t>
  </si>
  <si>
    <t>Ara Çerçeve,Led Delikli,Kapsız,Mercekli Far</t>
  </si>
  <si>
    <t>Lens Tutucu,FB</t>
  </si>
  <si>
    <t>Dış Lens,Led,Enj.Baskı,Mercekli Far</t>
  </si>
  <si>
    <t>Gövde Alt,Tırnaklı,Mercekli Far (1251 kalıbı)</t>
  </si>
  <si>
    <t>Gövde Alt,Tırnaklı,12V,A.Mot.Merc.Far (1252 Kalıbı)</t>
  </si>
  <si>
    <t>Gövde Alt,Tırnaklı,24V,A.Mot.Merc.Far (1257 Kalıbı)</t>
  </si>
  <si>
    <t>Reflektör Sol,Sinyal+Pozisyon,Otokar</t>
  </si>
  <si>
    <t>Reflektör Sağ,Sinyal+Pozisyon,Otokar</t>
  </si>
  <si>
    <t>Lens Sol,Sinyal+Pozisyon,Otokar</t>
  </si>
  <si>
    <t>Lens Sağ,Sinyal+Pozisyon,Otokar</t>
  </si>
  <si>
    <t>Kapsül</t>
  </si>
  <si>
    <t>Dış Lens Ø55 Ayg Şeffaf</t>
  </si>
  <si>
    <t>Gövde Ön Sag,Side Marker,Ford</t>
  </si>
  <si>
    <t>Gövde Arka Sag,Side Marker,Ford</t>
  </si>
  <si>
    <t>Gövde,Komple,Sağ,Bagaj,B32</t>
  </si>
  <si>
    <t>Gövde,Komple,Sol,Bagaj,B32</t>
  </si>
  <si>
    <t>290B Gövde Base Sag</t>
  </si>
  <si>
    <t>Light Guide Sol Üst W205 Ask</t>
  </si>
  <si>
    <t>Light Guide Sag Üst W205 Ask</t>
  </si>
  <si>
    <t>VW310 Neo Housing Sag</t>
  </si>
  <si>
    <t>Base, Sağ, 147B Bagaj Sissiz</t>
  </si>
  <si>
    <t>Base, Sol, 147B Bagaj</t>
  </si>
  <si>
    <t>Base, Sağ, 147B Bagaj</t>
  </si>
  <si>
    <t>Base, Sol, 147B Bagaj, Sissiz</t>
  </si>
  <si>
    <t>Lens Sag unistop3</t>
  </si>
  <si>
    <t>Reflektör Sol unistop3 12V</t>
  </si>
  <si>
    <t>Reflektör Sag unistop3 12V</t>
  </si>
  <si>
    <t>Gövde, Unistop 4, V-1</t>
  </si>
  <si>
    <t>Lens, Unistop 4</t>
  </si>
  <si>
    <t>İç Lens DF, Unistop 4</t>
  </si>
  <si>
    <t>Reflex-Retro, Unistop4-5</t>
  </si>
  <si>
    <t>Reflektör, Unistop 4</t>
  </si>
  <si>
    <t>Gövde, Unistop 4, V-2</t>
  </si>
  <si>
    <t>İç Lens DF, Unistop 4, Kırmızı</t>
  </si>
  <si>
    <t>Cover Gövde Sol unistop3 ICA</t>
  </si>
  <si>
    <t>Cover Gövde Sağ unistop3 ICA</t>
  </si>
  <si>
    <t>Bliss Kapak Sol unistop3 ICA</t>
  </si>
  <si>
    <t>Bliss Kapak Sağ unistop3 ICA</t>
  </si>
  <si>
    <t>LENS,SİNYAL,SOL-1,R1,ASK</t>
  </si>
  <si>
    <t>LENS,SİNYAL,SAG-1,R1,ASK</t>
  </si>
  <si>
    <t>GÖVDE,SOL,R1,ASK</t>
  </si>
  <si>
    <t>GÖVDE,SAĞ,R1,ASK</t>
  </si>
  <si>
    <t>LENS,KIRMIZI,SOL,KOMPLE,R1,ASK</t>
  </si>
  <si>
    <t>LENS,SİNYAL,SOL-2,R1,ASK</t>
  </si>
  <si>
    <t>LENS,GERİ VİTES,SOL-3,R1,ASK</t>
  </si>
  <si>
    <t>LENS,KIRMIZI,SAG,KOMPLE,R1,ASK</t>
  </si>
  <si>
    <t>LENS,SİNYAL,SAG-2,R1,ASK</t>
  </si>
  <si>
    <t>LENS,GERİ VİTES,SAG-3,R1,ASK</t>
  </si>
  <si>
    <t>LENS,KIRMIZI,SOL,R1,ASK,ÜST</t>
  </si>
  <si>
    <t>LENS,KIRMIZI,SAĞ,R1,ASK,ÜST</t>
  </si>
  <si>
    <t>GÖVDE,KOMPLE,SOL,R1,ASK,ÜST</t>
  </si>
  <si>
    <t>GÖVDE,KOMPLE,SAĞ,R1,ASK,ÜST</t>
  </si>
  <si>
    <t>LENS,NATUREL,SOL</t>
  </si>
  <si>
    <t>LENS,NATUREL,SAĞ</t>
  </si>
  <si>
    <t>GÖVDE SAPLAMALI,SOL,R1 ASK,YAN CITA</t>
  </si>
  <si>
    <t>GÖVDE SAPLAMALI,SAĞ,R1 ASK,YAN CITA</t>
  </si>
  <si>
    <t>GÖVDE,SOL,CİTARO,MOPF,ASK</t>
  </si>
  <si>
    <t>GÖVDE,SAĞ,CİTARO,MOPF,ASK</t>
  </si>
  <si>
    <t>Lens,Kırmızı,Ford Otosan HMBL</t>
  </si>
  <si>
    <t>Gövde,Komple,Ford Otosan HMBL</t>
  </si>
  <si>
    <t>İç Lens,Naturel,Ford Otosan HMBL</t>
  </si>
  <si>
    <t>İç Lens,Şeffaf,L.84,HMBL</t>
  </si>
  <si>
    <t>Lens,Kırmızı,Komple,L.84 HMBL</t>
  </si>
  <si>
    <t>İç Lens L84</t>
  </si>
  <si>
    <t>Lens,Yan Sinyal,Ford Otosan, Turuncu</t>
  </si>
  <si>
    <t>Lens,Yan Sinyal,V227 Connect Facelift,NA</t>
  </si>
  <si>
    <t>Gövde ,MCV 225</t>
  </si>
  <si>
    <t>R1 Sol Ara Parça</t>
  </si>
  <si>
    <t>R1 Sağ Ara Parça</t>
  </si>
  <si>
    <t>R1 Sol Maske</t>
  </si>
  <si>
    <t>R1 Sağ Maske</t>
  </si>
  <si>
    <t>Lens, Geri Vites, Sol, Füme</t>
  </si>
  <si>
    <t>Lens, Geri Vites, Sağ, Füme</t>
  </si>
  <si>
    <t>Lens, Sinyal, Sol, Füme</t>
  </si>
  <si>
    <t>Lens, Sinyal, Sağ, Füme</t>
  </si>
  <si>
    <t>Lens, Kırmızı, Sol, Komple</t>
  </si>
  <si>
    <t>Lens, Geri Vites, Sol, Füme, Setra ASK</t>
  </si>
  <si>
    <t>Lens, Geri Vites, Sağ, Füme, Setra ASK</t>
  </si>
  <si>
    <t>Lens, Sinyal, Sol, Füme, Setra ASK</t>
  </si>
  <si>
    <t>Lens, Sinyal, Sağ, Füme, Setra ASK</t>
  </si>
  <si>
    <t>Lens, Kırmızı, Sol, Komple, Setra ASK</t>
  </si>
  <si>
    <t>Lens, Kırmızı, Sağ, Komple, Setra ASK</t>
  </si>
  <si>
    <t>İç Lens, Sol, C2</t>
  </si>
  <si>
    <t>İç Lens, Sağ, C2</t>
  </si>
  <si>
    <t>Lens, Sol-3, Geri Vites, C2</t>
  </si>
  <si>
    <t>Lens, Sağ-3, Geri Vites, C2</t>
  </si>
  <si>
    <t>Lens, Sol-2, Sinyal, C2</t>
  </si>
  <si>
    <t>Lens, Sağ-2, Sinyal, C2</t>
  </si>
  <si>
    <t>Lens, Sol-1, Park, C2</t>
  </si>
  <si>
    <t>Lens, Sağ-1, Park, C2</t>
  </si>
  <si>
    <t>Dış Lens, C2, Sol</t>
  </si>
  <si>
    <t>Dış Lens, C2, Sag</t>
  </si>
  <si>
    <t>Dış Lens, Sağ, 595L/270A RCL</t>
  </si>
  <si>
    <t>Lens, Left, 560A Fender, High</t>
  </si>
  <si>
    <t>Lens, Right, 560A Fender, High</t>
  </si>
  <si>
    <t>Ara Çerçeve B, Sol, 466A, Far+Sinyal</t>
  </si>
  <si>
    <t>Ara Çerçeve B, Sağ, 466A, Far+Sinyal</t>
  </si>
  <si>
    <t>Çerçeve, Sol, 560A, Bagaj, High</t>
  </si>
  <si>
    <t>Çerçeve, Sağ, 560A, Bagaj, High</t>
  </si>
  <si>
    <t>Lens, Left, 560A Trunk, High</t>
  </si>
  <si>
    <t>Lens, Right, 560A Trunk, High</t>
  </si>
  <si>
    <t>Ara Çerçeve-C, Sol, 147B Low, Far+Sin.</t>
  </si>
  <si>
    <t>Ara Çerçeve-C, Sağ, 147B Low, Far+Sin.</t>
  </si>
  <si>
    <t>LEFT Lens, Stop, Sol, V362 ASK</t>
  </si>
  <si>
    <t>RIGHT Lens, Stop, Sag, V362 ASK</t>
  </si>
  <si>
    <t>İç Lens-H, Sag, 560A, Çamurluk, High</t>
  </si>
  <si>
    <t>İÇ LENS,ÜST,SOL,S205 SA ,ÇAMURLUK</t>
  </si>
  <si>
    <t>İÇ LENS,ÜST,SAĞ,S205 SA ,ÇAMURLUK</t>
  </si>
  <si>
    <t>İÇ LENS,ALT,SOL,S205 SA ,ÇAMURLUK</t>
  </si>
  <si>
    <t>İÇ LENS,ALT,SAĞ,S205 SA ,ÇAMURLUK</t>
  </si>
  <si>
    <t>ÇERÇEVE KAPAK,ÜST,SOL,S205 SA ,ÇAMURLUK</t>
  </si>
  <si>
    <t>ÇERÇEVE KAPAK,ÜST,SAĞ,S205 SA ,ÇAMURLUK</t>
  </si>
  <si>
    <t>ÇERÇEVE KAPAK,ALT,SOL,S205 SA ,ÇAMURLUK</t>
  </si>
  <si>
    <t>ÇERÇEVE KAPAK,ALT,SAĞ,S205 SA ,ÇAMURLUK</t>
  </si>
  <si>
    <t>Plastik Kapsül,Küresel</t>
  </si>
  <si>
    <t>Tutucu Plastik</t>
  </si>
  <si>
    <t>Plastik,Tutucu,Ref.Yatay</t>
  </si>
  <si>
    <t>Plastik Tapa,Hava filtres,Nipel</t>
  </si>
  <si>
    <t>Tapa,Koruyucu</t>
  </si>
  <si>
    <t>Tapa,Küçük</t>
  </si>
  <si>
    <t>Plastik Kapsül,Ø6,Beyaz</t>
  </si>
  <si>
    <t>Plastik Kapsül,Ø6,Siyah</t>
  </si>
  <si>
    <t>Baglantı Braketi,Mercekli</t>
  </si>
  <si>
    <t>C2 Evobus Alt Sol Lens LO-LH-240</t>
  </si>
  <si>
    <t>C2 Evobus Alt Sağ Lens LO-RH-241</t>
  </si>
  <si>
    <t>C2 Evobus Üst Sol Lens UP-LH-260</t>
  </si>
  <si>
    <t>C2 Evobus Üst Sağ Lens UP-RH-261</t>
  </si>
  <si>
    <t>C2 Evobus Alt Sol Sinyal Çerçeve LO-LH-240</t>
  </si>
  <si>
    <t>C2 Evobus Alt Sag Sinyal Çerçeve LO-RH-241</t>
  </si>
  <si>
    <t>C2 Evobus Üst Sol Sinyal Çerçeve UP-LH-260</t>
  </si>
  <si>
    <t>C2 Evobus Üst Sag Sinyal Çerçeve UP-RH-261</t>
  </si>
  <si>
    <t>C2 Evobus Alt Sol Sinyal Reflektor L-L</t>
  </si>
  <si>
    <t>C2 Evobus Alt Sağ Sinyal Reflektör L-R</t>
  </si>
  <si>
    <t>C2 Evobus Üst Sol Sinyal Reflektör U-L</t>
  </si>
  <si>
    <t>C2 Evobus Üst Sağ Sinyal Reflektör U-R</t>
  </si>
  <si>
    <t>C2 Evobus ana bezel Sag</t>
  </si>
  <si>
    <t>C2 Evobus Gövde Sag</t>
  </si>
  <si>
    <t>Lens Sol W221 Ece</t>
  </si>
  <si>
    <t>Lens Sağ W221 Ece</t>
  </si>
  <si>
    <t>Optik Lens Sol W221 SL/BL Ece</t>
  </si>
  <si>
    <t>Optik Lens Sağ W221 SL/BL Ece</t>
  </si>
  <si>
    <t>Optik Lens Sol W221 NSL</t>
  </si>
  <si>
    <t>Optik Lens Sağ W221 NSL</t>
  </si>
  <si>
    <t>Reflektör W221 Sol ROH</t>
  </si>
  <si>
    <t>Reflektör W221 Sag ROH</t>
  </si>
  <si>
    <t>Çerçeve Sol W221</t>
  </si>
  <si>
    <t>Çerçeve Sağ W221</t>
  </si>
  <si>
    <t>Kapak Sol W221 SML ECE</t>
  </si>
  <si>
    <t>Kapak Sag W221 SML ECE</t>
  </si>
  <si>
    <t>Lens Sol W221 Sae</t>
  </si>
  <si>
    <t>Lens Sağ W221 Sae</t>
  </si>
  <si>
    <t>Optik Lens Sol W221 SL/BL Sae</t>
  </si>
  <si>
    <t>Optik Lens Sağ W221 SL/BL Sae</t>
  </si>
  <si>
    <t>Lens W204 ECE/SAE Sol</t>
  </si>
  <si>
    <t>Lens W204 ECE/SAE Sağ</t>
  </si>
  <si>
    <t>Reflektör W204 Sol + enjektör</t>
  </si>
  <si>
    <t>Reflektör W204 Sağ + enjektör</t>
  </si>
  <si>
    <t>Optik Lens Sol W204 ECE/SAE</t>
  </si>
  <si>
    <t>Optik Lens Sağ W204 ECE/SAE</t>
  </si>
  <si>
    <t>Optik Lens W204 Sol ECE/SAE</t>
  </si>
  <si>
    <t>Optik Lens W204 Sağ ECE/SAE</t>
  </si>
  <si>
    <t>Reflektör W204 Sol SP + Enjektör</t>
  </si>
  <si>
    <t>Reflektör W204 Sağ SP + Enjektör</t>
  </si>
  <si>
    <t>Reflektör W204 SP Sol</t>
  </si>
  <si>
    <t>Reflektör W204 SP Sağ</t>
  </si>
  <si>
    <t>Işık Tüpü W204</t>
  </si>
  <si>
    <t>Başlık W212 SWL</t>
  </si>
  <si>
    <t>Sarı Balon satışı yapıalcak W211</t>
  </si>
  <si>
    <t>Lens W204 Sol</t>
  </si>
  <si>
    <t>Lens W204 Sağ</t>
  </si>
  <si>
    <t>Ampul Tutucu Sol W204</t>
  </si>
  <si>
    <t>Ampul Tutucu Sağ W204</t>
  </si>
  <si>
    <t>Lens S204 Sol SP</t>
  </si>
  <si>
    <t>Lens S204 Sağ SP</t>
  </si>
  <si>
    <t>Optik Lens S204 SP Sol</t>
  </si>
  <si>
    <t>Optik Lens S204 SP Sag</t>
  </si>
  <si>
    <t>Optik Lens S204 L</t>
  </si>
  <si>
    <t>Optik Lens S204 R</t>
  </si>
  <si>
    <t>Optik Lens S204 Spor Sol NSL</t>
  </si>
  <si>
    <t>Optik Lens S204 Spor Sag NSL</t>
  </si>
  <si>
    <t>Reflektör S204 sol + enjektör</t>
  </si>
  <si>
    <t>Lens S204 Sol</t>
  </si>
  <si>
    <t>Lens S204 Sağ</t>
  </si>
  <si>
    <t>Kapak S204 Sport Sol</t>
  </si>
  <si>
    <t>Kapak S204 Sport Sag</t>
  </si>
  <si>
    <t>Reflektör S204 Sol SP</t>
  </si>
  <si>
    <t>Reflektör S204 Sağ SP</t>
  </si>
  <si>
    <t xml:space="preserve">Optik Lens S204 Sol </t>
  </si>
  <si>
    <t>Optik Lens S204 Sağ</t>
  </si>
  <si>
    <t>Reflektör S204 Sol SP + enjektör</t>
  </si>
  <si>
    <t>Reflektör S204 Sağ SP + enjektör</t>
  </si>
  <si>
    <t>Lens X204 SP ECE/SAE Sol</t>
  </si>
  <si>
    <t>Lens X204 SP ECE/SAE Sag</t>
  </si>
  <si>
    <t>Optik Lens X204 SP Sol ECE/SAE BL/SL</t>
  </si>
  <si>
    <t>Optik Lens X204 SP Sag ECE/SAE BL/SL</t>
  </si>
  <si>
    <t>Optik Lens X204 Sol ECE/SAE</t>
  </si>
  <si>
    <t>Optik Lens X204 Sağ ECE/SAE</t>
  </si>
  <si>
    <t>Optik Lens X204 SP Sol ECE/SAE NSL/S</t>
  </si>
  <si>
    <t>Optik Lens X204 SP Sag ECE/SAE NSL/S</t>
  </si>
  <si>
    <t>Vidali Reflektör X204 Sol</t>
  </si>
  <si>
    <t>Vidali Reflektör X204 Sağ</t>
  </si>
  <si>
    <t>Vidali Reflektör X204 Sol SP</t>
  </si>
  <si>
    <t>Vidali Reflektör X204 Sağ SP</t>
  </si>
  <si>
    <t>Optik Lens X204 SP Sol</t>
  </si>
  <si>
    <t>Optik Lens X204 SP Sağ</t>
  </si>
  <si>
    <t>Led Çerçeve Sol X204/SP</t>
  </si>
  <si>
    <t>Led Çerçeve Sag  X204/SP</t>
  </si>
  <si>
    <t>Led Reflektör + Çerçeve X204 Sol</t>
  </si>
  <si>
    <t>Led Reflektör + Çerçeve X204 Sag</t>
  </si>
  <si>
    <t>Kapak Şeffaf Sol X204/SP</t>
  </si>
  <si>
    <t>Kapak Şeffaf Sag X204</t>
  </si>
  <si>
    <t>Lens Sol ECE/SAE W212</t>
  </si>
  <si>
    <t>Lens Sağ ECE/SAE W212</t>
  </si>
  <si>
    <t>Optik Lens Sol SWL W212</t>
  </si>
  <si>
    <t>Optik Lens Sağ SWL W212</t>
  </si>
  <si>
    <t>Lens W212 Sol SWL</t>
  </si>
  <si>
    <t>Lens W212 SWL Sağ</t>
  </si>
  <si>
    <t>Lens W212 Sol SWL şeffaf</t>
  </si>
  <si>
    <t>Lens W212 Sağ SWL şeffaf</t>
  </si>
  <si>
    <t>Gövde W212 Sol SWL</t>
  </si>
  <si>
    <t>Gövde W212 Sag SWL</t>
  </si>
  <si>
    <t>Reflektör W212 Sol SWL</t>
  </si>
  <si>
    <t>Reflektör W212 Sağ SWL</t>
  </si>
  <si>
    <t>Çerçeve W212 Sol SWL</t>
  </si>
  <si>
    <t>Çerçeve W212 Sağ SWL</t>
  </si>
  <si>
    <t>Reflektör W212 Sol SWL/LP</t>
  </si>
  <si>
    <t>Reflektör W212 Sağ SWL/LP</t>
  </si>
  <si>
    <t>Lens Sol W212</t>
  </si>
  <si>
    <t>Lens Sağ W212</t>
  </si>
  <si>
    <t>Lens W212 Sol SWL Art</t>
  </si>
  <si>
    <t>Lens W212 SWL Sağ Art</t>
  </si>
  <si>
    <t>Lens W212 Sol SWL kırmızı</t>
  </si>
  <si>
    <t>Lens W212 Sağ SWL kırmızı</t>
  </si>
  <si>
    <t>Lens Sol HDL W212</t>
  </si>
  <si>
    <t>Lens Sağ HDL W212</t>
  </si>
  <si>
    <t>Lens W212 Sol HDL Art</t>
  </si>
  <si>
    <t>Lens W212 Sağ HDL Art</t>
  </si>
  <si>
    <t>Gövde W212 Sol HDL</t>
  </si>
  <si>
    <t>Gövde W212 Sağ HDL</t>
  </si>
  <si>
    <t>Reflektör W212 Sol HDL</t>
  </si>
  <si>
    <t>Reflektör W212 Sağ HDL</t>
  </si>
  <si>
    <t>Optik Lens W212 Sol HDL</t>
  </si>
  <si>
    <t>Optik Lens W212 Sag HDL</t>
  </si>
  <si>
    <t>Lens 254 kırmızı ECE/SAE</t>
  </si>
  <si>
    <t>Kapak RS 254</t>
  </si>
  <si>
    <t>Lens Sag HDL W212</t>
  </si>
  <si>
    <t>Lens W212 Sol HDL</t>
  </si>
  <si>
    <t>Lens W212 Sağ HDL</t>
  </si>
  <si>
    <t>Lens C/A207 ECE/SAE Sol SWL</t>
  </si>
  <si>
    <t>Lens C/A207 ECE/SAE Sag SWL</t>
  </si>
  <si>
    <t>Lens C/A207 Sol SWL</t>
  </si>
  <si>
    <t>Lens C/A207 Sağ SWL</t>
  </si>
  <si>
    <t>Gövde C/A207 Sol SWL</t>
  </si>
  <si>
    <t>Gövde C/A207 Sag SWL</t>
  </si>
  <si>
    <t>Reflektör C/A207 Sol SWL</t>
  </si>
  <si>
    <t>Reflektör C/A207 Sağ SWL</t>
  </si>
  <si>
    <t>Çerçeve C/A207 Sol SWL</t>
  </si>
  <si>
    <t>Çerçeve C/A207 Sağ SWL</t>
  </si>
  <si>
    <t>Lens C/A207 ECE/SAE Sol HDL</t>
  </si>
  <si>
    <t>Lens C/A207 ECE/SAE Sağ HDL</t>
  </si>
  <si>
    <t>Lens C/A207 Sol HDL</t>
  </si>
  <si>
    <t>Lens C/A207 Sağ HDL</t>
  </si>
  <si>
    <t>Gövde Sol HDL C/A207</t>
  </si>
  <si>
    <t>Gövde Sağ HDL C/A207</t>
  </si>
  <si>
    <t>Reflektör C/A207 Sol HDL</t>
  </si>
  <si>
    <t>Reflektör C/A207 Sağ HDL</t>
  </si>
  <si>
    <t>Optik lens C/A207 Sol HDL</t>
  </si>
  <si>
    <t>Optik lens C/A207 Sağ HDL</t>
  </si>
  <si>
    <t>Kırık ABS HT Siyah</t>
  </si>
  <si>
    <t>Siyah Gövde Audi Coupe 1523 RS</t>
  </si>
  <si>
    <t>Gövde SML 3500(24V 1.5W-yatay-gri)</t>
  </si>
  <si>
    <t>Lightguide Mounting Peace HV Sag</t>
  </si>
  <si>
    <t>130D,BRACKET-SOL,FAR+SİNYAL,LOW</t>
  </si>
  <si>
    <t>KIRIK PA 6 Siyah GF 35, LG Lumid GP 2350A - KA20</t>
  </si>
  <si>
    <t>130D,BRACKET-SAĞ,FAR+SİNYAL,LOW</t>
  </si>
  <si>
    <t>130D,BRACKET-SAG,FAR+SİNYAL,HİGH</t>
  </si>
  <si>
    <t>Stellantis D85-OPTICAL BODY TL BL FEP L</t>
  </si>
  <si>
    <t>Stellantis D85-OPTICAL BODY TL BL FEP R</t>
  </si>
  <si>
    <t>DIŞ LENS,SOL,W204 MP</t>
  </si>
  <si>
    <t>DIŞ LENS,SAĞ,W204 MP</t>
  </si>
  <si>
    <t>INNER LENS,W204MP/S204MP ASK</t>
  </si>
  <si>
    <t>GÖVDE,SOL,W204 MP,(VİDALI)</t>
  </si>
  <si>
    <t>GÖVDE,SAĞ,W204 MP,(VİDALI)</t>
  </si>
  <si>
    <t>REFLEKTÖR,SOL,W204 MP</t>
  </si>
  <si>
    <t>REFLEKTÖR,SAĞ,W204 MP</t>
  </si>
  <si>
    <t>COVER,SİNYAL,SOL,W204 MP</t>
  </si>
  <si>
    <t>COVER,SİNYAL,SAĞ,W204 MP</t>
  </si>
  <si>
    <t>REFLEKTÖR,SOL,W204 MP SML</t>
  </si>
  <si>
    <t>REFLEKTÖR,SAĞ,W204 MP SML</t>
  </si>
  <si>
    <t>REFLEKTÖR,SOL,W204 MP SL</t>
  </si>
  <si>
    <t>REFLEKTÖR,SAĞ,W204 MP SL</t>
  </si>
  <si>
    <t>LENS,REFLEX,SOL,W204 MP</t>
  </si>
  <si>
    <t>LENS,REFLEX,SAĞ,W204 MP</t>
  </si>
  <si>
    <t>LENS,SOL,S204 MP</t>
  </si>
  <si>
    <t>LENS,SAĞ,S204 MP</t>
  </si>
  <si>
    <t>GÖVDE,SOL,S204 MP</t>
  </si>
  <si>
    <t>GÖVDE,SAĞ,S204 MP</t>
  </si>
  <si>
    <t>REFLEKTOR,S204 MP,L</t>
  </si>
  <si>
    <t>REFLEKTOR,S204 MP,R</t>
  </si>
  <si>
    <t>KAPAK,S204 MP,L,FRA</t>
  </si>
  <si>
    <t>KAPAK,S204 MP,R,FRA</t>
  </si>
  <si>
    <t>REFLEKS LENS,S204 MP,L</t>
  </si>
  <si>
    <t>REFLEKS LENS,S204 MP,R</t>
  </si>
  <si>
    <t>REFLEKTÖR,SOL,S204 MP SML</t>
  </si>
  <si>
    <t>REFLEKTÖR,SAĞ,S204 MP SML</t>
  </si>
  <si>
    <t>REFLEKTÖR,SOL,S204 MP SL</t>
  </si>
  <si>
    <t>REFLEKTÖR,SAĞ,S204 MP SL</t>
  </si>
  <si>
    <t>IŞIK TÜPÜ,SOL,W204 MP SML</t>
  </si>
  <si>
    <t>IŞIK TÜPÜ,SAĞ,W204 MP SML</t>
  </si>
  <si>
    <t>IŞIK TÜPÜ,SOL,W204 MP SL</t>
  </si>
  <si>
    <t>IŞIK TÜPÜ,SAĞ,W204 MP SL</t>
  </si>
  <si>
    <t>IŞIK TÜPÜ,SOL,S204 MP SML</t>
  </si>
  <si>
    <t>IŞIK TÜPÜ,SAĞ,S204 MP SML</t>
  </si>
  <si>
    <t>IŞIK TÜPÜ,SOL,S204 MP SL</t>
  </si>
  <si>
    <t>IŞIK TÜPÜ,SAĞ,S204 MP SL</t>
  </si>
  <si>
    <t>ÇERÇEVE KAPAK,ÜST,SOL,S205 SA ,BAGAJ</t>
  </si>
  <si>
    <t>ÇERÇEVE KAPAK,ÜST,SAĞ,S205 SA ,BAGAJ</t>
  </si>
  <si>
    <t>ÇERÇEVE KAPAK,ALT,SOL,S205 SA ,BAGAJ</t>
  </si>
  <si>
    <t>ÇERÇEVE KAPAK,ALT,SAĞ,S205 SA ,BAGAJ</t>
  </si>
  <si>
    <t>ÇERÇEVE KAPAK,ALT,SOL,S205 SAE ,ÇAMURLUK</t>
  </si>
  <si>
    <t>ÇERÇEVE KAPAK,ALT,SAĞ,S205 SAE ,ÇAMURLUK</t>
  </si>
  <si>
    <t>ÇERÇ.KAPAK,ÜST,SOL,S205 SA ,ÇAMURLUK,ULO</t>
  </si>
  <si>
    <t>ÇERÇ.KAPAK,ÜST,SAĞ,S205 SA ,ÇAMURLUK,ULO</t>
  </si>
  <si>
    <t>ÇERÇEVE KAPAK,ÜST,SOL,S205,SA,ÇAM,MOPF</t>
  </si>
  <si>
    <t>ÇERÇEVE KAPAK,ÜST,SAĞ,S205 SA,ÇAM,MOPF</t>
  </si>
  <si>
    <t>ÇER.KAP.ÜST,SOL,S205 SA MP,ÇAM.ULO</t>
  </si>
  <si>
    <t>ÇER.KAP.ÜST,SAĞ,S205 SA MP,ÇAM.ULO</t>
  </si>
  <si>
    <t>ÇERÇEVE KAPAK,ALT,SOL,S205 SAE,ÇAM,MOPF</t>
  </si>
  <si>
    <t>ÇERÇEVE KAPAK,ALT,SAĞ,S205 SAE ,ÇAM,MOPF</t>
  </si>
  <si>
    <t>ÇERÇEVE KAPAK,ÜST,SOL,S205 SA,BAGAJ,MOPF</t>
  </si>
  <si>
    <t>ÇERÇEVE KAPAK,ÜST,SAĞ,S205 SA,BAGAJ,MOPF</t>
  </si>
  <si>
    <t>ÇERÇEVE KAPAK,ALT,SOL,S205 SA,BAGAJ,MOPF</t>
  </si>
  <si>
    <t>ÇERÇEVE KAPAK,ALT,SAĞ,S205 SA,BAGAJ,MOPF</t>
  </si>
  <si>
    <t>GÖVDE,SOL,R4S Ph2 L</t>
  </si>
  <si>
    <t>GÖVDE,SAĞ,R4S Ph2 R</t>
  </si>
  <si>
    <t>GÖVDE,SOL,R4S Ph2,RHD L</t>
  </si>
  <si>
    <t>GÖVDE,SAĞ,R4S Ph2,RHD R</t>
  </si>
  <si>
    <t>GÖVDE,SOL,R4S Ph1 L</t>
  </si>
  <si>
    <t>GÖVDE,SOL,R4S Ph1 R</t>
  </si>
  <si>
    <t>GÖVDE,SOL,R4S Ph1,RHD L</t>
  </si>
  <si>
    <t>GÖVDE,SAĞ,R4S Ph1,RHD R</t>
  </si>
  <si>
    <t>LENS,SIDE MARKER, AMBER, MBT</t>
  </si>
  <si>
    <t>LENS,SIDE MARKER, KIRMIZI, MBT</t>
  </si>
  <si>
    <t>GÖVDE,KABLOLU,SIDE MARKER,MBT</t>
  </si>
  <si>
    <t>GÖVDE,SOKETLİ,SIDE MARKER,MBT</t>
  </si>
  <si>
    <t>PLASTIK ARA PARCA,MBT</t>
  </si>
  <si>
    <t>LENS,SIDE MARKER, CLEAR, MBT</t>
  </si>
  <si>
    <t>Seat SE310 PA TRP Cover Exterior Sol</t>
  </si>
  <si>
    <t>Seat SE310 PA TRP Cover Exterior Sağ</t>
  </si>
  <si>
    <t>ÇERÇEVE KAPAK,ALT,SOL,S205 SA,ÇAM,MOPF</t>
  </si>
  <si>
    <t>ÇERÇEVE KAPAK,ALT,SAĞ,S205 SA ,ÇAM,MOPF</t>
  </si>
  <si>
    <t>VW 492 TRP Logo İnner Lens L</t>
  </si>
  <si>
    <t>VW 492 TRP Logo İnner Lens R</t>
  </si>
  <si>
    <t>Bezel 2K Unistop-5</t>
  </si>
  <si>
    <t>Sis Kolimatör Unistop-5</t>
  </si>
  <si>
    <t>Stop Kolimatör Unistop-5</t>
  </si>
  <si>
    <t>Inner Lens Unistop-5</t>
  </si>
  <si>
    <t>Side Marker Lens Unistop-5</t>
  </si>
  <si>
    <t>Plaka Lambası Lens Unistop-5</t>
  </si>
  <si>
    <t>Dış Lens 2K Unistop-5</t>
  </si>
  <si>
    <t>Dış Lens Sağ 2K Unistop-5(Yazı Detayı Gelir ise Kullanılacak)</t>
  </si>
  <si>
    <t>Gövde Sol Unistop-5 V1</t>
  </si>
  <si>
    <t>Gövde Sağ Unistop-5 V1</t>
  </si>
  <si>
    <t>Gövde Sol Unistop-5 V2</t>
  </si>
  <si>
    <t>Gövde Sağ Unistop-5 V2</t>
  </si>
  <si>
    <t>Gövde Sol Unistop-5 V3</t>
  </si>
  <si>
    <t>Gövde Sağ Unistop-5 V3</t>
  </si>
  <si>
    <t>Gövde Unistop-5 V4</t>
  </si>
  <si>
    <t>Gövde Unistop-5 V5</t>
  </si>
  <si>
    <t>Gövde Unistop-5 V6</t>
  </si>
  <si>
    <t>W221 Ampul Tutucu Sag</t>
  </si>
  <si>
    <t>Mini U25 Housing Sag</t>
  </si>
  <si>
    <t>Reflektör,120x140,Terminalli,2'li</t>
  </si>
  <si>
    <t>Ayar Mekanizmasi,Komple,Dikey</t>
  </si>
  <si>
    <t>Ayar Mekanizması,Küçük,Komple</t>
  </si>
  <si>
    <t>Ayar Mekanizması,Büyük,Komple</t>
  </si>
  <si>
    <t>Mercek Ünitesi,Komple</t>
  </si>
  <si>
    <t>Refl.Uzun Hüzme+Spot Komple</t>
  </si>
  <si>
    <t>Şase,Komple,Sag,Kartal</t>
  </si>
  <si>
    <t>Şase,Komple,Sol,Kartal</t>
  </si>
  <si>
    <t>çerçeve,komple Unimog</t>
  </si>
  <si>
    <t>Saşe,Led,595L,Sağ,Ambalajlı</t>
  </si>
  <si>
    <t>Saşe,Led,595L,Sol,Ambalajlı</t>
  </si>
  <si>
    <t>Unistop1 Hazırlık,Temsa,Macun Çekme</t>
  </si>
  <si>
    <t>Tempra Gövde Hazırlığı sağ</t>
  </si>
  <si>
    <t>Tempra Gövde Hazırlığı sol</t>
  </si>
  <si>
    <t>Tempra Reflektör Hazırlığı sağ</t>
  </si>
  <si>
    <t>Tempra Reflektör Hazırlığı sol</t>
  </si>
  <si>
    <t>Reflektör Hazır.Otoyol İveco,Sağ</t>
  </si>
  <si>
    <t>Reflektör Hazır.Otoyol İveco,Sol</t>
  </si>
  <si>
    <t>Reflektör Macunlu Hazırlık,Ford İveco,Sağ</t>
  </si>
  <si>
    <t>Reflektör Macunlu Hazırlık,Ford İveco,Sol</t>
  </si>
  <si>
    <t>Çerceve Hazır.Otoyol İveco,Sağ</t>
  </si>
  <si>
    <t>Çerceve Hazır.Otoyol İveco,Sol</t>
  </si>
  <si>
    <t>Çerceve Hazır.Ford İveco,Sağ</t>
  </si>
  <si>
    <t>Çerceve Hazır.Ford İveco,Sol</t>
  </si>
  <si>
    <t>Çerceve Hazır.İveco,Desenli,Sağ</t>
  </si>
  <si>
    <t>Çerceve Hazır.İveco,Desenli,Sol</t>
  </si>
  <si>
    <t>Çerceve Hazır.İveco,Mekanizmalı,Sağ</t>
  </si>
  <si>
    <t>Çerceve Hazır.İveco,Mekanizmalı,Sol</t>
  </si>
  <si>
    <t>Kullanımı YOK Malzeme Torbalama Traktör</t>
  </si>
  <si>
    <t>R9 ASK hazırlık sağ</t>
  </si>
  <si>
    <t>R9 ASK hazırlık sol</t>
  </si>
  <si>
    <t>Malzeme Torbalama 0904 Ø88</t>
  </si>
  <si>
    <t>Koruyucu Lastik YENİ, Cadface</t>
  </si>
  <si>
    <t>Duy Sinyal Komple, Kahverengi</t>
  </si>
  <si>
    <t>Koruyucu Kapak+Kablo,Komple,H7</t>
  </si>
  <si>
    <t>Koruyucu Kapak+Kablo,Komple,H1,FD</t>
  </si>
  <si>
    <t>Otomatik Ayar Mekanizması,24V,FD</t>
  </si>
  <si>
    <t>Koruyucu Kapak+Kablo,Komple,Otokar</t>
  </si>
  <si>
    <t>Kasa,Burç,Metal,(R1,Citaro,NC4)</t>
  </si>
  <si>
    <t>Koruyucu Kapak+Kablo,Komple,H7,FD</t>
  </si>
  <si>
    <t>Duy Ön Sinyal Komple, Ø55 W09 Renault (Etiket)</t>
  </si>
  <si>
    <t>ÜRETİM YOK Otomatik Ayar Mekanizması,24V,FD</t>
  </si>
  <si>
    <t>Duy,Komple,H1,Karsan</t>
  </si>
  <si>
    <t>Duy Komple,H1</t>
  </si>
  <si>
    <t>KORUYUCU KAPAK+KABLO,KOMPLE,ADR</t>
  </si>
  <si>
    <t>Kablo Demeti, Komple, Koruyucu Kapaklı</t>
  </si>
  <si>
    <t>Duy Park,Komple</t>
  </si>
  <si>
    <t>Duy, H1 Komple,MBT</t>
  </si>
  <si>
    <t>Kutu,Burç,Metal,(R1,Citaro,NC4)</t>
  </si>
  <si>
    <t>Kutulu Ampul FD,H7,24V,70W,Px26d</t>
  </si>
  <si>
    <t>Koruyucu Kapak,Uzun Hüzme,Contalı</t>
  </si>
  <si>
    <t>KAPAK, HAVALANDIRMA,KOMPLE,NİTTO</t>
  </si>
  <si>
    <t>Kutulu Ampul FD,P21/5W24V</t>
  </si>
  <si>
    <t>Koruyucu Lastik,+Kablolu, Komple,FD</t>
  </si>
  <si>
    <t>150060162 koduna aktarıldı Koruyucu Kap,Contali,BMC Prof + R19 217171</t>
  </si>
  <si>
    <t>Koruyucu Kapak,Contali,Mercede</t>
  </si>
  <si>
    <t>Koruyucu Kapak,Contalı,Ø5,5,R9-R11</t>
  </si>
  <si>
    <t>Kablo Demeti, Komple, Ampullü</t>
  </si>
  <si>
    <t>FILTRE,NITTO,Ø16x10,FD</t>
  </si>
  <si>
    <t>Ön Hazırlık,Hareketli Mekanizma,Komple,12V,LHD</t>
  </si>
  <si>
    <t>Ön Hazırlık,Hareketli Mekanizma,Komple,24V,LHD</t>
  </si>
  <si>
    <t>Selonoid Hazırlık,Hareketli Mekanizma,Komple,24V,RHD</t>
  </si>
  <si>
    <t>Hazırlık, Çerçeveye conta Takma</t>
  </si>
  <si>
    <t>Hazırlık, Ø 180 Cam Temizliği</t>
  </si>
  <si>
    <t>HAZIRLIK H566 LEGACY SOL HIGH</t>
  </si>
  <si>
    <t>HAZIRLIK H566 LEGACY SAG HIGH</t>
  </si>
  <si>
    <t>HAZIRLIK H566 LEGACY SOL BASE</t>
  </si>
  <si>
    <t>HAZIRLIK H566 LEGACY SAG BASE</t>
  </si>
  <si>
    <t>HAZIRLIK H566 LEGACY SOL SIS</t>
  </si>
  <si>
    <t>HAZIRLIK H566 LEGACY SAG SIS</t>
  </si>
  <si>
    <t>Boynuz Hazırlık Unistop-5</t>
  </si>
  <si>
    <t>Hazırlık, ASK, V227, Ampul tutucu</t>
  </si>
  <si>
    <t>Hazırlık, ASK, V227 NA Kablo Demeti</t>
  </si>
  <si>
    <t>ÇER.F,SOL,+REFL.REF. KOMP.405 B FAR HIGH</t>
  </si>
  <si>
    <t>ÇER.F,SAĞ,+REFL.REF. KOMP.405 B FAR HIGH</t>
  </si>
  <si>
    <t>Hazırlık,ASK,001A,Sağ,Kablo Demeti</t>
  </si>
  <si>
    <t>Hazırlık,ASK,001A,Sol,Kablo Demeti</t>
  </si>
  <si>
    <t>Hazırlık,D1,Sol,SVP</t>
  </si>
  <si>
    <t>Hazırlık,D1,Sağ,SVP</t>
  </si>
  <si>
    <t>Hazırlık,D1,Sol,GP3,SVP</t>
  </si>
  <si>
    <t>Hazırlık,D1,Sağ,GP3,SVP</t>
  </si>
  <si>
    <t>Hazırlık,Optik Ünite,Sol,Komple,KC-4,Ek Ünite</t>
  </si>
  <si>
    <t>Hazırlık,Optik Ünite,Sağ,Komple,KC-4,Ek Ünite</t>
  </si>
  <si>
    <t>Hazırlık,Optik Ünite,Sinyal+Poz.,Sol,Otokar</t>
  </si>
  <si>
    <t>Hazırlık,Optik Ünite,Sinyal+Poz.,Sağ,Otokar</t>
  </si>
  <si>
    <t>Hazırlık,Gövde,Sağ,Sol Dir.374L ASK</t>
  </si>
  <si>
    <t>Hazırlık,Gövde,Sol,Sol Dir.374L ASK</t>
  </si>
  <si>
    <t>Hazırlık,Göv.Sağ,Boy.Sol D.374L ASK</t>
  </si>
  <si>
    <t>Hazırlık,Göv.Sol,Boy.Sol D.374L ASK</t>
  </si>
  <si>
    <t>Hazırlık,Gövde,Sağ,Sağ Dir.374L ASK</t>
  </si>
  <si>
    <t>Hazırlık,Gövde,Sol,Sağ Dir.374L ASK</t>
  </si>
  <si>
    <t>Hazırlık,Optik,Sağ,Tempra,Ön Sinyal</t>
  </si>
  <si>
    <t>Hazırlık,Optik,Sol,Tempra,Ön Sinyal</t>
  </si>
  <si>
    <t>Hazırlık,Optik,Sağ,İveco,Ön Sinyal</t>
  </si>
  <si>
    <t>Hazırlık,Optik,Sol,İveco,Ön Sinyal</t>
  </si>
  <si>
    <t>Gövde, Kaynaklı, 3. Fren</t>
  </si>
  <si>
    <t>Hazırlık,Gövde,Sağ,Sol Dir.681N ASK</t>
  </si>
  <si>
    <t>Hazırlık,Gövde,SOL,Sol Dir.681N ASK</t>
  </si>
  <si>
    <t>Hazırlık,Gövde,Sağ,Sağ Dir.681N ASK</t>
  </si>
  <si>
    <t>Hazırlık,Gövde,Sol,Sağ Dir.681N ASK</t>
  </si>
  <si>
    <t>Hazırlık,Göv.Sağ,BoyalıSağD.374LASK</t>
  </si>
  <si>
    <t>Hazırlık,Göv.Sol,BoyalıSağD.374LASK</t>
  </si>
  <si>
    <t>Evobus Büyük lens Vibrasyon sol üst</t>
  </si>
  <si>
    <t>Evobus Buyuk lens Vibrasyon sağ üst</t>
  </si>
  <si>
    <t>Evobus buyuk lens Vibrasyon Sol Alt</t>
  </si>
  <si>
    <t>Evobus Buyuk Lens Vibrasyon Sağ alt</t>
  </si>
  <si>
    <t>Hazırlık,Gövde,Sağ,Toco-4 Ask</t>
  </si>
  <si>
    <t>Hazırlık,Gövde,Sol,Toco-4 Ask</t>
  </si>
  <si>
    <t>Hazırlık,Gövde,Sağ,Sağ D.Toco-4 Ask</t>
  </si>
  <si>
    <t>Hazırlık,Gövde,Sol,Sağ D.Toco-4 Ask</t>
  </si>
  <si>
    <t>Hazırlık,Gövde,Sağ,R.Megane-2,L.84</t>
  </si>
  <si>
    <t>Hazırlık,Gövde,Sol,R.Megane-2,L.84</t>
  </si>
  <si>
    <t>Hazırlık,Gövde,Sağ,Ford Otosan Ask</t>
  </si>
  <si>
    <t>Hazırlık,Gövde,Sol,Ford Otosan Ask</t>
  </si>
  <si>
    <t>Hazırlık,Gövde,Sağ,V227 Ask NA</t>
  </si>
  <si>
    <t>Hazırlık,Gövde,Sol,V227 Ask NA</t>
  </si>
  <si>
    <t>Hazırlık,Gövde,Sağ,130L Ask</t>
  </si>
  <si>
    <t>Hazırlık,Gövde,Sol,130L Ask</t>
  </si>
  <si>
    <t>Hazırlık,Gövde,Sağ,Sağ Dir.130L Ask</t>
  </si>
  <si>
    <t>Hazırlık,Gövde,Sol,Sağ Dir.130L Ask</t>
  </si>
  <si>
    <t>Hazırlık,Gövde,Sağ,001A Ask</t>
  </si>
  <si>
    <t>Hazırlık,Gövde,Sol,001A Ask</t>
  </si>
  <si>
    <t>Hazırlık,Gövde,Sağ,001A Ask,Sağ Dir</t>
  </si>
  <si>
    <t>Hazırlık,Gövde,Sol,001A Ask,Sağ Dir</t>
  </si>
  <si>
    <t>Hazırlık,Gövde,Sağ,913N Ask</t>
  </si>
  <si>
    <t>Hazırlık,Gövde,Sol,913N Ask</t>
  </si>
  <si>
    <t>Hazırlık,Gövde,Sağ,913N Ask,Sağ Dir</t>
  </si>
  <si>
    <t>Hazırlık,Gövde,Sol,913N Ask,Sağ Dir</t>
  </si>
  <si>
    <t>Hazırlık,Gövde,Sağ,914N Ask</t>
  </si>
  <si>
    <t>Hazırlık,Gövde,Sol,914N Ask</t>
  </si>
  <si>
    <t>Hazırlık,Gövde,Sağ,914N Ask,Sağ Dir</t>
  </si>
  <si>
    <t>Hazırlık,Gövde,Sol,914N Ask,Sağ Dir</t>
  </si>
  <si>
    <t>FSN GÖVDE,3.LÜ KAB,Ø98 ASK,LED,M+K+S MERC</t>
  </si>
  <si>
    <t>FSN GÖVDE,2.Lİ KABL,Ø98 ASK,LED,M+S MERC.</t>
  </si>
  <si>
    <t>FSN GÖVDE,2.Lİ KAB,Ø98 ASK,LED,MAVİ-SİYAH</t>
  </si>
  <si>
    <t>FSN GÖVDE,3.LÜ KABL,Ø98 ASK,LED,M+S+K</t>
  </si>
  <si>
    <t>FSN GÖVDE,2.Lİ,Ø98 ASK,LED KAB,KAH+MAVİ,TEMS</t>
  </si>
  <si>
    <t>FSN GÖVDE,3.LÜ,Ø98 ASK,LED KAB,K+M+S,TEMSA</t>
  </si>
  <si>
    <t>OPTİK ÜNİTE,Ø70</t>
  </si>
  <si>
    <t>OPTİK ÜNİTE,CADE FACE,ÖN SİNYAL</t>
  </si>
  <si>
    <t>OPTİK ÜNİTE,KOMPLE,Ø 55 ÖN SİNYAL</t>
  </si>
  <si>
    <t>OPTİK ÜNİTE,KOMPLE,Ø 55 ARKA POZİSYON</t>
  </si>
  <si>
    <t>OPTİKÜNİTE,KOMPLE,Ø55ÖNSİNYAL,TURUNCU(Kullanılmıyor)</t>
  </si>
  <si>
    <t>OPTİKÜNİTE,KOMPLE,Ø55ÖNSİNYAL,TURUNCU</t>
  </si>
  <si>
    <t>OPTİK ÜNİTE,S.M.,ECE,AMBER</t>
  </si>
  <si>
    <t>OPTİK,ÜNİTE,Ø98 ASK,SİS,AMPULLÜ</t>
  </si>
  <si>
    <t>OPTİK,ÜNİTE,Ø98 ASK,GERİ VİTES,AMPULLÜ, Şeffaf</t>
  </si>
  <si>
    <t>OPTİK,ÜNİTE,Ø98 ASK,SİNYAL, Turuncu</t>
  </si>
  <si>
    <t>OPTİK,ÜNİTE,Ø98 ASK,STOP+POZ.,AMPULLÜ, Kırmızı</t>
  </si>
  <si>
    <t>OPTİK,ÜNİTE,Ø98 ASK,REFLEKS+SİS,AMPULLÜ</t>
  </si>
  <si>
    <t>OPTİK,ÜNİTE,Ø98 ASK,POZ+STOP,LEDLİ,12V</t>
  </si>
  <si>
    <t>OPTİK,ÜNİTE,Ø98 ASK,POZ+STOP,LEDLİ,24V</t>
  </si>
  <si>
    <t>OPTİK,ÜNİTE,Ø98 ASK,REFL+SİNYA,LEDLİ,12V</t>
  </si>
  <si>
    <t>OPTİK,ÜNİTE,Ø98 ASK,REFL+SİNYA,LEDLİ,24V</t>
  </si>
  <si>
    <t>OPTİK,ÜNİTE,Ø98 ASK,POZ.+SİNYA,LEDLİ,12V</t>
  </si>
  <si>
    <t>OPTİK,ÜNİTE,Ø98 ASK,POZ.+SİNYA,LEDLİ,24V</t>
  </si>
  <si>
    <t>OPTİK,ÜNİTE,Ø98 ASK,REF.+SİNYA,LEDLİ,12V</t>
  </si>
  <si>
    <t>OPTİK,ÜNİTE,Ø98 ASK,REF.+SİNYA,LEDLİ,24V</t>
  </si>
  <si>
    <t>OPTİK ÜNİTE,Ø70 DRL</t>
  </si>
  <si>
    <t>OPTİK,ÜNİTE,Ø98 ASK,REX+SİNY,24V</t>
  </si>
  <si>
    <t>OPTİK ÜNİTE,Ø98 ASKPOZ+STOP,24V,MERC.</t>
  </si>
  <si>
    <t>OPTİK ÜNİTE,Ø98 ASK SİNYAL,24V,MERC.</t>
  </si>
  <si>
    <t>Komple Lens NSL</t>
  </si>
  <si>
    <t>Komple Lens 378 HL RFS</t>
  </si>
  <si>
    <t>Komple Lens SL/BL/NSL</t>
  </si>
  <si>
    <t>Komple Lens HL 367 T1</t>
  </si>
  <si>
    <t>Tesviyeli Mini Cargo Van Sağ Komple ASK</t>
  </si>
  <si>
    <t>Tesviyeli Mini Cargo Van Sol Komple ASK</t>
  </si>
  <si>
    <t>Tesviyeli Mini Cargo Combi Sağ Komple ASK</t>
  </si>
  <si>
    <t>Tesviyeli Mini Cargo Combi Sol Komple ASK</t>
  </si>
  <si>
    <t>Hazırlık,Gövde,ASK Ön Sağ,Side Marker,Ford</t>
  </si>
  <si>
    <t>Hazırlık,Gövde,ASK Ön Sol,Side Marker,Ford</t>
  </si>
  <si>
    <t>Hazırlık,Gövde,ASK Arka Sağ,Side Marker,Ford</t>
  </si>
  <si>
    <t>Hazırlık,Gövde,ASK Arka Sol,Side Marker,Ford</t>
  </si>
  <si>
    <t>Optik, Ünite, Sağ, Ford Otosan, ASK</t>
  </si>
  <si>
    <t>Optik, Ünite, Sol, Ford Otosan, ASK</t>
  </si>
  <si>
    <t>Optik ünite,Komple,Sağ,Çamurluk</t>
  </si>
  <si>
    <t>Optik ünite,Komple,Sol,Çamurluk</t>
  </si>
  <si>
    <t>Optik ünite,Komple,Sağ,Bagaj</t>
  </si>
  <si>
    <t>Optik ünite,Komple,Sol,Bagaj</t>
  </si>
  <si>
    <t>OPTİK ÜNİTE,UÇ BELİRTME,MERCEDES</t>
  </si>
  <si>
    <t>OPTİK ÜNİTE,DRL,P21W</t>
  </si>
  <si>
    <t>Optik unite Sol Unistop 3</t>
  </si>
  <si>
    <t>Optik unite SağUnistop 3</t>
  </si>
  <si>
    <t>Optik Ünite,Sol,R1 ASK</t>
  </si>
  <si>
    <t>Optik Ünite,Sağ,R1 ASK</t>
  </si>
  <si>
    <t>Optik Ünite,Sol,R1 ASK,Üst</t>
  </si>
  <si>
    <t>Optik Ünite,Sağ,R1 ASK,Üst</t>
  </si>
  <si>
    <t>Optik Ünite,Sol,R1 ASK,Yan Çıta</t>
  </si>
  <si>
    <t>Optik Ünite,Sağ,R1 ASK,Yan Çıta</t>
  </si>
  <si>
    <t>Optik Ünite,Sol,CıTARO MOPF ASK</t>
  </si>
  <si>
    <t>Optik Ünite,Sağ,CıTARO MOPF ASK</t>
  </si>
  <si>
    <t>OPTİK ÜNİTE,SOL,DELİKLİ,B32 SİS</t>
  </si>
  <si>
    <t>OPTİK ÜNİTE,SAĞ,DELİKSİZ,B32 SİS</t>
  </si>
  <si>
    <t>OPTİK ÜNİTE,SOL,DELİKSİZ,B32 SİS</t>
  </si>
  <si>
    <t>OPTİK ÜNİTE,SAĞ,DELİKLİ,B32 SİS</t>
  </si>
  <si>
    <t>Optik Ünite,V.227,HMBL</t>
  </si>
  <si>
    <t>Optik Ünite,V.227 Yan Sinyal</t>
  </si>
  <si>
    <t>Optik Ünite,V.227 Yan Sinyal,NA</t>
  </si>
  <si>
    <t>OPTİK,ÜNİTE,Ø98 ASK,ŞEFFAF,LED,REF+SİN,12V</t>
  </si>
  <si>
    <t>OPTİK ÜNİTE,SOL,MCV 225,CARGO,ASK</t>
  </si>
  <si>
    <t>FSN GÖVDE,4.LÜ KABL,Ø98 ASK,LED KABLOLU</t>
  </si>
  <si>
    <t>OPTİK,ÜNİTE,Ø98 ASK,STOP/POZ./SİN,12V</t>
  </si>
  <si>
    <t>OPTİK,ÜNİTE,Ø98 ASK,STOP/POZ./SİN,24V</t>
  </si>
  <si>
    <t>OPTİK,ÜNİTE,Ø98 ASK,SİS,LEDLİ,12V,AYG</t>
  </si>
  <si>
    <t>OPTİK,ÜNİTE,Ø98 ASK,SİS,LEDLİ,24V,AYG</t>
  </si>
  <si>
    <t>OPTİK,ÜNİTE,Ø98 ASK,GERİVİTES,LEDLİ,12V,AYG</t>
  </si>
  <si>
    <t>OPTİK,ÜNİTE,Ø98 ASK,GERİVİTES,LEDLİ,24V,AYG</t>
  </si>
  <si>
    <t>Optik Ünite,Sol,L38,ASK,Bagaj</t>
  </si>
  <si>
    <t>Optik Ünite,Sol,L38,ASK,Bagaj,Korea</t>
  </si>
  <si>
    <t>Optik Ünite,Sol,L38,ASK,Bagaj,Korea,Siyah</t>
  </si>
  <si>
    <t>Optik Ünite,Sağ,L38,ASK,Bagaj</t>
  </si>
  <si>
    <t>Optik Ünite,Sağ,L38,ASK,Bagaj,Korea</t>
  </si>
  <si>
    <t>Optik Ünite,Sağ,L38,ASK,Bagaj,Korea,Siyah</t>
  </si>
  <si>
    <t>Optik Ünite,Sol,L38,ASK,Çamurluk</t>
  </si>
  <si>
    <t>Optik Ünite,Sol,L38,ASK,Çamurluk,Korea</t>
  </si>
  <si>
    <t>Optik Ünite,Sol,L38,ASK,Çamurluk,Korea,Siyah</t>
  </si>
  <si>
    <t>Optik Ünite,Sağ,L38,ASK,Çamurluk</t>
  </si>
  <si>
    <t>Optik Ünite,Sağ,L38,ASK,Çamurluk,Korea</t>
  </si>
  <si>
    <t>Optik Ünite,Sağ,L38,ASK,Çamurluk,Korea,Siyah</t>
  </si>
  <si>
    <t>Hazırlık,Ara Çerçeve,Uzun Hüzme,FB</t>
  </si>
  <si>
    <t>Hazırlık,Tutucu Lens,FB</t>
  </si>
  <si>
    <t>Hazırlık,Ara Çerçeve,Kısa Hüzme,FB</t>
  </si>
  <si>
    <t>FSN Soğutucu,K.Hüzme,FB100,Sol,Boyalı,Komple</t>
  </si>
  <si>
    <t>FSN Soğutucu,K.Hüzme,FB100,Sağ,Boyalı,Komple</t>
  </si>
  <si>
    <t>Soğutucu,Kontrol,PCB LB+Kablolu,FB100 Komple</t>
  </si>
  <si>
    <t>FSN Soğutucu,U.Hüzme,FB110,Boyalı,Komple</t>
  </si>
  <si>
    <t>Reflektör+Lens, Kaynaklı, Unistop 4</t>
  </si>
  <si>
    <t>Optik unite, Unistop 4, V-1, 12V</t>
  </si>
  <si>
    <t>Optik unite, Unistop 4, V-1, 24V</t>
  </si>
  <si>
    <t>FSN GÖVDE,KABLOLU,SOL,SİN+POZ.,OTOKAR</t>
  </si>
  <si>
    <t>FSN Gövde,Ø90 DRL,Boyalı,Kablolu</t>
  </si>
  <si>
    <t>FSN Dış Lens,Ø90 DRL,Ledli,Kaplı</t>
  </si>
  <si>
    <t>FSN Dış Tas Üst,Ledli,12V,Komple</t>
  </si>
  <si>
    <t>FSN Dış Tas Üst,Ledli,24V,Komple</t>
  </si>
  <si>
    <t>FSN Dış Tas Üst,Mercekli,Kısa Hüzme,Ledli,24V,Isı Plakalı,Komple</t>
  </si>
  <si>
    <t>FSN Dış Tas Üst,Mercekli,Kısa Hüzme,Ledli,12V,Komple</t>
  </si>
  <si>
    <t>FSN Dış Tas Üst,Mercekli,Kısa Hüzme,Ledli,12V,Isı Plakalı,Komple</t>
  </si>
  <si>
    <t>FSN Dış Tas Üst,Mercekli,Ledli,24V,Komple</t>
  </si>
  <si>
    <t>FSN Dış Lens,FB,Kaplı</t>
  </si>
  <si>
    <t>FSN Boyalı Alm.Soğutucu Kapak,Kablolu,FB110</t>
  </si>
  <si>
    <t>FSN Boyalı Alm.Soğutucu Kapak,Kablolu,FB100</t>
  </si>
  <si>
    <t>FSN GÖVDE,KABLOLU,SAĞ,SİN+POZ.,OTOKAR</t>
  </si>
  <si>
    <t>FSN Boyunduruk H7+Gölgelik+Yay,Komple</t>
  </si>
  <si>
    <t>Optik unite, Unistop 4, V-1, DF Kırmızı, 12V</t>
  </si>
  <si>
    <t>Optik unite, Unistop 4, V-1, DF Kırmızı, 24V</t>
  </si>
  <si>
    <t>Optik unite, Unistop 4, V-2, DF Kırmızı, 12V</t>
  </si>
  <si>
    <t>Optik unite, Unistop 4, V-2, DF Kırmızı, 24V</t>
  </si>
  <si>
    <t>Kablo Ucu Montajı C2 Evobus Sağ ULM/CSI</t>
  </si>
  <si>
    <t>Küre Plastik Montajı C2 Evobus</t>
  </si>
  <si>
    <t>Kablo Ucu Montajı C2 Evobus Sol ULM/CSI</t>
  </si>
  <si>
    <t>Soket &amp; optik lens (TIR) montajı Sol C2 Evobus ULM</t>
  </si>
  <si>
    <t>Soket &amp; optik lens (TIR) montajı Sağ C2 Evobus ULM</t>
  </si>
  <si>
    <t>Sinyal DI reflektör montajı Alt Sol C2 Evobus ULM</t>
  </si>
  <si>
    <t>Sinyal DI reflektör montajı Alt Sağ C2 Evobus ULM</t>
  </si>
  <si>
    <t>Sinyal DI reflektör montajı Üst Sol C2 Evobus ULM</t>
  </si>
  <si>
    <t>Sinyal DI reflektör montajı Üst Sağ C2 Evobus ULM</t>
  </si>
  <si>
    <t>gövde + reflektör+ pcb+ bezel + plaka Sol C2 Evobus</t>
  </si>
  <si>
    <t>gövde + reflektör+ pcb+ bezel + plaka Sağ C2 Evobus</t>
  </si>
  <si>
    <t>Sıcak Kaynak Sol C2 Evobus ULM</t>
  </si>
  <si>
    <t>Sıcak Kaynak Sağ C2 Evobus ULM</t>
  </si>
  <si>
    <t>Sıcak Kaynak Sol C2 Evobus</t>
  </si>
  <si>
    <t>Sıcak Kaynak Sağ C2 Evobus</t>
  </si>
  <si>
    <t>Optik Ünite, Unistop-2 , ASK, 12 V</t>
  </si>
  <si>
    <t>Optik Lens , Sol, ASTRA MUE,  Kırmızı Şeritli</t>
  </si>
  <si>
    <t>Optik Lens , Sağ, ASTRA MUE,  Kırmızı Şeritli</t>
  </si>
  <si>
    <t>Sinyal DI reflektör montajı Alt Sol C2 Evobus</t>
  </si>
  <si>
    <t>Sinyal DI reflektör montajı Alt Sağ C2 Evobus</t>
  </si>
  <si>
    <t>Sinyal DI reflektör montajı Üst Sol C2 Evobus</t>
  </si>
  <si>
    <t>Sinyal DI reflektör montajı Üst Sağ C2 Evobus</t>
  </si>
  <si>
    <t>Soket &amp; optik lens (TIR) montajı Sol C2 Evobus</t>
  </si>
  <si>
    <t>Soket &amp; optik lens (TIR) montajı Sağ C2 Evobus</t>
  </si>
  <si>
    <t>Kablo Ucu Montajı ULUS C2 Evobus Sol</t>
  </si>
  <si>
    <t>Kablo Ucu Montajı ULUS C2 Evobus Sağ</t>
  </si>
  <si>
    <t>OPTIK UNITE, KOMPLE, Ø55 ON SINYAL, 12V</t>
  </si>
  <si>
    <t>OPTIK UNITE, KOMPLE, Ø55 ON SINYAL, 24V</t>
  </si>
  <si>
    <t>Reflektör,Ø 130 Psiz</t>
  </si>
  <si>
    <t>Reflektör,Ø 130 Pli</t>
  </si>
  <si>
    <t>Reflektör,Ø 130 Plı, Tip2</t>
  </si>
  <si>
    <t>Reflektör,Ø 130 Uzel</t>
  </si>
  <si>
    <t>Reflektör,Ø 130 Farba,Psiz</t>
  </si>
  <si>
    <t>Reflektör,Ø 130 Farba,Pli</t>
  </si>
  <si>
    <t>Reflektör,Ø 130 Farba,H1</t>
  </si>
  <si>
    <t>Reflektör,Ø 130 Farba,H4</t>
  </si>
  <si>
    <t>Reflektör,Ø 130 Farba,H4,Pli</t>
  </si>
  <si>
    <t>Reflektör,Ø 141 (C) K.Hüzme</t>
  </si>
  <si>
    <t>Reflektör,Ø 141 (R) U.Hüzme</t>
  </si>
  <si>
    <t>Reflektör,(Ø 170) M.124</t>
  </si>
  <si>
    <t>Reflektör,(Ø 170) Vidali,Pli</t>
  </si>
  <si>
    <t>Reflektör, Ø 170 U.E. H4</t>
  </si>
  <si>
    <t>Reflektör,(Ø 170) Lukas,Pli</t>
  </si>
  <si>
    <t>Reflektör,Ø 180 Lukas,Psiz</t>
  </si>
  <si>
    <t>Reflektör,Ø 180 Lukas,Pli</t>
  </si>
  <si>
    <t>Reflektör,Ø 180 Vidali,Psiz</t>
  </si>
  <si>
    <t>Reflektör,Ø 180 Vidali,Pli</t>
  </si>
  <si>
    <t>Reflektör,(Ø 180) M.124 Psiz</t>
  </si>
  <si>
    <t>Reflektör,(Ø 180) Volkswagen</t>
  </si>
  <si>
    <t>Reflektör,Anadol Pli</t>
  </si>
  <si>
    <t>Reflektör,F.128 Pli</t>
  </si>
  <si>
    <t>Reflektör.Sağ,100x155,Traktör</t>
  </si>
  <si>
    <t>Reflektör.Sol,100x155,Traktör</t>
  </si>
  <si>
    <t>Reflektör.100x155,Traktör</t>
  </si>
  <si>
    <t>Reflektör.100x155,Traktör Y</t>
  </si>
  <si>
    <t>Reflektör,BMC 162</t>
  </si>
  <si>
    <t>Reflektör,100x165,Tip 1,Sag</t>
  </si>
  <si>
    <t>Reflektör,100x165,Tip 2,Sag</t>
  </si>
  <si>
    <t>Reflektör,100x165,Tip 1,Sol</t>
  </si>
  <si>
    <t>Reflektör,100x165,Tip 2,Sol</t>
  </si>
  <si>
    <t>Reflektör,100x165,H1,Sağ</t>
  </si>
  <si>
    <t>Reflektör,100x165,H1,Sag</t>
  </si>
  <si>
    <t>Reflektör,100x165,H1,Sol</t>
  </si>
  <si>
    <t>Reflektör,100x165,Tip2,Pli,Sag</t>
  </si>
  <si>
    <t>Reflektör,100x165,Tip2,Pli,Sol</t>
  </si>
  <si>
    <t>Reflektör,100x165,H4,Pli,Sag</t>
  </si>
  <si>
    <t>Reflektör,100x165,H4,Psız</t>
  </si>
  <si>
    <t>Reflektör,100x165,H4,Pli,Sol</t>
  </si>
  <si>
    <t>Reflektör,100x165,Hino</t>
  </si>
  <si>
    <t>Reflektör,100x165,H1</t>
  </si>
  <si>
    <t>Reflektör,100x165,H4,Pli</t>
  </si>
  <si>
    <t>Reflektör,M.131</t>
  </si>
  <si>
    <t>Reflektör,Treyler,Psiz</t>
  </si>
  <si>
    <t>Reflektör,R.12</t>
  </si>
  <si>
    <t>Reflektör,175x210-CRA</t>
  </si>
  <si>
    <t>Reflektör,175x210-HCRA</t>
  </si>
  <si>
    <t>Reflektör,175x210-HCRA,Y.Tip</t>
  </si>
  <si>
    <t>Reflektör, 175x210 Klasik A</t>
  </si>
  <si>
    <t>Reflektör, 175x210 Klasik B</t>
  </si>
  <si>
    <t>Reflektör,175x210-HCRA,Y.M.</t>
  </si>
  <si>
    <t>Reflektör,Dikdörtgen,H3</t>
  </si>
  <si>
    <t>Reflektör,Ø 120,Plı</t>
  </si>
  <si>
    <t>Reflektör,Ø 120,Sag</t>
  </si>
  <si>
    <t>Reflektör,Ø 120,Sol</t>
  </si>
  <si>
    <t>Reflektör,Ø 120,Uzel</t>
  </si>
  <si>
    <t>Reflektör,142x200,M.siz,HCR</t>
  </si>
  <si>
    <t>Refektör,142x200,M.siz,HCRA</t>
  </si>
  <si>
    <t>Reflektör,142x200,M.li,CR</t>
  </si>
  <si>
    <t>Reflektör,142x200,M.li,HCR</t>
  </si>
  <si>
    <t>Ref.Göv.142x200 Psız,Traktör,HCR</t>
  </si>
  <si>
    <t>Reflektör,142x200,Merc.HCRA</t>
  </si>
  <si>
    <t>Reflektor,100x165 Sag,H1</t>
  </si>
  <si>
    <t>Reflektor,100x165 Sol,H1</t>
  </si>
  <si>
    <t>Hazırlık,Gövde,Sağ,Toco-4 Ask,Piyasa</t>
  </si>
  <si>
    <t>Hazırlık,Gövde,Sol,Toco-4 Ask,Piyasa</t>
  </si>
  <si>
    <t>Reflektor,100x165 Sag,H4</t>
  </si>
  <si>
    <t>Reflektor,100x165 Sol,H4</t>
  </si>
  <si>
    <t>Hazırlık,Gövde,Sağ,130L Ask,Piyasa</t>
  </si>
  <si>
    <t>Hazırlık,Gövde,Sol,130L Ask,Piyasa</t>
  </si>
  <si>
    <t>Hazırlık,Gövde,Sağ,Sağ Dir.130L Ask,Piyasa</t>
  </si>
  <si>
    <t>Hazırlık,Gövde,Sol,Sağ Dir.130L Ask,Piyasa</t>
  </si>
  <si>
    <t>Reflektör,100x165,HCR,Hidromek</t>
  </si>
  <si>
    <t>Hazırlık,Gövde,Sağ,913N Ask, Piyasa</t>
  </si>
  <si>
    <t>Hazırlık,Gövde,Sol,913N Ask,Piyasa</t>
  </si>
  <si>
    <t>Hazırlık,Gövde,Sağ,913N Ask,Sağ Dir,Piyasa</t>
  </si>
  <si>
    <t>Hazırlık,Gövde,Sol,913N Ask,Sağ Dir,Piyasa</t>
  </si>
  <si>
    <t>Reflektör,100x165,HCRA</t>
  </si>
  <si>
    <t>Reflektör,100x165,HCR</t>
  </si>
  <si>
    <t>Reflektör, 100*165 Başak D. siz</t>
  </si>
  <si>
    <t>Reflektör,S.Mir.Sag</t>
  </si>
  <si>
    <t>Reflektör,S.Mir.Sol</t>
  </si>
  <si>
    <t>Reflektör,S.Mir.Pli,Sag</t>
  </si>
  <si>
    <t>Reflektör,S.Mir.Pli,Sol</t>
  </si>
  <si>
    <t>Ref.Cargo,Sag Farba Camli</t>
  </si>
  <si>
    <t>Ref Cargo,Sol Farba Camlı</t>
  </si>
  <si>
    <t>Reflektör,F.Taunus,Sağ</t>
  </si>
  <si>
    <t>Reflektör,F.Taunus,Sol</t>
  </si>
  <si>
    <t>Reflektör,Serçe</t>
  </si>
  <si>
    <t>Ref.T.Trk.Ön,Ayg.Camli</t>
  </si>
  <si>
    <t>Reflektör,P.504,Sag,HCR,Nijery</t>
  </si>
  <si>
    <t>Reflektör,P.504,Sol,HCR,Nijery</t>
  </si>
  <si>
    <t>Reflektör,T.88,Sag,HCRA</t>
  </si>
  <si>
    <t>Reflektör,T.88,Sol,HCRA</t>
  </si>
  <si>
    <t>Reflektör,Sahin,Sag,CRA</t>
  </si>
  <si>
    <t>Reflektör,Sahin,Sol,CRA</t>
  </si>
  <si>
    <t>Reflektör,T.93,HCRA,Sag</t>
  </si>
  <si>
    <t>Reflektör,T.93,HCRA,Sol</t>
  </si>
  <si>
    <t>Reflektör,R.9,HCRA,Sag</t>
  </si>
  <si>
    <t>Reflektör,R.9,HCRA,Sol</t>
  </si>
  <si>
    <t>Reflektör,R.11,HCRA,Sag</t>
  </si>
  <si>
    <t>Reflektör,R.11,HCRA,Sol</t>
  </si>
  <si>
    <t>Üniversal Sis</t>
  </si>
  <si>
    <t>BOŞ KOD</t>
  </si>
  <si>
    <t>Mercekli,Ø70,Bihalojen,Hazırlık</t>
  </si>
  <si>
    <t>Kırmızı 3300 BMW Sinyal</t>
  </si>
  <si>
    <t>Komple Ürün EvoBus MidiBus L NS</t>
  </si>
  <si>
    <t>Temizlenmiş komple Ürün L NSL UVK</t>
  </si>
  <si>
    <t>Temizlenmiş Komple Ürün R NSL +Gl</t>
  </si>
  <si>
    <t>pim şase yay montajı</t>
  </si>
  <si>
    <t>Komple Ürün R NS</t>
  </si>
  <si>
    <t>Komple 3300 BMW Sinyal</t>
  </si>
  <si>
    <t>Kesilmiş Conta</t>
  </si>
  <si>
    <t>Komple Ürün L NSL/RFS+GL</t>
  </si>
  <si>
    <t>Komple Ürün R + GL</t>
  </si>
  <si>
    <t>BÜTÜN HATTI. 270MM HL EVOBUS</t>
  </si>
  <si>
    <t>BÜTÜN HATTI. 230mm HL EVOBUS</t>
  </si>
  <si>
    <t>BÜTÜN HATTI. 300mm HL EVOBUS</t>
  </si>
  <si>
    <t>Komple Ürün L RFS+GL EVOBUS</t>
  </si>
  <si>
    <t>Komple Ürün R RFS+GL</t>
  </si>
  <si>
    <t>Komple Ürün L RFS+GL</t>
  </si>
  <si>
    <t>Komple Ürün L RFS</t>
  </si>
  <si>
    <t>Komple Ürün R RFS</t>
  </si>
  <si>
    <t>Komple Ürün L NSL+GL</t>
  </si>
  <si>
    <t>Komple Ürün R NSL+GL</t>
  </si>
  <si>
    <t>Komple Ürün L NSL</t>
  </si>
  <si>
    <t>Reflektör Takılmış Gövde</t>
  </si>
  <si>
    <t>Çerçeve Takılmış Gövde</t>
  </si>
  <si>
    <t>Komple Ürün R NSL</t>
  </si>
  <si>
    <t>Komple Lens FRA</t>
  </si>
  <si>
    <t>Komple Lens SL/BR</t>
  </si>
  <si>
    <t>Conta+Lens+Gövde Plaka Lambası</t>
  </si>
  <si>
    <t>Porsche Plaka Lambası</t>
  </si>
  <si>
    <t>Beyaz Plaka lamba komple Gövdesi</t>
  </si>
  <si>
    <t>ampul tutucu komple</t>
  </si>
  <si>
    <t>Komple Kontak yay HL 367 MB T1</t>
  </si>
  <si>
    <t>Komple lens NSL 3300</t>
  </si>
  <si>
    <t>Komple Lens RFS 3300 SAE MB S123</t>
  </si>
  <si>
    <t>Komple Lens RFS 3300 UVK</t>
  </si>
  <si>
    <t>Komple Ürün 3300 BTM EVOBUS S200</t>
  </si>
  <si>
    <t>Komple Ürün 3300 BTM BMW UVG</t>
  </si>
  <si>
    <t>Komple Ürün 3300 BTL OPEL UVK</t>
  </si>
  <si>
    <t>komple ürün 3300 SAE+K BTM MB S123</t>
  </si>
  <si>
    <t>Komple Ürün 3300 BTM UVK</t>
  </si>
  <si>
    <t>Bağlantı Grubu NSL/RFS 3300</t>
  </si>
  <si>
    <t>komple kablo RFS 3300</t>
  </si>
  <si>
    <t>Kesilmiş, Yapıştırılmış conta</t>
  </si>
  <si>
    <t>Komple Ürün Sol</t>
  </si>
  <si>
    <t>Komple Ürün Sağ</t>
  </si>
  <si>
    <t>Reflektör + Lens</t>
  </si>
  <si>
    <t>Lens + Reflektör</t>
  </si>
  <si>
    <t>Komple Ampul Tutucu</t>
  </si>
  <si>
    <t>Komple ürün 377 L RFS/NSL/</t>
  </si>
  <si>
    <t>Komple Ürün 377 L RFS/NSL</t>
  </si>
  <si>
    <t>Komple Ürün 377 R RFS/NSL</t>
  </si>
  <si>
    <t>Komple Lens 377 RFS/</t>
  </si>
  <si>
    <t>Bağlantı kablosu HL 377</t>
  </si>
  <si>
    <t>Komple Ürün L 378 RFS / NSL</t>
  </si>
  <si>
    <t>Komple Ürün 378 R RFS/NSL</t>
  </si>
  <si>
    <t>Komple Ürün 378 L RFS/NSL/</t>
  </si>
  <si>
    <t>Komple Ürün 378 L</t>
  </si>
  <si>
    <t>Komple Ürün 378 R</t>
  </si>
  <si>
    <t>Komple Lens R 378 HL RFS /</t>
  </si>
  <si>
    <t>Komple ürün 380 R VW LT</t>
  </si>
  <si>
    <t>Komple Ürün 380 L VW LT</t>
  </si>
  <si>
    <t>Komple Ürün 380 R VW LT</t>
  </si>
  <si>
    <t>Komple Lens HL 380 VW LT</t>
  </si>
  <si>
    <t>Komple Ürün 367 +RFS 8/87&gt;</t>
  </si>
  <si>
    <t>Komple Lens 367 MB T1</t>
  </si>
  <si>
    <t>Komple Lens HL367 8/87&gt; MB</t>
  </si>
  <si>
    <t>Komple Ürün ZFRA L DB LKW NG + GL SVP</t>
  </si>
  <si>
    <t>Komple Ürün ZFRA R DB LKW NG + GL SVP</t>
  </si>
  <si>
    <t>Komple Ürün ZFRA + SML R DB LKW NG+GL SVP</t>
  </si>
  <si>
    <t>Komple Ürün ZFRA L DB LKW NG UVK</t>
  </si>
  <si>
    <t>Komple Ürün ZFRA R DB LKW NG UVK</t>
  </si>
  <si>
    <t>Komple Lens ZFRA DB</t>
  </si>
  <si>
    <t>Komple Ürün L DB Unimog</t>
  </si>
  <si>
    <t>Komple Ürün R DB Unimog</t>
  </si>
  <si>
    <t>Komple Lens FRA DB UNIMOG</t>
  </si>
  <si>
    <t>Komple Ürün 3300</t>
  </si>
  <si>
    <t>BLENDE L SCHWARZ HL</t>
  </si>
  <si>
    <t>BLENDE R SCHWARZ HL</t>
  </si>
  <si>
    <t>Lens, beyaz kapak kaynaklı Sol</t>
  </si>
  <si>
    <t>Lens, Beyaz kapak kaynaklı Sağ</t>
  </si>
  <si>
    <t>REFLEKTOR BEDAMPFT</t>
  </si>
  <si>
    <t>Reflektör + Şase + Ampul montajı</t>
  </si>
  <si>
    <t>Smart 253 Gövde + Lens montajı Sol</t>
  </si>
  <si>
    <t>Smart 253 Gövde + Lens montajı Sağ</t>
  </si>
  <si>
    <t>Ampul W2,3W Spoiler</t>
  </si>
  <si>
    <t>kırmızı spoiler lens hazırlığı</t>
  </si>
  <si>
    <t>Reflektör + Şase + Ampul ambalajı</t>
  </si>
  <si>
    <t>VERSCHLUßSTOPFEN</t>
  </si>
  <si>
    <t>REFLEKTORGEH.L BED.HL</t>
  </si>
  <si>
    <t>Spoiler AU DK MCO</t>
  </si>
  <si>
    <t>Poşetlenmiş ampul R5W HL</t>
  </si>
  <si>
    <t>Lens, Beyaz kapak kaynaklı Sol</t>
  </si>
  <si>
    <t>Lens, Beyaz kapak kaynağı sağ</t>
  </si>
  <si>
    <t>Lens, Beyaz kapak kaynağı sol</t>
  </si>
  <si>
    <t>Smart 399 Gövde + Lens montajı Sol</t>
  </si>
  <si>
    <t>Smart 399 Gövde + Lens montajı Sağ</t>
  </si>
  <si>
    <t>Lens + Şeffaf kapak + Kırmızı kapak kaynaklı Sol LL</t>
  </si>
  <si>
    <t>Lens + Şeffaf kapak + Kırmızı kapak kaynaklı Sağ LL</t>
  </si>
  <si>
    <t>Lens + Şeffaf kapak + Kırmızı kapak kaynaklı Sol RL</t>
  </si>
  <si>
    <t>Lens + Şeffaf kapak + Kırmızı kapak kaynaklı Sağ RL</t>
  </si>
  <si>
    <t>Smart 423 Gövde + Lens Sol</t>
  </si>
  <si>
    <t>Smart 423 Gövde + Lens Sağ</t>
  </si>
  <si>
    <t>Smart 423 Gövde + Lens montajı Sağ</t>
  </si>
  <si>
    <t>Blende Sol Siyah Parlatılmış HL</t>
  </si>
  <si>
    <t>Blende Sol Gri Boyalı Silinmiş</t>
  </si>
  <si>
    <t>Smart 423 Gövde + Lens montajı Sol</t>
  </si>
  <si>
    <t>Smart 253 Lens + Gövde Sol Gri blendeli</t>
  </si>
  <si>
    <t>Smart 253 Lens + Gövde Sağ Gri blendeli</t>
  </si>
  <si>
    <t>Smart 253 Lens + Gövde Sol Siyah Blendeli</t>
  </si>
  <si>
    <t>Smart 253 Lens + Gövde Sağ Siyah Blendeli</t>
  </si>
  <si>
    <t>Smart 253 Lens + Gövde Sol gri Blendeli</t>
  </si>
  <si>
    <t>Spoiler AU MCC</t>
  </si>
  <si>
    <t>Smart 253 Lens + Gövde montajı Sağ</t>
  </si>
  <si>
    <t>Smart 253 Lens + Gövde montajı Sol</t>
  </si>
  <si>
    <t>ZB</t>
  </si>
  <si>
    <t>Smart 292 Lens + Gövde + Ampul tutucu Sol</t>
  </si>
  <si>
    <t>Smart 292 Lens + Gövde + Ampul Tutucu Sağ</t>
  </si>
  <si>
    <t>Smart 292 Lens + Gövde + Ampul Tutucu Sol</t>
  </si>
  <si>
    <t>REFLEKTORGEH.L  -</t>
  </si>
  <si>
    <t>Smart 292 komple montaj Sol</t>
  </si>
  <si>
    <t>Smart 292 Komple Montaj Sağ</t>
  </si>
  <si>
    <t>Smart 292 Lens + Gövde montajı Sol</t>
  </si>
  <si>
    <t>Smart 292 gövde + lens montaj Sağ</t>
  </si>
  <si>
    <t>Smart 292 Komple Montaj Sol</t>
  </si>
  <si>
    <t>Smart 292 Lens + Gövde montajı Sağ</t>
  </si>
  <si>
    <t>BLENDE L HL MCC Rohteil</t>
  </si>
  <si>
    <t>Signum Montaj Beyaz Sol</t>
  </si>
  <si>
    <t>Signum Montaj Beyaz Sağ</t>
  </si>
  <si>
    <t>Signum Montaj Gri Sol</t>
  </si>
  <si>
    <t>Signum Montaj Gri Sağ</t>
  </si>
  <si>
    <t>SWL Montaj Sol Beyaz</t>
  </si>
  <si>
    <t>SWL Montaj Sağ Beyaz</t>
  </si>
  <si>
    <t>HDL Montaj Beyaz Sol</t>
  </si>
  <si>
    <t>HDL Montaj Beyaz Sağ</t>
  </si>
  <si>
    <t>HDL Montaj Sol Gri</t>
  </si>
  <si>
    <t>HDL Montaj Gri Sağ</t>
  </si>
  <si>
    <t>LICHTSCHEIBE FRA SAE HL</t>
  </si>
  <si>
    <t>423 Gövde + Vakumlu ampullu reflektör Sol</t>
  </si>
  <si>
    <t>SWL Montaj Gri Sol</t>
  </si>
  <si>
    <t>SWL Montaj Gri Sağ</t>
  </si>
  <si>
    <t>S300 duy Şaseli Kontok yaylı</t>
  </si>
  <si>
    <t>253 Gövde + Vakumlu ampullu reflektör Sol</t>
  </si>
  <si>
    <t>253 Gövde + Vakumlu ampullu reflektör Sağ</t>
  </si>
  <si>
    <t>423 Gövde + Vakumlu ampullu reflektör Sağ</t>
  </si>
  <si>
    <t>ultrasonik kaynakta lens birleştirme</t>
  </si>
  <si>
    <t>ultrasonuc kaynak lens birleştirme smart beyaz+lens</t>
  </si>
  <si>
    <t>ulstasonıc kaynak lens birleştirme smart kapak + lens</t>
  </si>
  <si>
    <t>gövde+lens+sönümleyici birleştirilmiş S300 Midibus</t>
  </si>
  <si>
    <t>gövde+lens+sönümleyici</t>
  </si>
  <si>
    <t>loxcell sürülmüş,sağ</t>
  </si>
  <si>
    <t>loxcell sürülmüş,sol</t>
  </si>
  <si>
    <t>Komple Ürün W169 Clas./Eleg.L FRA/farbl</t>
  </si>
  <si>
    <t>Komple Ürün W169 Clas./Eleg.R FRA/farbl</t>
  </si>
  <si>
    <t>Komple Ürün W169 Avantg.L FRA/RFL grau</t>
  </si>
  <si>
    <t>Komple Ürün W169 Avantg.R FRA/RFL grau</t>
  </si>
  <si>
    <t>Komple Ürün ZAFIRA sol NSL</t>
  </si>
  <si>
    <t>Komple Ürün ZAFIRA sağ NSL</t>
  </si>
  <si>
    <t>W210 SWL Sol ECE Gövde + Lens</t>
  </si>
  <si>
    <t>W210 SWL Sağ ECE Gövde + Lens</t>
  </si>
  <si>
    <t>W210 SWL Sol SAE Gövde + Lens</t>
  </si>
  <si>
    <t>W210 SWL Sağ SAE Gövde + Lens</t>
  </si>
  <si>
    <t>W210 SWL Sol ECE Gövde + Lens Gri</t>
  </si>
  <si>
    <t>W210 SWL Sağ ECE Gövde + Lens Gri</t>
  </si>
  <si>
    <t>W210 SWL Sol SAE Gövde + Lens Gri</t>
  </si>
  <si>
    <t>W210 SWL Sağ SAE Gövde + Lens Gri</t>
  </si>
  <si>
    <t>W211 Sol Elegant Gövde + Lens</t>
  </si>
  <si>
    <t>W211 Sağ Elegant Gövde + Lens</t>
  </si>
  <si>
    <t>W211 Sol Avangart Gövde + Lens</t>
  </si>
  <si>
    <t>W211 Sağ Avangart Gövde + Lens</t>
  </si>
  <si>
    <t>W211M Sol Elegant Gövde + Lens</t>
  </si>
  <si>
    <t>W211M Sağ Elegant Gövde + Lens</t>
  </si>
  <si>
    <t>W211M Sol Avangart Gövde + Lens</t>
  </si>
  <si>
    <t>W211M Sağ Avangart Gövde + Lens</t>
  </si>
  <si>
    <t>R170 Sol NSL Gövde + Lens</t>
  </si>
  <si>
    <t>R170 Sağ NSL Gövde + Lens</t>
  </si>
  <si>
    <t>R170 Sol SAE Gövde + Lens</t>
  </si>
  <si>
    <t>R170 Sağ SAE Gövde + Lens</t>
  </si>
  <si>
    <t>R170 Sol ECE NSL Gövde + Lens</t>
  </si>
  <si>
    <t>R170 Sağ ECE NSL Gövde + Lens</t>
  </si>
  <si>
    <t>R170 Sol sae NSL Gövde + Lens</t>
  </si>
  <si>
    <t>R170 Sağ sae NSL Gövde + Lens</t>
  </si>
  <si>
    <t>W210 SWL Sol ECE Gövde+Lens (ULO)</t>
  </si>
  <si>
    <t>W210 SWL Sağ ECE Gövde + Lens (ULO)</t>
  </si>
  <si>
    <t>W210 SWL Sol SAE Gövde + Lens (ULO)</t>
  </si>
  <si>
    <t>W210 SWL Sağ SAE Gövde + Lens (ULO)</t>
  </si>
  <si>
    <t>W210 SWL Sol ECE Gövde + Lens Gri (ULO)</t>
  </si>
  <si>
    <t>W210 SWL Sağ ECE Gövde + Lens Gri (ULO)</t>
  </si>
  <si>
    <t>W210 SWL Sol SAE Gövde + Lens Gri (ULO)</t>
  </si>
  <si>
    <t>W210 SWL Sağ SAE Gövde + Lens Gri (ULO)</t>
  </si>
  <si>
    <t>W211 Sol Elegant Gövde + Lens (ULO)</t>
  </si>
  <si>
    <t>W211 Sağ Elegant Gövde + Lens (ULO)</t>
  </si>
  <si>
    <t>W211 Sol Avangart Gövde + Lens (ULO)</t>
  </si>
  <si>
    <t>W211 Sağ Avangart Gövde + Lens (ULO)</t>
  </si>
  <si>
    <t>W211M Sol Elegant Gövde + Lens (ULO)</t>
  </si>
  <si>
    <t>W211M Sağ Elegant Gövde + Lens (ULO)</t>
  </si>
  <si>
    <t>W211M Sol Avangart Gövde + Lens (ULO)</t>
  </si>
  <si>
    <t>W211M Sağ Avangart Gövde + Lens (ULO)</t>
  </si>
  <si>
    <t>R170 Sol NSL Gövde + Lens (ULO)</t>
  </si>
  <si>
    <t>R170 Sağ NSL Gövde + Lens (ULO)</t>
  </si>
  <si>
    <t>R170 Sol SAE Gövde + Lens (ULO)</t>
  </si>
  <si>
    <t>R170 Sağ SAE Gövde + Lens (ULO)</t>
  </si>
  <si>
    <t xml:space="preserve">Komple Ürün Sol W221 =456011    </t>
  </si>
  <si>
    <t xml:space="preserve">Komple Ürün Sağ W221 =456012    </t>
  </si>
  <si>
    <t xml:space="preserve">Komple Ürün Sol W221 =456013    </t>
  </si>
  <si>
    <t xml:space="preserve">Komple Ürün Sağ W221 =456014    </t>
  </si>
  <si>
    <t>Komple Lens W204 Sol ECE/SAE</t>
  </si>
  <si>
    <t>Komple Lens W204 Sağ ECE/SAE</t>
  </si>
  <si>
    <t>Komple Lens W204 SP Sol</t>
  </si>
  <si>
    <t>Komple Lens W204 SP Sağ</t>
  </si>
  <si>
    <t>Komple Lens W204 SP Sol SAE</t>
  </si>
  <si>
    <t>Komple Lens W204 SP Sağ SAE</t>
  </si>
  <si>
    <t>Komple Lens W204 Sol avangart</t>
  </si>
  <si>
    <t>Komple Lens W204 Sağ avangart</t>
  </si>
  <si>
    <t>Komple Lens S204 Sol VST</t>
  </si>
  <si>
    <t>Komple Lens S204 Sağ VST</t>
  </si>
  <si>
    <t>Komple Lens S204 Sol avangart</t>
  </si>
  <si>
    <t>Komple Lens S204 Sağ avangart</t>
  </si>
  <si>
    <t>Komple Lens VST S204 SP Sol</t>
  </si>
  <si>
    <t>Komple Lens VST S204 SP Sağ</t>
  </si>
  <si>
    <t>Komple Lens X204 Sol</t>
  </si>
  <si>
    <t>Komple Lens X204 Sağ</t>
  </si>
  <si>
    <t>Komple Lens X204 Sol SP</t>
  </si>
  <si>
    <t>Komple Lens X204 Sağ SP</t>
  </si>
  <si>
    <t>Komple Lens X204 Sol SAE</t>
  </si>
  <si>
    <t>Komple Lens X204 Sağ SAE</t>
  </si>
  <si>
    <t>Komple W212 ECE/SAE Sol + GI</t>
  </si>
  <si>
    <t>Komple W212 ECE/SAE Sağ + GI</t>
  </si>
  <si>
    <t>Komple W212/LP Sol LED</t>
  </si>
  <si>
    <t>Komple W212/LP Sağ LED</t>
  </si>
  <si>
    <t>Komple W212/LP SAE Sol LED</t>
  </si>
  <si>
    <t>Komple W212/LP SAE Sağ LED</t>
  </si>
  <si>
    <t>Komple W212/LP Sol ARTL.</t>
  </si>
  <si>
    <t>Komple W212/LP Sağ ARTL.</t>
  </si>
  <si>
    <t>W212/LP Sol Artline</t>
  </si>
  <si>
    <t>W212/LP Sağ Artline</t>
  </si>
  <si>
    <t>Komple HDL W212 Sol AUSLAUF</t>
  </si>
  <si>
    <t>Komple HDL W212 Sağ AUSLAUF</t>
  </si>
  <si>
    <t>Komple HDL W212 Sol Artline</t>
  </si>
  <si>
    <t>Komple HDL W212 Sağ Artline</t>
  </si>
  <si>
    <t>Komple Lens W212 SAE UVK</t>
  </si>
  <si>
    <t>Lens + Kapak 1511</t>
  </si>
  <si>
    <t>Komple W212/LP Sol SAE ARTL..ET</t>
  </si>
  <si>
    <t>Komple W212/LP Sağ SAE ARTL..ET</t>
  </si>
  <si>
    <t>W212/LP Sol SAE Artline</t>
  </si>
  <si>
    <t>W212/LP Sağ SAE Artline</t>
  </si>
  <si>
    <t>Komple HDL W212 ECE/SAE Sol</t>
  </si>
  <si>
    <t>Komple HDL W212 ECE/SAE Sağ</t>
  </si>
  <si>
    <t>Komple C/A207 Sol</t>
  </si>
  <si>
    <t>Komple C/A207 Sağ</t>
  </si>
  <si>
    <t>Komple HDL C/A207 ECE/SAE Sol</t>
  </si>
  <si>
    <t>Komple HDL C/A207 ECE/SAE Sağ</t>
  </si>
  <si>
    <t>Led Reflektör Sol W204</t>
  </si>
  <si>
    <t>Led Reflektör Sağ W204</t>
  </si>
  <si>
    <t>Led Reflektör Sol W204 SAE</t>
  </si>
  <si>
    <t>Led Reflektör Sağ W204 SAE</t>
  </si>
  <si>
    <t>Led Reflektör Sol S204</t>
  </si>
  <si>
    <t>Led Reflektör Sağ S204</t>
  </si>
  <si>
    <t>Led Reflektör Sol X204</t>
  </si>
  <si>
    <t>Led Reflektör Sağ X204</t>
  </si>
  <si>
    <t>Led Reflektör Sol X204 SAE</t>
  </si>
  <si>
    <t>Led Reflektör Sağ X204 SAE</t>
  </si>
  <si>
    <t>Montajlı Lens Kaynağı</t>
  </si>
  <si>
    <t>Komple Ürün VST EVOBUS 0404 L FRA</t>
  </si>
  <si>
    <t>Komple Ürün VST EVOBUS 0404 R FRA</t>
  </si>
  <si>
    <t>Komple Ürün VST EVOBUS 0404 L FRA/G</t>
  </si>
  <si>
    <t>Komple Ürün VST O580 L SAE FRA</t>
  </si>
  <si>
    <t>Komple Ürün VST O580 R SAE FRA</t>
  </si>
  <si>
    <t>Komple Ürün VST O580 L ECE &gt;08/13</t>
  </si>
  <si>
    <t>Komple Ürün VST O580 R ECE &gt;08/13</t>
  </si>
  <si>
    <t>Komple Ürün VST EVOBUS 0404 R FRA/G</t>
  </si>
  <si>
    <t>Hazırlık,Küçük Sinyal,Lens Devre Kartı Kaynağı 24V WAAGR</t>
  </si>
  <si>
    <t>Hazırlık,Küçük Sinyal,Lens Devre Kartı Kaynağı EVOBUS SENKR</t>
  </si>
  <si>
    <t>Hazırlık,Küçük Sinyal,Lens Devre Kartı Kaynağı 24V SENKR</t>
  </si>
  <si>
    <t>Hazırlık,Küçük Sinyal,Lens Devre Kartı Kaynağı EVOBUS WAAGR</t>
  </si>
  <si>
    <t>Hazırlık,Küçük Sinyal,Lens Devre Kartı Kaynağı 28V</t>
  </si>
  <si>
    <t>Hazırlık,Küçük Sinyal,Lens Devre Kartı Kaynağı 12V WAAGR</t>
  </si>
  <si>
    <t>Hazırlık,Küçük Sinyal,Lens Devre Kartı Kaynağı 12V SAE</t>
  </si>
  <si>
    <t>Hazırlık,Küçük Sinyal,Lens Devre Kartı Kaynağı 12V</t>
  </si>
  <si>
    <t>Hazırlık,Küçük Sinyal,Lens Devre Kartı Kaynağı 24V SAE</t>
  </si>
  <si>
    <t>Hazırlık,Küçük Sinyal,Lens Devre Kartı Kaynağı AUSLAUF SAE</t>
  </si>
  <si>
    <t>Hazırlık,Küçük Sinyal,Lens Devre Kartı Kaynağı SML/BGL SAE</t>
  </si>
  <si>
    <t>Hazırlık,Küçük Sinyal,Lens Devre Kartı Kaynağı EVOBUS SAE</t>
  </si>
  <si>
    <t>Hazırlık,Küçük Sinyal,Macun Çekme 24V WAAGR</t>
  </si>
  <si>
    <t>Hazırlık,Küçük Sinyal,Macun Çekme EVOBUS SENKR</t>
  </si>
  <si>
    <t>Hazırlık,Küçük Sinyal,Macun Çekme 24V SENKR</t>
  </si>
  <si>
    <t>Hazırlık,Küçük Sinyal,Macun Çekme EVOBUS WAAGR</t>
  </si>
  <si>
    <t>Hazırlık,Küçük Sinyal,Macun Çekme 28V</t>
  </si>
  <si>
    <t>Hazırlık,Küçük Sinyal,Macun Çekme 12V WAAGR</t>
  </si>
  <si>
    <t>Hazırlık,Küçük Sinyal,Macun Çekme 12V SAE</t>
  </si>
  <si>
    <t>Hazırlık,Küçük Sinyal,Macun Çekme 12V</t>
  </si>
  <si>
    <t>Hazırlık,Küçük Sinyal,Macun Çekme 24V SAE</t>
  </si>
  <si>
    <t>Hazırlık,Küçük Sinyal,Macun Çekme SML/BGL SAE</t>
  </si>
  <si>
    <t>Hazırlık,Küçük Sinyal,Macun Çekme EVOBUS SAE</t>
  </si>
  <si>
    <t>Hazırlık,Komple,Sol,S204 MP</t>
  </si>
  <si>
    <t>Hazırlık,Komple,Sağ,S204 MP</t>
  </si>
  <si>
    <t>Hazırlık,Gövde,Sağ,Sağ D.Toco-4 Ask,Piyasa</t>
  </si>
  <si>
    <t>Hazırlık,Gövde,Sol,Sağ D.Toco-4 Ask,Piyasa</t>
  </si>
  <si>
    <t>Hazırlık,ZFRA R VW 611</t>
  </si>
  <si>
    <t>Hazırlık,ZFRA L VW 611</t>
  </si>
  <si>
    <t>Hazırlık,ZFRA VW D1 Sol</t>
  </si>
  <si>
    <t>Hazırlık,ZFRA VW D1 Sağ</t>
  </si>
  <si>
    <t>KO.OPTİK ÜNİTE,SOL,AUDI,ÇAMUR,ECE,BASIS</t>
  </si>
  <si>
    <t>KO.OP.ÜNİTE,SOL,AUDI S8,ÇAMUR,ECE,BASIS</t>
  </si>
  <si>
    <t>KO.OPTİK ÜNİTE,SAĞ,AUDI,ÇAMUR,ECE,BASIS</t>
  </si>
  <si>
    <t>KO.OP.ÜNİTE,SAĞ,AUDI S8,ÇAMUR,ECE,BASIS</t>
  </si>
  <si>
    <t>KO.OPTİK ÜNİTE,SOL,AUDI,BAGAJ,ECE,BASIS</t>
  </si>
  <si>
    <t>KO.OPTİK ÜNİTE,SOL,AUDI,BAGAJ,ECE,WİBLİ</t>
  </si>
  <si>
    <t>KO.OPTİK ÜNİTE,SOL,AUDİ,BAGAJ,SAE</t>
  </si>
  <si>
    <t>KO.OP.ÜNİTE,SOL,AUDI S8,BAGAJ,ECE,BASIS</t>
  </si>
  <si>
    <t>KO.OPTİK ÜNİTE,SOL,AUDİ S8,BAGAJ,SAE</t>
  </si>
  <si>
    <t>KO.OP.ÜNİTE,SOL,AUDI S8,BAGAJ,ECE,WIBLI</t>
  </si>
  <si>
    <t>KO.OPTİK ÜNİTE,SAĞ,AUDI,BAGAJ,ECE,BASIS</t>
  </si>
  <si>
    <t xml:space="preserve">KO.OPTİK ÜNİTE,SAĞ,AUDI,BAGAJ,ECE,WİBLİ </t>
  </si>
  <si>
    <t>KO.OPTİK ÜNİTE,SAĞ,AUDİ,BAGAJ,SAE</t>
  </si>
  <si>
    <t>KO.OP.ÜNİTE,SAĞ,AUDI S8,BAGAJ,ECE,BASIS</t>
  </si>
  <si>
    <t>KO.OPTİK ÜNİTE,SAĞ,AUDİ S8,BAGAJ,SAE</t>
  </si>
  <si>
    <t>KO.OP.ÜNİTE,SAĞ,AUDI S8,BAGAJ,ECE,WIBLI</t>
  </si>
  <si>
    <t>KO.OPTİK ÜNİTE,SOL,AUDİ,ÇAMURLUK,SAE</t>
  </si>
  <si>
    <t>KO.OPTİK ÜNİTE,SOL,AUDİ S8,ÇAMUR,SAE</t>
  </si>
  <si>
    <t>KO.OPTİK ÜNİTE,SAĞ,AUDİ,ÇAMURLUK,SAE</t>
  </si>
  <si>
    <t>KO.OPTİK ÜNİTE,SAĞ,AUDİ S8,ÇAMUR,SAE</t>
  </si>
  <si>
    <t>KO.OPTİK ÜNİTE,SOL,AUDI,ÇAMUR,ECE,WİBLİ</t>
  </si>
  <si>
    <t>KO.OP.ÜNİTE,SOL,AUDI S8,ÇAMUR.ECE,WIBLI</t>
  </si>
  <si>
    <t>KO.OPTİK ÜNİTE,SAĞ,AUDI,ÇAMUR,ECE,WİBLİ</t>
  </si>
  <si>
    <t>KO.OP.ÜNİTE,SAĞ,AUDI S8,ÇAMUR.ECE,WIBLI</t>
  </si>
  <si>
    <t>KO.OP.ÜNİTE,SOL,S205 ASK,ÇAMURLUK,ET</t>
  </si>
  <si>
    <t>KO.OP.ÜNİTE,SAĞ,S205 ASK,ÇAMURLUK,ET</t>
  </si>
  <si>
    <t>KO.OP.ÜNİTE,SOL,S205 ASK,ÇAMURLUK,SA</t>
  </si>
  <si>
    <t>KO.OP.ÜNİTE,SAĞ,S205 ASK,ÇAMURLUK,SA</t>
  </si>
  <si>
    <t>KO.OPTİK ÜNİTE,SOL,S205 ASK,BAGAJ,ET</t>
  </si>
  <si>
    <t>KO.OPTİK ÜNİTE,SAĞ,S205 ASK,BAGAJ,ET</t>
  </si>
  <si>
    <t>KO.OPTİK ÜNİTE,SOL,S205 ASK,BAGAJ,SA</t>
  </si>
  <si>
    <t>KO.OPTİK ÜNİTE,SAĞ,S205 ASK,BAGAJ,SA</t>
  </si>
  <si>
    <t>KO.OP.ÜNİTE,SOL,S205 ASK,ÇAMUR.ET,ULO</t>
  </si>
  <si>
    <t>KO.OP.ÜNİTE,SAĞ,S205 ASK,ÇAMUR.ET,ULO</t>
  </si>
  <si>
    <t>KO.OP.ÜNİTE,SOL,S205 ASK,ÇAM.SA,ULO</t>
  </si>
  <si>
    <t>KO.OP.ÜNİTE,SAĞ,S205 ASK,ÇAMUR.SA,ULO</t>
  </si>
  <si>
    <t>KO.OP.ÜNİTE,SOL,S205 ASK,ÇAMUR.SA,ULO</t>
  </si>
  <si>
    <t xml:space="preserve">KO.OP.ÜNİTE,SAĞ,S205 ASK,ÇAMUR.SA,ULO </t>
  </si>
  <si>
    <t>KO.OP.ÜNİTE,SOL,S205 ASK,BAGAJ,ET,ULO</t>
  </si>
  <si>
    <t>KO.OP.ÜNİTE,SAĞ,S205 ASK,BAGAJ,ET,ULO</t>
  </si>
  <si>
    <t>KO.OP.ÜNİTE,SOL,S205 ASK,BAGAJ,SA,ULO</t>
  </si>
  <si>
    <t>KO.OP.ÜNİTE,SAĞ,S205 ASK,BAGAJ,SA,ULO</t>
  </si>
  <si>
    <t>KO.OPTİK ÜNİTE,SOL,S205 ASK,ÇAMURLUK,ET</t>
  </si>
  <si>
    <t>KO.OPTİK ÜNİTE,SAĞ,S205 ASK,ÇAMURLUK,ET</t>
  </si>
  <si>
    <t>KO.OPTİK ÜNİTE,SOL,S205 ASK,ÇAMURLUK,SA</t>
  </si>
  <si>
    <t>KO.OPTİK ÜNİTE,SAĞ,S205 ASK,ÇAMURLUK,SA</t>
  </si>
  <si>
    <t>KO.OPTİK ÜNİTE,SOL,S205,BAGAJ,SA,ULO,SAE</t>
  </si>
  <si>
    <t>KO.OPTİK ÜNİTE,SAĞ,S205,BAGAJ,SA,ULO,SAE</t>
  </si>
  <si>
    <t>KO.OP.ÜNİ,SWL S205 SA ECE ,SOL,RHD,ULO</t>
  </si>
  <si>
    <t>KO.OP.ÜNİ,SWL S205 SA ECE ,SAĞ,RHD,ULO</t>
  </si>
  <si>
    <t>KO.OP.ÜNİ,SWL S205,ET,ECE,SOL,RHD,ULO</t>
  </si>
  <si>
    <t>KO.OP.ÜNİ,SWL S205,ET,ECE,SAĞ,RHD,ULO</t>
  </si>
  <si>
    <t>KO.OP.ÜNİTE,S205 MOPF,SA,SOL,HDL,LHD</t>
  </si>
  <si>
    <t>KO.OP.ÜNİTE,S205 MOPF,SA,SAĞ,HDL,LHD</t>
  </si>
  <si>
    <t>KO.OP.ÜNİTE,S205 MOPF,SA,SOL,HDL,RHD</t>
  </si>
  <si>
    <t>KO.OP.ÜNİTE,S205 MOPF,SA,SAĞ,HDL,RHD</t>
  </si>
  <si>
    <t>KO.OP.ÜNİTE,S205 MOPF,ECE,SA,SOL,SWL</t>
  </si>
  <si>
    <t>KO.OP.ÜNİTE,S205 MOPF,ECE,SA,SAĞ,SWL</t>
  </si>
  <si>
    <t>KO.OP.ÜNİTE,S205 MOPF,SA ECE,SOL,RHD,SWL</t>
  </si>
  <si>
    <t>KO.OP.ÜNİTE,S205 MOPF,SA ECE,SAĞ,RHD,SWL</t>
  </si>
  <si>
    <t>KO.OP.ÜNİTE,S205 MOPF,SAE, SA,SOL,HDL</t>
  </si>
  <si>
    <t>KO.OP.ÜNİTE,S205 MOPF,SAE, SA,SAĞ,HDL</t>
  </si>
  <si>
    <t>KO.OP.ÜNİTE,S205 MOPF,SAE,SA,SOL,SWL</t>
  </si>
  <si>
    <t>KO.OP.ÜNİTE,S205 MOPF,SAE,SA,SAĞ,SWL</t>
  </si>
  <si>
    <t>KO.OP.ÜNİTE,S205 MOPF,SA,SOL,HDL,LHD,ULO</t>
  </si>
  <si>
    <t>KO.OP.ÜNİTE,S205 MOPF,SA,SAĞ,HDL,LHD,ULO</t>
  </si>
  <si>
    <t>KO.OP.ÜNİTE,S205 MOPF,SA,SOL,HDL,RHD,ULO</t>
  </si>
  <si>
    <t>KO.OP.ÜNİTE,S205 MOPF,SA,SAĞ,HDL,RHD,ULO</t>
  </si>
  <si>
    <t>KO.OP.ÜNİTE,S205 MOPF,ECE,SA,SOL,SWL,ULO</t>
  </si>
  <si>
    <t>KO.OP.ÜNİTE,S205 MOPF,ECE,SA,SAĞ,SWL,ULO</t>
  </si>
  <si>
    <t>KO.OP.ÜN,S205MOPF,SA ECE,SOL,RHD,SWL,ULO</t>
  </si>
  <si>
    <t>KO.OP.ÜN,S205MOPF,SA ECE,SAĞ,RHD,SWL,ULO</t>
  </si>
  <si>
    <t>KO.OP.ÜNİ.,S205 MOPF,SAE, SA,SOL,HDL,ULO</t>
  </si>
  <si>
    <t>KO.OP.ÜNİ.,S205 MOPF,SAE, SA,SAĞ,HDL,ULO</t>
  </si>
  <si>
    <t>KO.OP.ÜNİTE,S205 MOPF,SAE,SA,SOL,SWL,ULO</t>
  </si>
  <si>
    <t>KO.OP.ÜNİTE,S205 MOPF,SAE,SA,SAĞ,SWL,ULO</t>
  </si>
  <si>
    <t>Dis Tas,M.124</t>
  </si>
  <si>
    <t>Far dis tasi,Kablolu,Otokar</t>
  </si>
  <si>
    <t>Ampul Tutucu,Unıstop,Otosan</t>
  </si>
  <si>
    <t>Ampul Tutucu,Unıstop,Otokar</t>
  </si>
  <si>
    <t>Ampul Tutucu,Unıstop,Temsa</t>
  </si>
  <si>
    <t>Ampul Tutucu,Komple,Plakali</t>
  </si>
  <si>
    <t>Ampul Tutucu,Komple</t>
  </si>
  <si>
    <t>Ampul Tutucu,Komple,Sag,L84</t>
  </si>
  <si>
    <t>Ampul Tutucu,Komple,Sol,L84</t>
  </si>
  <si>
    <t>Ampul Tutucu,R.9,ASK,Sag</t>
  </si>
  <si>
    <t>Ampul Tutucu,R.9,ASK,Sol</t>
  </si>
  <si>
    <t>Ampul Tutucu,L65,Sağ,F-2</t>
  </si>
  <si>
    <t>Ampul Tutucu,B/C 85,Sag</t>
  </si>
  <si>
    <t>Ampul Tutucu,BC-85,Sağ</t>
  </si>
  <si>
    <t>Ampul Tutucu,BC-85,Sol</t>
  </si>
  <si>
    <t>Ampul Tutucu,Toyota 374L,Sağ</t>
  </si>
  <si>
    <t>Baglanti Çercevesi+Sinyal,Sağ 8200-6/11256E-S</t>
  </si>
  <si>
    <t>Baglanti Çercevesi+Sinyal,Sol 8210-16/11255E-S</t>
  </si>
  <si>
    <t>Baglanti Çercevesi+Sinyal,Sağ 8220/11956E Kullanılıyor.</t>
  </si>
  <si>
    <t>Baglanti Çercevesi+Sinyal,Sağ 8326/12440S Kullanılıyor</t>
  </si>
  <si>
    <t>Baglanti Çercevesi+Sinyal,Sol 8230/11955E kullanılıyor</t>
  </si>
  <si>
    <t>Baglanti Çercevesi+Sinyal,Sol 8336/12439S Kullanılıyor</t>
  </si>
  <si>
    <t>Sinyal+Lens,Iveco,Sağ,Ambalaj.11956-11256-1240E/S</t>
  </si>
  <si>
    <t>Sinyal+Lens,Iveco,Sag,Ambalaj.11956-11256-1240E/S</t>
  </si>
  <si>
    <t>Sinyal+Lens,Iveco,Sol,Ambalaj.11955-11255-1239E/S</t>
  </si>
  <si>
    <t>Sinyal+Lens,Iveco,Sol,Ambalaj.j.11955-11255-1239E/S</t>
  </si>
  <si>
    <t>Ampul Tutucu, Komple , Unistop 2</t>
  </si>
  <si>
    <t>Ampul Tutucu,Sag, X204</t>
  </si>
  <si>
    <t>Ampul Tutucu,Sağ,W204,Ampullü</t>
  </si>
  <si>
    <t>Ampul Tutucu,Sol,W204,Ampullü</t>
  </si>
  <si>
    <t>Ampul Tutucu,Sol,S204MP,Ampullü</t>
  </si>
  <si>
    <t>Ampul Tutucu,Sağ,S204MP,Ampullü</t>
  </si>
  <si>
    <t>Al.Reflektör,Spot</t>
  </si>
  <si>
    <t>Al.Reflektör,Flanşlı</t>
  </si>
  <si>
    <t>Al.Ara Çerçeve</t>
  </si>
  <si>
    <t>Ø90 Alüminyum Soğutucu</t>
  </si>
  <si>
    <t>Alm.Soğutucu,FB 100,Kapak,Kontrol</t>
  </si>
  <si>
    <t>Alm.Soğutucu,FB 100,Gövde,Sağ,Kısa Hüzme,Boyasız</t>
  </si>
  <si>
    <t>Alm.Soğutucu,FB 100,Gövde,Sol,Kısa Hüzme,Boyasız</t>
  </si>
  <si>
    <t>Alm.Soğutucu,FB 110,Kapak,Kontrol,Boyasız</t>
  </si>
  <si>
    <t>Alm.Soğutucu,FB 110,Gövde,,Uzun Hüzme,Boyasız</t>
  </si>
  <si>
    <t>ASK,R1,SOL</t>
  </si>
  <si>
    <t>ASK,R1,SAG</t>
  </si>
  <si>
    <t>ASK,PARMAK,R1,SOL</t>
  </si>
  <si>
    <t>ASK,PARMAK,R1,SAG</t>
  </si>
  <si>
    <t>ASK,UST,R1,SOL</t>
  </si>
  <si>
    <t>ASK,UST,R1,SAG</t>
  </si>
  <si>
    <t>ASK,CITARO,MOPF,SOL</t>
  </si>
  <si>
    <t>ASK,CITARO,MOPF,SAG</t>
  </si>
  <si>
    <t>ASK,CITARO,LE,SOL</t>
  </si>
  <si>
    <t>ASK,CITARO,LE,SAG</t>
  </si>
  <si>
    <t>SIS LAMBASI,ARKA SOL,B32</t>
  </si>
  <si>
    <t>SIS LAMBASI,ARKA SOL,B32,IRAN</t>
  </si>
  <si>
    <t>KAPAK KOMPLE, ASTAR BOYALI, 3. FREN, NA</t>
  </si>
  <si>
    <t>SIS LAMBASI,ARKA SOL,B32,SAG DIREK.</t>
  </si>
  <si>
    <t>SIS LAMBASI,ARKA SAG,B32</t>
  </si>
  <si>
    <t>SIS LAMBASI,ARKA SAG,B32,SAG DIREK.</t>
  </si>
  <si>
    <t>3.FREN LAMBASI,FD</t>
  </si>
  <si>
    <t>3.FREN LAMBASI,L.84</t>
  </si>
  <si>
    <t>KAPAK,3.FREN LAMBASI,L.84</t>
  </si>
  <si>
    <t>YAN SINYAL,AMPULSUZ,FD, TURUNCU</t>
  </si>
  <si>
    <t>YAN SINYAL,V227,NA/MCA</t>
  </si>
  <si>
    <t>3. FREN LAMBASI, FD</t>
  </si>
  <si>
    <t>3. FREN LAMBASI, L84</t>
  </si>
  <si>
    <t>3. FREN LAMBASI, L.84</t>
  </si>
  <si>
    <t>KAPAK, 3. FREN LAMBASI, L84</t>
  </si>
  <si>
    <t>ASK,EK UNITE, KC4, SOL</t>
  </si>
  <si>
    <t>ASK,EK UNITE, KC4, SAG</t>
  </si>
  <si>
    <t>YAN SINYAL, AMPULSUZ, FD</t>
  </si>
  <si>
    <t>OPTIK UNITE, V227CONNECT FACELIFT, NA</t>
  </si>
  <si>
    <t>ON SINYAL + POZISYON,SOL,OTOKAR</t>
  </si>
  <si>
    <t>ON SINYAL + POZISYON,SAG,OTOKAR</t>
  </si>
  <si>
    <t>ADAPTOR,SFTP,SOL</t>
  </si>
  <si>
    <t>ADAPTOR,SFTP,SOL,SERVIS</t>
  </si>
  <si>
    <t>ADAPTOR,SFTP,SAG</t>
  </si>
  <si>
    <t>ADAPTOR,SFTP,SAG,SERVIS</t>
  </si>
  <si>
    <t>KORUYUCU KAPAK, SFTP</t>
  </si>
  <si>
    <t>KORUYUCU KAPAK, SFTP, SERVIS</t>
  </si>
  <si>
    <t>ASK,MCV 225, SOL,CARGO</t>
  </si>
  <si>
    <t>ASK,UNISTOP-3,SOL,12V,ICA</t>
  </si>
  <si>
    <t>ASK,UNISTOP-3,SAG,12V,ICA</t>
  </si>
  <si>
    <t>LENS,SOL,KAYNAKLI,UNISTOP-3</t>
  </si>
  <si>
    <t>LENS,SAG,KAYNAKLI,UNISTOP-3</t>
  </si>
  <si>
    <t>ASK,UNISTOP-3,SOL,12V,SERVIS,KABLOSUZ</t>
  </si>
  <si>
    <t>ASK,UNISTOP-3,SAG,12V,SERVIS,KABLOSUZ</t>
  </si>
  <si>
    <t>ASK,UNISTOP-3,SOL,12V,RUSYA</t>
  </si>
  <si>
    <t>ASK,UNISTOP-3,SAG,12V,RUSYA</t>
  </si>
  <si>
    <t>ASK,UNISTOP-3,SOL,12V,KABLOSUZ</t>
  </si>
  <si>
    <t>ASK,UNISTOP-3,SAG,12V,KABLOSUZ</t>
  </si>
  <si>
    <t>ASK,UNISTOP-3,12V,KABLOLU,SET</t>
  </si>
  <si>
    <t>ASK,UNISTOP-3,12V,SET</t>
  </si>
  <si>
    <t>ASK,UNISTOP-3,SOL,12V</t>
  </si>
  <si>
    <t>ASK,UNISTOP-3,SAG,12V</t>
  </si>
  <si>
    <t>ASK,UNISTOP-3,SOL,12V,URUGUAY</t>
  </si>
  <si>
    <t>ASK,UNISTOP-3,SAG,12V,URUGUAY</t>
  </si>
  <si>
    <t>ASK,SOL,BAGAJ,L38E,KOREA,SERVIS</t>
  </si>
  <si>
    <t>ASK,SOL,BAGAJ,L38E,KOREA</t>
  </si>
  <si>
    <t>ASK,SOL,BAGAJ,L38E</t>
  </si>
  <si>
    <t>ASK,SAG,BAGAJ,L38E,KOREA</t>
  </si>
  <si>
    <t>ASK,SAG,BAGAJ,L38E</t>
  </si>
  <si>
    <t>ASK,SOL,CAMURLUK,L38E,KOREA</t>
  </si>
  <si>
    <t>ASK,SOL,CAMURLUK,L38E</t>
  </si>
  <si>
    <t>ASK,SOL,CAMURLUK,L38E,KOREA,SERVIS</t>
  </si>
  <si>
    <t>ASK,SAG,CAMURLUK,L38E,KOREA</t>
  </si>
  <si>
    <t>ASK,SAG,CAMURLUK,L38E</t>
  </si>
  <si>
    <t>ASK,SAG,CAMURLUK,L38E,KOREA,SERVIS</t>
  </si>
  <si>
    <t>ASK,SAG,BAGAJ,L38E,KOREA,SERVIS</t>
  </si>
  <si>
    <t>Bliss Kapak Sol Unistop3 ICA</t>
  </si>
  <si>
    <t>Bliss Kapak Sağ Unistop3 ICA</t>
  </si>
  <si>
    <t>Unistop-5 Sol V1</t>
  </si>
  <si>
    <t>Unistop-5 Sağ V1</t>
  </si>
  <si>
    <t>Unistop-5 Sol V2</t>
  </si>
  <si>
    <t>Unistop-5 Sağ V2</t>
  </si>
  <si>
    <t>Unistop-5 Sol V3</t>
  </si>
  <si>
    <t>Unistop-5 Sağ V3</t>
  </si>
  <si>
    <t>Unistop-5 V4</t>
  </si>
  <si>
    <t>Unistop-5 V5</t>
  </si>
  <si>
    <t>Unistop-5 V6</t>
  </si>
  <si>
    <t>LIGHT VEHICULAR,KOYU YESIL (N15231)</t>
  </si>
  <si>
    <t>ON SINYAL,COMP.LIGHT,FRONT,ASSY LAB</t>
  </si>
  <si>
    <t>ARKA SINYAL,COMP.LIGHT,MACH,STAMP</t>
  </si>
  <si>
    <t>ARKA SINYAL KAPAK KOMPLE</t>
  </si>
  <si>
    <t>LIGHT VEHICULAR,COL SARISI N15171-K</t>
  </si>
  <si>
    <t>0904E Ø88 UNIVERSAL SPOT</t>
  </si>
  <si>
    <t>Ø88 UNIVERSAL SPOT</t>
  </si>
  <si>
    <t>UNIVERSAL SIS</t>
  </si>
  <si>
    <t>Ø88 UNIVERSAL SPOT,Deliksiz,Duysuz</t>
  </si>
  <si>
    <t>REFLEKTOR,Ø 130 PARKSIZ</t>
  </si>
  <si>
    <t>REFLEKTOR,Ø 130,PARKLI</t>
  </si>
  <si>
    <t>FAR, Ø130 TUMOSAN TIPI,PARKLI</t>
  </si>
  <si>
    <t>REFLEKTOR,Ø 130 UZEL</t>
  </si>
  <si>
    <t>REFLEKTOR.SAG,100X155,TRAKTOR</t>
  </si>
  <si>
    <t>REFLEKTOR.SOL,100X155,TRAKTOR</t>
  </si>
  <si>
    <t>REFLEKTOR.100X155,TRAKTOR</t>
  </si>
  <si>
    <t>REFLEKTOR.UZUN MESN,100X155,TRAKTOR</t>
  </si>
  <si>
    <t>REFLEKTOR,M.131-SAHIN,DIS</t>
  </si>
  <si>
    <t>REFLEKTOR,M.131-SAHIN,IC</t>
  </si>
  <si>
    <t>REFLEKTOR,M.124/50 NC</t>
  </si>
  <si>
    <t>REFLEKTOR,(Ø170) V.LI P.LI U.E</t>
  </si>
  <si>
    <t>REFLEKTOR,(Ø170)LUCAS,PLI K.E.</t>
  </si>
  <si>
    <t>REFLEKTOR,ANADOL SL,PLI</t>
  </si>
  <si>
    <t>REFLEKTOR,M.131</t>
  </si>
  <si>
    <t>REFLEKTOR,TREYLER P.SIZ</t>
  </si>
  <si>
    <t>REFLEKTOR,R.12 TL-STW</t>
  </si>
  <si>
    <t>REFLEKTOR,DIKDORTGEN,H3</t>
  </si>
  <si>
    <t>REFLEKTOR,M.FERGUSON-STEYR</t>
  </si>
  <si>
    <t>FAR, Ø 120 , PARKLI</t>
  </si>
  <si>
    <t>REFLEKTOR,Ø 120,P.LI</t>
  </si>
  <si>
    <t>REF. T. TRAKTOR ON FAR</t>
  </si>
  <si>
    <t>REFLEKTOR,SERCE</t>
  </si>
  <si>
    <t>REFLEKTOR,(Ø180)USA ATOM,PSIZ</t>
  </si>
  <si>
    <t>REFLEKTOR,Ø 180 LUCAS TIPI PLI</t>
  </si>
  <si>
    <t>REFLEKTOR,Ø 180 Y.M.V.LI PSIZ</t>
  </si>
  <si>
    <t>REFLEKTOR,Ø 180 Y.M.V.LI PLI</t>
  </si>
  <si>
    <t>REFLEKTOR,Ø 180 M. 124/50 NC</t>
  </si>
  <si>
    <t>REFLEKTOR,M.131 87-DOGAN,SAG</t>
  </si>
  <si>
    <t>REFLEKTOR,M.131 87-DOGAN,SOL</t>
  </si>
  <si>
    <t>REFLEKTOR,F CARGO,SAG</t>
  </si>
  <si>
    <t>REFLEKTOR,F. CARGO,SOL</t>
  </si>
  <si>
    <t>REFLEKTOR,F.TAUNUS 1.6,SAG</t>
  </si>
  <si>
    <t>REFLEKTOR,F.TAUNUS 1.6,SOL</t>
  </si>
  <si>
    <t>REFLEKTOR,M. 302,SAG</t>
  </si>
  <si>
    <t>10353E REFLEKTOR,M. 302,SOL</t>
  </si>
  <si>
    <t>REFLEKTOR,ANADOL SL P.LI</t>
  </si>
  <si>
    <t>REFLEKTOR,BMC TM-30 160 TIP</t>
  </si>
  <si>
    <t>REFLEKTOR,F. 126-127-128 P.LI</t>
  </si>
  <si>
    <t>REFLEKTOR,W OPTIK</t>
  </si>
  <si>
    <t>REFLEKTOR,MERCEDES 115</t>
  </si>
  <si>
    <t>REFLEKTOR,MERCEDES 123-230,SAG</t>
  </si>
  <si>
    <t>REFLEKTOR,MERCEDES 123-230,SOL</t>
  </si>
  <si>
    <t>REFLEKTOR MERCEDES 309 SAG</t>
  </si>
  <si>
    <t>REFLEKTOR MERCEDES 309 SOL</t>
  </si>
  <si>
    <t>REFLEKTOR,UNIMOG</t>
  </si>
  <si>
    <t>REFLEKTOR,100X165,TIP 1,SAG</t>
  </si>
  <si>
    <t>REFLEKTOR,100X165,TIP 2,SAG</t>
  </si>
  <si>
    <t>REFLEKTOR,100X165,TIP 1,SOL</t>
  </si>
  <si>
    <t>REFLEKTOR,100X165,TIP 2,SOL</t>
  </si>
  <si>
    <t>REFLEKTOR,100X165,HR,ATOM</t>
  </si>
  <si>
    <t>REFLEKTOR,100X165,HCRA,ATOM</t>
  </si>
  <si>
    <t>REFLEKTOR,100X165,CR,ATOM</t>
  </si>
  <si>
    <t>REFLEKTOR,100X165,HR,SAG</t>
  </si>
  <si>
    <t>REFLEKTOR,100X165,HCRA,SAG</t>
  </si>
  <si>
    <t>REFLEKTOR,100X165,HR,SOL</t>
  </si>
  <si>
    <t>REFLEKTOR,100X165,HCRA,SOL</t>
  </si>
  <si>
    <t>REFLEKTOR,ON FAR,BASAK TRAKTOR</t>
  </si>
  <si>
    <t>FAR,100X165,HCRA,BASAK TRAKTOR</t>
  </si>
  <si>
    <t>FAR,100X165,HCR,ERKUNT</t>
  </si>
  <si>
    <t>REFLEKTOR,P. J9 MINUBUS,SAG</t>
  </si>
  <si>
    <t>REFLEKTOR,P. J9 MINUBUS,SOL</t>
  </si>
  <si>
    <t>REFLEKTOR,ON FAR,BASAK,HCR,P.SIZ</t>
  </si>
  <si>
    <t>REFLEKTOR,100X165,T.2,SAG,PLI</t>
  </si>
  <si>
    <t>REFLEKTOR,100X165,T.2,SOL,PLI</t>
  </si>
  <si>
    <t>FAR,TEKLI,100X165,HCR</t>
  </si>
  <si>
    <t>FAR,TEKLI,100X165,HCR,HIDROMEK</t>
  </si>
  <si>
    <t>REFLEKTOR175X210BMC FT.KAREPLI</t>
  </si>
  <si>
    <t>REFLEKTOR,175X210 BMC TRANSIT</t>
  </si>
  <si>
    <t>REFLEKTOR,175X210 KARE H4 PLI</t>
  </si>
  <si>
    <t>REFLEKTOR175X210KARE NISSAN H4</t>
  </si>
  <si>
    <t>REFLEKTOR175X210 KLASIK A</t>
  </si>
  <si>
    <t>REFLEKTOR175X210 KLASIK B</t>
  </si>
  <si>
    <t>M.F. 285 KARE TRAKTOR FARI</t>
  </si>
  <si>
    <t>REFLEKTOR,175X210 HCRA,Y.TIP</t>
  </si>
  <si>
    <t>REFLEKTOR,142X200,HCR</t>
  </si>
  <si>
    <t>REFLEKTOR,142X200,HCRA</t>
  </si>
  <si>
    <t>REFLEKTOR,142X200,CR,ATOM</t>
  </si>
  <si>
    <t>REFLEKTOR,142X200,HCR,ATOM</t>
  </si>
  <si>
    <t>REFLEKTOR,P.504,HCR,SAG,NIJERY</t>
  </si>
  <si>
    <t>REFLEKTOR,P.504,HCR,SOL,NIJERY</t>
  </si>
  <si>
    <t>REFLEKTOR,M.KAMYON,SAG</t>
  </si>
  <si>
    <t>REFLEKTOR,M.KAMYON,SOL</t>
  </si>
  <si>
    <t>REFLEKTOR,M.303,SAG</t>
  </si>
  <si>
    <t>REFLEKTOR,M.303,SOL</t>
  </si>
  <si>
    <t>REFLEKTOR,J9,SAG,HCRA</t>
  </si>
  <si>
    <t>REFLEKTOR,KARSAN,J9 SAG,HCRA</t>
  </si>
  <si>
    <t>REFLEKTOR.J9,SOL,HCRA</t>
  </si>
  <si>
    <t>REFLEKTOR,KARSAN,J9 SOL,HCRA</t>
  </si>
  <si>
    <t>REFLEKTOR,CARGO-IVECO,SAG,HCRA</t>
  </si>
  <si>
    <t>REFLEKTOR,CARGO-IVECO,SOL,HCRA</t>
  </si>
  <si>
    <t>REFLEKTOR,P.205,SAG,HCRA</t>
  </si>
  <si>
    <t>REFLEKTOR,P.205,SOL,HCRA</t>
  </si>
  <si>
    <t>REFLEKTOR,Ø 130,FARBA,CR</t>
  </si>
  <si>
    <t>REFLEKTOR,Ø 130,FARBA,CRA</t>
  </si>
  <si>
    <t>REFLEKTOR,Ø 130,FARBA,HR</t>
  </si>
  <si>
    <t>REFLEKTOR,Ø 130,FARBA,HCR</t>
  </si>
  <si>
    <t>REFLEKTOR,Ø 130,R12 TX,HR</t>
  </si>
  <si>
    <t>REFLEKTOR,Ø 130,R12 TX,HCR</t>
  </si>
  <si>
    <t>FAR KOMP.CIFT.M.131 SAHIN,SAG</t>
  </si>
  <si>
    <t>FAR KOMP.CIFT.M.131 SAHIN,SOL</t>
  </si>
  <si>
    <t>FAR KOMP.M.124(AYG.TIPI)</t>
  </si>
  <si>
    <t>FAR KOMP.TREYLER PSIZ</t>
  </si>
  <si>
    <t>FAR KOMP.FD TRANSIT,K.E.</t>
  </si>
  <si>
    <t>FAR KOMP.STD,YENI TRK.PLI KIRM</t>
  </si>
  <si>
    <t>FAR KOMP.STD,YENI TRK.PSIZ KIR</t>
  </si>
  <si>
    <t>Ø70 CADEFACE,ON SINYAL,BEYAZ LENSLI,24VOLT</t>
  </si>
  <si>
    <t>Ø125 ASK,FREN+POZ.,REFL,24V</t>
  </si>
  <si>
    <t>Ø125 ASK,FREN+POZ.,REFL,24V,OTOKAR</t>
  </si>
  <si>
    <t>Ø125 ASK,FREN+POZ.,REFL,24V,TEMSA</t>
  </si>
  <si>
    <t>Ø125 ASK,FREN+POZISYON,REF.12V</t>
  </si>
  <si>
    <t>Ø125 ASK,FREN+POZISYON,REFLEKS,12V/24V</t>
  </si>
  <si>
    <t>Ø125 ASK,GERI VITES,12V</t>
  </si>
  <si>
    <t>Ø125 ASK,GERI VITES,12V/24V</t>
  </si>
  <si>
    <t>Ø125 ASK,GERI VITES,24V</t>
  </si>
  <si>
    <t>Ø125 ASK,GERI VITES,24V,OTOKAR</t>
  </si>
  <si>
    <t>Ø125 ASK,GERI VITES,24V,TEMSA</t>
  </si>
  <si>
    <t>Ø125 ASK,SINYAL,NATUREL,12V</t>
  </si>
  <si>
    <t>Ø125 ASK,SINYAL,NATUREL,12V/24V</t>
  </si>
  <si>
    <t>Ø125 ASK,SINYAL,NATUREL,24V</t>
  </si>
  <si>
    <t>Ø125 ASK,SINYAL,TURUNCU,12V</t>
  </si>
  <si>
    <t>Ø125 ASK,SINYAL,TURUNCU,12V/24V</t>
  </si>
  <si>
    <t>Ø125 ASK,SINYAL,TURUNCU,24V</t>
  </si>
  <si>
    <t>Ø125 ASK,SINYAL,TURUNCU,24V,OTOKAR</t>
  </si>
  <si>
    <t>Ø125 ASK,SINYAL,TURUNCU,24V,TEMSA</t>
  </si>
  <si>
    <t>Ø125 ASK,SIS,12V</t>
  </si>
  <si>
    <t>Ø125 ASK,SIS,12V/24V</t>
  </si>
  <si>
    <t>Ø125 ASK,SIS,24V</t>
  </si>
  <si>
    <t>Ø125 ASK,SIS,24V,OTOKAR</t>
  </si>
  <si>
    <t>Ø125 ASK,SIS,24V,TEMSA</t>
  </si>
  <si>
    <t>Ø55 ON SINYAL,NATUREL,RY21W,24V,MBT</t>
  </si>
  <si>
    <t>Ø55 ARKA UST,POZISYON LAMBASI,12V,ORTAK</t>
  </si>
  <si>
    <t>Ø55 ON POZISYON LAMB,NATUREL,24V,KARSAN</t>
  </si>
  <si>
    <t>Ø55 ON POZISYON LAMBASI,NATUREL,12V/24V</t>
  </si>
  <si>
    <t>Ø55 ON POZISYON LAMBASI,NATUREL,24V</t>
  </si>
  <si>
    <t>Ø55 ON SINYAL,NATUREL,PY21W,12V</t>
  </si>
  <si>
    <t>Ø55 ON SINYAL,NATUREL,PY21W,12V,ORTAK</t>
  </si>
  <si>
    <t>Ø55 ON SINYAL,NATUREL,PY21W,12V,TEMSA</t>
  </si>
  <si>
    <t>Ø55 ON SINYAL,NATUREL,PY21W,12V/24V</t>
  </si>
  <si>
    <t>Ø55 ON SINYAL,NATUREL,PY21W,24V</t>
  </si>
  <si>
    <t>Ø55 ON SINYAL,NATUREL,PY21W,24V,BMC</t>
  </si>
  <si>
    <t>Ø55 ON SINYAL,NATUREL,PY21W,24V,KARSAN</t>
  </si>
  <si>
    <t>Ø55 ON SINYAL,NATUREL,PY21W,24V,OTOKAR</t>
  </si>
  <si>
    <t>Ø55 ON SINYAL,NATUREL,PY21W,24V,TEMSA</t>
  </si>
  <si>
    <t>Ø55 ON SINYAL,TURUNCU,P21W,12V</t>
  </si>
  <si>
    <t>Ø55 ON SINYAL,TURUNCU,P21W,12V,RENO</t>
  </si>
  <si>
    <t>Ø55 ON SINYAL,TURUNCU,P21W,12V/24V</t>
  </si>
  <si>
    <t>Ø55 ON SINYAL,TURUNCU,P21W,24V</t>
  </si>
  <si>
    <t>Ø55 ON-ARKA SINYAL,NATUREL,24V,ORTAK</t>
  </si>
  <si>
    <t>Ø70 C.FACE,ON SIN.B. LENSL,24V,GULERYUZ</t>
  </si>
  <si>
    <t>Ø70 CADEFACE,ON SINYAL,B. LENSLI,12VOLT</t>
  </si>
  <si>
    <t>Ø70 CADEFACE,ON SINYAL,B. LENSLI,24VOLT</t>
  </si>
  <si>
    <t>Ø70 CADEFACE,ON SINYAL,T. LENSLI,12V/24V</t>
  </si>
  <si>
    <t>Ø70 CADEFACE,ON SINYAL,T. LENSLI,12VOLT</t>
  </si>
  <si>
    <t>Ø70 CADEFACE,ON SINYAL,T. LENSLI,24VOLT</t>
  </si>
  <si>
    <t>Ø70 DRL,12VOLT,LONG LIFE</t>
  </si>
  <si>
    <t>Ø70 DRL,12VOLT,LONG LIFE,KARSAN</t>
  </si>
  <si>
    <t>Ø70 DRL,12VOLT,NORMAL AMPUL</t>
  </si>
  <si>
    <t>Ø70 DRL,24VOLT,LONG LIFE</t>
  </si>
  <si>
    <t>Ø70 DRL,24VOLT,LONG LIFE,KARSAN</t>
  </si>
  <si>
    <t>Ø70 DRL,24VOLT,NORMAL AMPUL</t>
  </si>
  <si>
    <t>Ø70 ON SINYAL,B.LENSLI,24V,ORTAK</t>
  </si>
  <si>
    <t>Ø 98 UNIVERSAL AMPULLU DRL FAR P21W-12V</t>
  </si>
  <si>
    <t>Ø 98 UNIVERSAL AMPULLU DRL FAR P21W-24V</t>
  </si>
  <si>
    <t>Ø70 DRL,24VOLT,LONG LIFE,MBT</t>
  </si>
  <si>
    <t>Ø70 CADEFACE,ON SINYAL,B.LENSLI,12VOLT</t>
  </si>
  <si>
    <t>Ø55 ON SINYAL,NATUREL,PY21W,12V, Unv.</t>
  </si>
  <si>
    <t>Ø55 ON SINYAL,NATUREL,PY21W,24V, Unv.</t>
  </si>
  <si>
    <t>Ø55 ON SINYAL,NATUREL, AYG, 12V</t>
  </si>
  <si>
    <t>Ø55 ON SINYAL,NATUREL, AYG, 24V</t>
  </si>
  <si>
    <t>Ø55 ON SINYAL,AMBER, AYG, 12V</t>
  </si>
  <si>
    <t>Ø55 ON SINYAL,AMBER, AYG, 24V</t>
  </si>
  <si>
    <t>Ø98 ASK,AMPULLU,GERI VITES,12V</t>
  </si>
  <si>
    <t>Ø98 ASK,AMPULLU,GERI VITES,12V,OTOKAR</t>
  </si>
  <si>
    <t>Ø98 ASK,AMPULLU,GERI VITES,24V</t>
  </si>
  <si>
    <t>Ø98 ASK,AMPULLU,GERI VITES,24V,OTOKAR</t>
  </si>
  <si>
    <t>Ø98 ASK,AMPULLU,GERI VITES,24V,TEMSA</t>
  </si>
  <si>
    <t>Ø98 ASK,AMPULLU,REFLEKS+SIS,12V,OTOKAR</t>
  </si>
  <si>
    <t>Ø98 ASK,AMPULLU,REFLEKS+SIS,24V</t>
  </si>
  <si>
    <t>Ø98 ASK,AMPULLU,REFLEKS+SIS,24V,O.URUN</t>
  </si>
  <si>
    <t>Ø98 ASK,AMPULLU,REFLEKS+SIS,24V,OTOKAR</t>
  </si>
  <si>
    <t>Ø98 ASK,AMPULLU,SINYAL,24V</t>
  </si>
  <si>
    <t>Ø98 ASK,AMPULLU,SIS,12V</t>
  </si>
  <si>
    <t>Ø98 ASK,AMPULLU,SIS,12V,OTOKAR</t>
  </si>
  <si>
    <t>Ø98 ASK,AMPULLU,SIS,24V</t>
  </si>
  <si>
    <t>Ø98 ASK,AMPULLU,SIS,24V,MERCEDES</t>
  </si>
  <si>
    <t>Ø98 ASK,AMPULLU,SIS,24V,TEMSA</t>
  </si>
  <si>
    <t>Ø98 ASK,LEDLI,K.LI REF+SINYAL,12V,KARSAN</t>
  </si>
  <si>
    <t>Ø98 ASK,LEDLI,K.LI REFLEX+SIN.,12V,OTOKA</t>
  </si>
  <si>
    <t>Ø98 ASK,LEDLI,K.LI REFLEX+SINYAL,12V</t>
  </si>
  <si>
    <t>Ø98 ASK,LEDLI,K.LI REFLEX-SIN,24V,OTOKAR</t>
  </si>
  <si>
    <t>Ø98 ASK,LEDLI,K.LI REFLEX-SIN,24V,TEMSA</t>
  </si>
  <si>
    <t>Ø98 ASK,LEDLI,K.LI REFLEX-SINYAL,24V</t>
  </si>
  <si>
    <t>Ø98 ASK,LEDLI,K.LI REFLEX-SINYAL,24V,MER</t>
  </si>
  <si>
    <t>Ø98 ASK,LEDLI,POZISYON+SINYAL,12V</t>
  </si>
  <si>
    <t>Ø98 ASK,LEDLI,POZISYON+SINYAL,24V</t>
  </si>
  <si>
    <t>Ø98 ASK,LEDLI,POZISYON+SINYAL,24V,BMC</t>
  </si>
  <si>
    <t>Ø98 ASK,LEDLI,POZISYON+SINYAL,24V,TEMSA</t>
  </si>
  <si>
    <t>Ø98 ASK,LEDLI,POZISYON+STOP,12V</t>
  </si>
  <si>
    <t>Ø98 ASK,LEDLI,POZISYON+STOP,12V,KARSAN</t>
  </si>
  <si>
    <t>Ø98 ASK,LEDLI,POZISYON+STOP,12V,OTOKAR</t>
  </si>
  <si>
    <t>Ø98 ASK,LEDLI,POZISYON+STOP,24V</t>
  </si>
  <si>
    <t>Ø98 ASK,LEDLI,POZISYON+STOP,24V,MERCED</t>
  </si>
  <si>
    <t>Ø98 ASK,LEDLI,POZISYON+STOP,24V,OTOKAR</t>
  </si>
  <si>
    <t>Ø98 ASK,LEDLI,POZISYON+STOP,24V,TEMSA</t>
  </si>
  <si>
    <t>Ø98 ASK,LEDLI,REFLEX+SINYAL,12V</t>
  </si>
  <si>
    <t>Ø98 ASK,LEDLI,REFLEX+SINYAL,24V</t>
  </si>
  <si>
    <t>Ø98 STOP+POZISYON,AMPULLU,24V,ORTAK</t>
  </si>
  <si>
    <t>Ø98 ASK,AMPULLU,SIS,24V,MERCEDES,SERVIS</t>
  </si>
  <si>
    <t>Ø98 STOP+POZISYON,AMPULLU,12V,ORTAK</t>
  </si>
  <si>
    <t>Ø98 STOP+POZISYON,AMPULLU,24V,OTOKAR</t>
  </si>
  <si>
    <t>Ø98 SINYAL,AMPULLU,24V,TURUNCU,OTOKAR</t>
  </si>
  <si>
    <t>Ø98 ASK,SEFFAF,LED,REF+SIN,12V</t>
  </si>
  <si>
    <t>Ø98 ASK,LEDLI, SINYAL+STOP+POZISYON,12V,AMBER</t>
  </si>
  <si>
    <t>Ø98 ASK, LEDLI, SINYAL+STOP+POZISYON,24V,AMBER</t>
  </si>
  <si>
    <t>Ø98 ASK,LEDLI,SIS,12V,AYG</t>
  </si>
  <si>
    <t>Ø98 ASK,LEDLI,SIS,24V,AYG</t>
  </si>
  <si>
    <t>Ø98 ASK,LEDLI,GERIVITES,12V,AYG</t>
  </si>
  <si>
    <t>Ø98 ASK,LEDLI,GERIVITES,24V,AYG</t>
  </si>
  <si>
    <t>Ø55 ON POZISYON LAMBASI,12V/24V NATUREL</t>
  </si>
  <si>
    <t>Ø98 ASK,LEDLI, SINYAL+STOP+POZISYON,12V,SEFFAF</t>
  </si>
  <si>
    <t>Ø98 ASK,LEDLI, SINYAL+STOP+POZISYON,24V,ŞEFFAF</t>
  </si>
  <si>
    <t>Ø98 ASK,LEDLI,SINYAL+STOP+POZISYON,12V,SEFFAF</t>
  </si>
  <si>
    <t>Ø98 ASK,LEDLI,POZISYON+SINYAL,24V, UNV.</t>
  </si>
  <si>
    <t>SIDE MARKER,L.I,KLU,24V, ECE AMBER,KARSA</t>
  </si>
  <si>
    <t>SIDE MARKER,LED , 24V, ECE AMBER</t>
  </si>
  <si>
    <t>SIDE MARKER,LED,KAB,24V, ECE AMBER,TEMSA</t>
  </si>
  <si>
    <t>SIDE MARKER,LEDLI,12V, ECE AMBER,TEMSA</t>
  </si>
  <si>
    <t>SIDE MARKER,LEDLI,KABLOLU,24V, ECE AMBER</t>
  </si>
  <si>
    <t>SIDE MARKER,LEDLI,KABLOLU,12V, ECE AMBER</t>
  </si>
  <si>
    <t>SIDE MARKER,LED , 12V, ECE AMBER</t>
  </si>
  <si>
    <t>SIDE MARKER,LEDLI,KBL+SKT,12V,ECE AMBER</t>
  </si>
  <si>
    <t>SIDE MARKER,LEDLI,KBL+SKT,24V,ECE AMBER</t>
  </si>
  <si>
    <t>SIDE MARKER,LEDLI,KABLOLU,12V, SAE AMBER</t>
  </si>
  <si>
    <t>SIDE MARKER,LEDLI,KBL+SKT,12V,SAE AMBER</t>
  </si>
  <si>
    <t>SIDE MARKER,LEDLI,KABLOLU,24V, SAE AMBER</t>
  </si>
  <si>
    <t>SIDE MARKER,LEDLI,KBL+SKT,24V,SAE AMBER</t>
  </si>
  <si>
    <t>SIDE MARK,LED,KABLO,12V,ECE AMB,ORTAK</t>
  </si>
  <si>
    <t>SIDE MARK,LED,KABLO,24V,ECE AMB,ORTAK</t>
  </si>
  <si>
    <t>SIDE MARKER,LED,24V,AMBER,FD</t>
  </si>
  <si>
    <t>Ø58 REFLEKTOR REFLEKS DELIKLI KIRMIZI</t>
  </si>
  <si>
    <t>Ø58 REFLEKTOR REFLEKS DELILKLI TURUNCU</t>
  </si>
  <si>
    <t>SIDE MARKER,LEDLİ,AYG KABLOLU,24V,MAKARONSUZ VE SOKETSİZ</t>
  </si>
  <si>
    <t>SIDE MARKER,LEDLİ,AYG KABLOLU,24V,MAKARONLU VE SOKETSİZ</t>
  </si>
  <si>
    <t>SIDE MARKER,LEDLİ,AYG KABLOLU,24V,MAKARONSUZ VE AMP 106462-1 SOKETLİ</t>
  </si>
  <si>
    <t>SIDE MARKER,LEDLİ,AYG KABLOLU,24V,MAKARONLU VE AMP 106462-1 SOKETLİ</t>
  </si>
  <si>
    <t>UC BELIRTME LAMBASI,MERCEDES,LEDLI</t>
  </si>
  <si>
    <t>POSITION LAMP</t>
  </si>
  <si>
    <t>TOGG C-SUV DRL SOL</t>
  </si>
  <si>
    <t>TOGG C-SUV DRL SAG</t>
  </si>
  <si>
    <t>TOGG C-SUV DRL SOL, SERVİS</t>
  </si>
  <si>
    <t>TOGG C-SUV DRL SAG, SERVİS</t>
  </si>
  <si>
    <t>SIDE MARKER,LEDLI,KABLOLU,RED,MBT</t>
  </si>
  <si>
    <t>SIDE MARKER,LEDLI,KABLOLU,AMBER,MBT</t>
  </si>
  <si>
    <t>SIDE MARKER,LEDLI,SOKETLI,RED,MBT</t>
  </si>
  <si>
    <t>SIDE MARKER,LEDLI,SOKETLI,AMBER,MBT</t>
  </si>
  <si>
    <t>SIDE MARKER,LEDLI,KABLOLU,CLEAR,MBT</t>
  </si>
  <si>
    <t>SIDE MARKER,LEDLI,SOKETLI,CLEAR,MBT</t>
  </si>
  <si>
    <t>FAR KOMP.D.DORTGEN SPOT BEYAZ</t>
  </si>
  <si>
    <t>FAR KOMPLE,LAND-ROVER</t>
  </si>
  <si>
    <t>FAR KOMP.LAND ROWER H4 (Y.M)</t>
  </si>
  <si>
    <t>FAR KOMP.LAND ROWER H4 24 V.YM</t>
  </si>
  <si>
    <t>FAR KOMP.T.TRK.ON</t>
  </si>
  <si>
    <t>T.TRAKTOR 54 C FARI,SAG</t>
  </si>
  <si>
    <t>T.TRAKTOR 54 C FARI,SOL</t>
  </si>
  <si>
    <t>FAR,KOMPLE OTOKAR MINIBUS</t>
  </si>
  <si>
    <t>FAR KOMPLE, 142*200 TRAKTOR</t>
  </si>
  <si>
    <t>FAR KOMPLE,BONELI,142X200 TRAKTOR</t>
  </si>
  <si>
    <t>FAR KOMP.M.131,87 DOGAN,SAG</t>
  </si>
  <si>
    <t>FAR KOMP.M.131,87 DOGAN,SOL</t>
  </si>
  <si>
    <t>FAR,T.88,SAG,HCRA</t>
  </si>
  <si>
    <t>FAR,T.88,SOL,HCRA</t>
  </si>
  <si>
    <t>FAR,SAHIN,SAG,CRA</t>
  </si>
  <si>
    <t>FAR,SAHIN,SOL,CRA</t>
  </si>
  <si>
    <t>FAR,T.93,SAG,HCRA</t>
  </si>
  <si>
    <t>FAR,T.93,SOL,HCRA</t>
  </si>
  <si>
    <t>FAR KOMP.UNIVERSAL TIP,PLI</t>
  </si>
  <si>
    <t>FAR,CIFTLI,100X165,OTOSAN,SAG</t>
  </si>
  <si>
    <t>FAR,CIFTLI,100X165,OTOSAN,SOL</t>
  </si>
  <si>
    <t>FAR,OTOYOL,100X165,SAG,HR,HCRA</t>
  </si>
  <si>
    <t>FAR,OTOYOL,100X165,SOL,HR,HCRA</t>
  </si>
  <si>
    <t>FAR,CHRYSLER,142X200,HCR</t>
  </si>
  <si>
    <t>FAR,CHRYSLER,142X200,HCRA</t>
  </si>
  <si>
    <t>FAR,142X200,HCRA,MERC.MB 800</t>
  </si>
  <si>
    <t>FAR,GTS,Ø 130,CR,DIS,ALT C.LI</t>
  </si>
  <si>
    <t>FAR,GTS,Ø 130,HR,DIS,ALT C.</t>
  </si>
  <si>
    <t>FAR,GTS,Ø 130,HCR,DIS,ALT C.</t>
  </si>
  <si>
    <t>FAR,BMC,Ø 130 HR</t>
  </si>
  <si>
    <t>FAR,BMC,Ø 130 HCRA</t>
  </si>
  <si>
    <t>FAR,CIFTLI,GTS,SAG,HCR-CR</t>
  </si>
  <si>
    <t>FAR,CIFTLI,GTS,SOL,HCR-CR</t>
  </si>
  <si>
    <t>FAR,CIFTLI,CHRY,SAG,HCR-HR</t>
  </si>
  <si>
    <t>FAR,CIFTLI,CHRY,SOL,HCR-HR</t>
  </si>
  <si>
    <t>FAR KOMPLE,UNIMOG 200 P.LI</t>
  </si>
  <si>
    <t>FAR KOMP.UNIMOG 200 P.LI( 10319F )</t>
  </si>
  <si>
    <t>FAR,BMC TAMPON,SAG</t>
  </si>
  <si>
    <t>FAR,BMC TAMPON,SOL</t>
  </si>
  <si>
    <t>FAR,80X160,SIS,BEYAZ</t>
  </si>
  <si>
    <t>FAR,SIS,80X160,OTOSAN,BEYAZ</t>
  </si>
  <si>
    <t>FAR,80X160,SIS,SARI</t>
  </si>
  <si>
    <t>CALISMA LAMBASI</t>
  </si>
  <si>
    <t>FAR,SIS,90X155,BEYAZ</t>
  </si>
  <si>
    <t>FAR,SIS,TOFAS,90X155</t>
  </si>
  <si>
    <t>FAR,SIS,OTOYOL,90X155</t>
  </si>
  <si>
    <t>FAR,CIFTLI,GTS,SAG,DIS CER.SIZ</t>
  </si>
  <si>
    <t>FAR,CIFTLI,GTS,SOL,DIS CER.SIZ</t>
  </si>
  <si>
    <t>FAR,R.9,SAG,HCRA</t>
  </si>
  <si>
    <t>FAR,R.9,SOL,HCRA</t>
  </si>
  <si>
    <t>FAR,R.11,SAG,HCRA</t>
  </si>
  <si>
    <t>FAR,R.11,SOL,HCRA</t>
  </si>
  <si>
    <t>FAR+SINYAL,IVECO,SAG,HCRA</t>
  </si>
  <si>
    <t>FAR+SINYAL,IVECO,SOL,HCRA</t>
  </si>
  <si>
    <t>FAR+SINYAL,F.CARGO,SAG,HCRA</t>
  </si>
  <si>
    <t>FAR+SINYAL,F.CARGO,SOL,HCRA</t>
  </si>
  <si>
    <t>FAR+SINYAL,M.KAMYON,SAG</t>
  </si>
  <si>
    <t>FAR+SINYAL,M.KAMYON,SOL</t>
  </si>
  <si>
    <t>FAR,BMC,SAG,HCRA</t>
  </si>
  <si>
    <t>FAR,BMC,SOL,HCRA</t>
  </si>
  <si>
    <t>ÜRETİLEMİYOR. FAR+SINYAL,IVECO,SAĞ,HCRA (Mekanizma sebebi ile)</t>
  </si>
  <si>
    <t>ÜRETİLEMİYOR. FAR+SINYAL,IVECO,SOL,HCRA (Mekanizma sebebi ile)</t>
  </si>
  <si>
    <t>FAR,TOCO-1,SAG,HCR</t>
  </si>
  <si>
    <t>FAR,TOCO-1,SOL,HCR</t>
  </si>
  <si>
    <t>FAR+SINY.TOCO-4,SAG,HCRA,SOL DIREK.</t>
  </si>
  <si>
    <t>FAR+SINY.TOCO-4,SAG,HCRA,SAG DIREK.</t>
  </si>
  <si>
    <t>FAR+SINY.TOCO-4,SOL,HCRA,SOL DIREK.</t>
  </si>
  <si>
    <t>FAR+SINY.TOCO-4,SOL,HCRA,SAG DIREK.</t>
  </si>
  <si>
    <t>UNISTOP1,ASK,OTOKAR</t>
  </si>
  <si>
    <t>UNISTOP1,ASK</t>
  </si>
  <si>
    <t>UNISTOP1,ASK,KARSAN</t>
  </si>
  <si>
    <t>UNISTOP1,ASK,12V,VOLGABUS</t>
  </si>
  <si>
    <t>UNISTOP1,ASK,TEMSA,PLAKA LAMBASIZ</t>
  </si>
  <si>
    <t>UNISTOP1,12V(F+P,S,SIS,GV,R)</t>
  </si>
  <si>
    <t>UNISTOP1,ASK,FD</t>
  </si>
  <si>
    <t>UNISTOP1,ASK,PLAKA LAMBASIZ</t>
  </si>
  <si>
    <t>UNISTOP-2, ASK , 12 V</t>
  </si>
  <si>
    <t>UNISTOP-2, ASK, 12V</t>
  </si>
  <si>
    <t>UNISTOP-2,ASK, 12 V</t>
  </si>
  <si>
    <t>UNISTOP-2,ASK,12V</t>
  </si>
  <si>
    <t>FAR,MERCEKLI,BI-HALOJEN,MANUEL,RHD,24V</t>
  </si>
  <si>
    <t>FAR,MERCEKLI,B-HALOJEN,A.MOTOR L,LHD,24V</t>
  </si>
  <si>
    <t>FAR,MER.,BI-HALOJEN,A.MOT.,LHD,24V,TERS</t>
  </si>
  <si>
    <t>FAR,MER.BI-HALOJEN,MANUEL,LHD,24V,OTOKAR</t>
  </si>
  <si>
    <t>FAR,MER.BI-HALOJEN,MANUEL,RHD,24V,OTOKAR</t>
  </si>
  <si>
    <t>FAR,MERCEKLI,BI-HALOJEN,KISA+UZUN HUZME,24V,MANUEL</t>
  </si>
  <si>
    <t>FAR,MERCEKLI,BI-HALOJEN,KISA+UZUN HUZME,24V,MANUEL,RHD</t>
  </si>
  <si>
    <t>FAR,MERCEKLI,BI-HALOJEN,KISA+UZUN HUZME,24V,AYAR MOTORLU,LHD</t>
  </si>
  <si>
    <t>FAR,130 H, UZUN HUZME,12V</t>
  </si>
  <si>
    <t>FAR,130 H,UZUN HUZME,24V</t>
  </si>
  <si>
    <t>FAR,130 H,KISA HUZME,P-LI,12V</t>
  </si>
  <si>
    <t>FAR,130 H, KISA HUZME,P-LI,12V,OT.AYARMOT.</t>
  </si>
  <si>
    <t>FAR,130 H,KISAHUZME,P-LI,24V,OT.AYARMOT.</t>
  </si>
  <si>
    <t>FAR,130 H,KISA HUZME,P-LI,12V,KARSAN,YP</t>
  </si>
  <si>
    <t>FAR,130,UZUN+DRL,H1+P21W,24V,FD</t>
  </si>
  <si>
    <t>FAR,130,UZUN+DRL,H1+P21W,12V</t>
  </si>
  <si>
    <t>FAR,130,UZUN+DRL,H1+P21W,24V</t>
  </si>
  <si>
    <t>FAR,130H,KISAH.,P-LI,24V,OT.AYARMOT.,12V</t>
  </si>
  <si>
    <t>FAR,130H,KISAH.,P-LI,24V,OT.AYARMOT,12V</t>
  </si>
  <si>
    <t>FAR,130H,KISAHUZME,P-LI,24V,MANUEL,BMC</t>
  </si>
  <si>
    <t>FAR,130H,K.HUZME,P-LI,24V,OT.MO.FD,ADR</t>
  </si>
  <si>
    <t>FAR,130,UZUN+DRL,H1+P21W,24V,FD,ADR</t>
  </si>
  <si>
    <t>FAR,130H,UZUN HUZME,24V,ADR</t>
  </si>
  <si>
    <t>FAR,SPOT+PARK,CADFACE,24V,KOR.KAP,FD</t>
  </si>
  <si>
    <t>FAR,SPOT+PARK,CADFACE,24V,KOR.KAP.BMC</t>
  </si>
  <si>
    <t>FAR,SPOT+PARK,CADFACE,24V,KOR.K. OTOKAR</t>
  </si>
  <si>
    <t>FAR,SPOT+PARK,CADFACE,12V,KOR.K. OTOKAR</t>
  </si>
  <si>
    <t>FAR,CADFACE SPOT+U.HUZME+P.LI,12V,KOR.KAPAK+KAB.</t>
  </si>
  <si>
    <t>FAR,SPOT,CADFACE,12V,KAPAKLI,P.SIZ</t>
  </si>
  <si>
    <t>FAR,SPOT,CADFACE,12V,K.LI,P.SIZ,KARSAN</t>
  </si>
  <si>
    <t>FAR,SPOT,CADFACE,24V,KAPAKLI,P.SIZ,OTOKAR</t>
  </si>
  <si>
    <t>FAR,SPOT,CFACE,24V,K.LI,P.SIZ,A.ARAC</t>
  </si>
  <si>
    <t>FAR,SIS,CADEFACE,24V,KORUYUCU KAP. BMC</t>
  </si>
  <si>
    <t>FAR,SIS,CADEFACE,24V,KORUYUCU KAP. OTOKAR</t>
  </si>
  <si>
    <t>FAR,SIS,CADFACE,12V,KOR. KAPAKLI OTOKAR</t>
  </si>
  <si>
    <t>FAR,SIS,CADFACE,12V,KORUYUCU KAPAKLI BMC</t>
  </si>
  <si>
    <t>FAR,CADFACE SIS,YENI,12V,KOR.KAPAK+KAB.ASKERI ARAC AMPULLU</t>
  </si>
  <si>
    <t>FAR,CADFACE SIS,YENI,12V,BMC,KOR.KAPAK+KAB.ASKERI ARAC</t>
  </si>
  <si>
    <t>FAR,CADFACE SIS H7,12V,ECE</t>
  </si>
  <si>
    <t>FAR,CADFACE SIS H7,12V/24V,ECE</t>
  </si>
  <si>
    <t>FAR,CADFACE,SIS,ECE,24V,H7</t>
  </si>
  <si>
    <t>FAR,SIS,CADFACE,CIZGISIZCAM,12V,KARSAN</t>
  </si>
  <si>
    <t>FAR,SPOT,CADFACE,CIZGISIZCAM,12V,KARSAN</t>
  </si>
  <si>
    <t>FAR,SIS,C.FACE,12V,C.SIZCAM,BO+KAB,KARSAN</t>
  </si>
  <si>
    <t>FAR,SPOT,C.FACE,12V,C.SIZCAM,BO+KAB,KARSAN</t>
  </si>
  <si>
    <t>FAR,SIS,CADFACE,12V,CIGZILI CAMLI,OTOKAR</t>
  </si>
  <si>
    <t>FAR,C.FACE,SIS,12V,CIZGILICAM,BONE+KABLO</t>
  </si>
  <si>
    <t>FAR,C.FACE,SIS,12V,CIZGILICAM,BONE+K.TEMSA</t>
  </si>
  <si>
    <t>FAR,CADFACE SPOT,12V,CIZGILI CAM,KOR.LASTIK+KABLO</t>
  </si>
  <si>
    <t>FAR,SPOT,C.FACE,24V,C.CAM,BONE+KAB,MERCEDES</t>
  </si>
  <si>
    <t>Ø90 LEDLI,DRL,12V</t>
  </si>
  <si>
    <t>Ø90 LEDLI,DRL,24V,SERVIS</t>
  </si>
  <si>
    <t>Ø90 LEDLI,DRL,12V,BRAKETLI</t>
  </si>
  <si>
    <t>Ø90 LEDLI,DRL,24V,BRAKETLI</t>
  </si>
  <si>
    <t>Ø90 LEDLI,DRL+POZ.,12V</t>
  </si>
  <si>
    <t>Ø90 LEDLI,DRL+POZ.,24V</t>
  </si>
  <si>
    <t>Ø90 LEDLI,DRL+POZ.,12V,BAGL.BRAKETLI</t>
  </si>
  <si>
    <t>Ø90 LEDLI,DRL+POZ.,24V,BAGL.BRAKETLI</t>
  </si>
  <si>
    <t>ASK,KC4,SOL</t>
  </si>
  <si>
    <t>ASK,KC4,SAG</t>
  </si>
  <si>
    <t>ASK,NC-4,SOL</t>
  </si>
  <si>
    <t>ASK,NC-4,SAG</t>
  </si>
  <si>
    <t>ASK,SETRA,SOL</t>
  </si>
  <si>
    <t>ASK,SETRA,SAG</t>
  </si>
  <si>
    <t>FAR,MERCEKLI K.HUZME+POZ.LEDLI,HCA,12V,MAN/KARSAN,KAPAK+KABLO</t>
  </si>
  <si>
    <t>FAR,MERCEK,HCA,KAP+KABLO,12V,MAN,KARSAN</t>
  </si>
  <si>
    <t>FAR,MERCEKLI K.HUZME+POZ.LEDLI,HCA,12V,AYAR MOTORLU,KAPAK+KABLO</t>
  </si>
  <si>
    <t>FAR,MERCEKLI K.HUZME,12V,CAMLI,KAPAK+KABLO</t>
  </si>
  <si>
    <t>FAR,MERCEKLI,KISAHUZME,Motorsuz,FD</t>
  </si>
  <si>
    <t>FAR,MERCEKLI K.HUZME,12V,CAMLI,AYAR MOTORLU,KAPAK+KABLO</t>
  </si>
  <si>
    <t>FRONT LOW BEAM 24V ,WITH LEVELLING ACTUA</t>
  </si>
  <si>
    <t>FAR,MERCEKLI K.HUZME,SAG DIREKSIYON,24V,CAMLI,KAPAK+KABLO</t>
  </si>
  <si>
    <t>FAR,MERCEKLI,KISAHUZME,24V,FD</t>
  </si>
  <si>
    <t>FARMERCEKKIHUZ,CAM,KAP+KABLO,12V,OTOKAR</t>
  </si>
  <si>
    <t>FAR,MERCEKHUZME,CAM,KAP+KABLO,24V,OTOKAR</t>
  </si>
  <si>
    <t>FARMERCEKKHUZME,CAM,KAP+KABLO,24V,OTOKAR</t>
  </si>
  <si>
    <t>FARMERCEKKHUZME,CAM,KAP+KABLO,24V,BMC</t>
  </si>
  <si>
    <t>FARMERCEKH,CAM,KAP+KAB.,24V,TEM,16NITTO</t>
  </si>
  <si>
    <t>FAR,MER.K.HUZME,CAM,KAP+KABLO,12V</t>
  </si>
  <si>
    <t>FAR,MER.K.HUZME,CAM,KAP+KABLO,24V</t>
  </si>
  <si>
    <t>FAR,MERCEK,KISA HUZME,LEDLI,CAMLI 12V</t>
  </si>
  <si>
    <t>FAR,MERCEKLI,K.HUZ.LEDLI,CAMLI,MOT.12V</t>
  </si>
  <si>
    <t>FAR,MERCEK,KISA HUZME,LEDLI,24V,MOTORLU,KAPAK+KAB</t>
  </si>
  <si>
    <t>FAR,MERCEKLI K.HUZ.+POZ.LEDLI,12V,AS.ARAC,KAPAK+KABLO</t>
  </si>
  <si>
    <t>FAR,MERCEKLI K.HUZ.+POZ.LEDLI,12V,AS.ARAC,KAPAK+KABLO,NITTO</t>
  </si>
  <si>
    <t>FAR,MERCEKLI K.HUZ.+POZ.LEDLI,24V,AS.ARAC,KAPAK+KABLO,NITTO</t>
  </si>
  <si>
    <t>FAR,MERCEKLI K.HUZ.+POZ.LEDLI,12V,AS.ARAC,A.MOTORLU,KAPAK+KABLO</t>
  </si>
  <si>
    <t>FAR,MER.K.H.LED.12V,AS. ARAC,K.SIZ,ORTAK</t>
  </si>
  <si>
    <t>FAR,MERCEKLI K.HUZ.+POZ.LEDLI,24V,CAMLI,KAPAK+KABL</t>
  </si>
  <si>
    <t>FAR,MERCEKLI K.HUZ.+POZ.LEDLI,12V,CAMLI,A.MOTORLU,KAPAK+KABLO,ORTAK,NITTO</t>
  </si>
  <si>
    <t>FAR,MERCEKLI K.HUZ.+POZ.LEDLI,24V,CAMLI,A.MOTORLU,KAPAK+KABLO,ORTAK,NITTO AMPUL</t>
  </si>
  <si>
    <t>FAR,MERCEKLI K.HUZ.+POZ.LEDLI,24V,CAMLI,A.MOTORLU,KAPAK+KABLO,ORTAK,NITTO</t>
  </si>
  <si>
    <t xml:space="preserve"> FAR,LED FB110,UZUN HUZME,12V/24V,MANUEL</t>
  </si>
  <si>
    <t>FAR,LED FB100,KISA HUZME,12V/24V,LHD,MANUEL</t>
  </si>
  <si>
    <t>FAR,LED FB100,KISA HUZME,12V/24V,RHD,MANUEL</t>
  </si>
  <si>
    <t>FAR,LED FB100,KISA HUZME,12V,LHD,SOL,AYAR MOTORLU</t>
  </si>
  <si>
    <t>FAR,LED FB100,KISA HUZME,12V,LHD,SAG,AYAR MOTORLU</t>
  </si>
  <si>
    <t>FAR,LED FB100,KISA HUZME,24V,LHD,SOL,AYAR MOTORLU</t>
  </si>
  <si>
    <t xml:space="preserve"> FAR,LED FB100,KISA HUZME,24V,LHD,SAG,AYAR MOTORLU</t>
  </si>
  <si>
    <t>FAR,LED FB100,KISA HUZME,12V,RHD,SOL,AYAR MOTORLU</t>
  </si>
  <si>
    <t>FAR,LED FB100,KISA HUZME,12V,RHD,SAG,AYAR MOTORLU</t>
  </si>
  <si>
    <t>FAR,LED FB100,KISA HUZME,24V,RHD,SOL,AYAR MOTORLU</t>
  </si>
  <si>
    <t>FAR,LED FB100,KISA HUZME,24V,RHD,SAG,AYAR MOTORLU</t>
  </si>
  <si>
    <t>CAP88, MERCEKLI, HALOJEN FAR, KISA HUZME</t>
  </si>
  <si>
    <t>FAR,CADFACE SIS,24V,OTOKAR,CIZGILI CAMLI</t>
  </si>
  <si>
    <t>FAR,MERCEKLI,Ø70,BI-HALOJEN,KISA+UZUN HUZME,12V,AYAR MOTORSUZ</t>
  </si>
  <si>
    <t>FAR,SIS,CADFACE,24V,CIZGILI CAM.MERCEDES</t>
  </si>
  <si>
    <t>FAR,MERCEKLI,BI-HALOJEN,KISA+UZUN HUZME,12V,AYAR M.SUZ.UNV.</t>
  </si>
  <si>
    <t>FAR,MERCEKLI,Ø55,HALOJEN,12V,AYAR MOTORSUZ,SOL DIR.UNV.</t>
  </si>
  <si>
    <t>Far,Cadface Spot+U.Hüzme+P.lı,12V,Kor.Kapak+Kab.Unv.</t>
  </si>
  <si>
    <t>FAR,CADFACE SIS,YENI,24V,KOR.KAPAK+KAB.UNV.</t>
  </si>
  <si>
    <t>FAR,CADFACE SIS,24V,ÇIZGILI CAM,KOR.LASTIK+KABLO,UNV.</t>
  </si>
  <si>
    <t>FAR,MERCEKLI,K.HUZME,24V,CAMLI,KAPAK+KABLO,UNV.</t>
  </si>
  <si>
    <t>FAR,MERCEKLI K.HUZME,SAG DIREKSIYON,24V,CAMLI,KAPAK+KABLO,UNV.</t>
  </si>
  <si>
    <t>F-LINE HIGH SOL H566</t>
  </si>
  <si>
    <t>F-LINE HIGH SAG H566</t>
  </si>
  <si>
    <t>F-LINE BASE SOL H566</t>
  </si>
  <si>
    <t>F-LINE BASE SAG H566</t>
  </si>
  <si>
    <t>F-LINE SIS SOL H566</t>
  </si>
  <si>
    <t>F-LINE SIS SAG H566</t>
  </si>
  <si>
    <t>ASK,AUDI,SOL,BAGAJ,ECE,BASIS</t>
  </si>
  <si>
    <t>ASK,AUDI,SAĞ,BAGAJ,ECE,BASIS</t>
  </si>
  <si>
    <t>ASK,AUDI,SOL,BAGAJ,ECE,WIBLI</t>
  </si>
  <si>
    <t>ASK,AUDI,SAĞ,BAGAJ,ECE,WIBLI</t>
  </si>
  <si>
    <t>ASK,AUDI,SOL,BAGAJ,SAE</t>
  </si>
  <si>
    <t>ASK,AUDI,SAĞ,BAGAJ,SAE</t>
  </si>
  <si>
    <t>ASK,AUDI,SOL,ÇAMURLUK,ECE,BASIS</t>
  </si>
  <si>
    <t>ASK,AUDI,SAĞ,ÇAMURLUK,ECE,BASIS</t>
  </si>
  <si>
    <t>ASK,AUDI,SOL,ÇAMURLUK,ECE,WIBLI</t>
  </si>
  <si>
    <t>ASK,AUDI,SAĞ,ÇAMURLUK,ECE,WIBLI</t>
  </si>
  <si>
    <t>ASK,AUDI,SOL,ÇAMURLUK,SAE</t>
  </si>
  <si>
    <t>ASK,AUDI,SAĞ,ÇAMURLUK,SAE</t>
  </si>
  <si>
    <t>REAR LAMP,S205,SAE,ET,LEFT,SWL</t>
  </si>
  <si>
    <t>REAR LAMP,S205,ECE,SA,LEFT,SWL</t>
  </si>
  <si>
    <t>REAR LAMP,S205,ECE,SA,RIGHT,SWL</t>
  </si>
  <si>
    <t>REAR LAMP,S205,ET,LEFT,HDL,LHD</t>
  </si>
  <si>
    <t>REAR LAMP,S205,ET,RIGHT,HDL,LHD</t>
  </si>
  <si>
    <t>REAR LAMP,S205,SA,LEFT,HDL,LHD</t>
  </si>
  <si>
    <t>REAR LAMP,S205,SA,RIGHT,HDL,LHD</t>
  </si>
  <si>
    <t>REAR LAMP,S205,ECE,ET,LEFT,SWL</t>
  </si>
  <si>
    <t>REAR LAMP,S205,ECE,ET,RIGHT,SWL</t>
  </si>
  <si>
    <t>SWL S205 Ecktyp ECE RL,li,RHD</t>
  </si>
  <si>
    <t>SWL S205 Ecktyp ECE RL,re,RHD</t>
  </si>
  <si>
    <t>SWL S205 SA ECE ,RL li,RHD</t>
  </si>
  <si>
    <t>SWL S205 SA ECE ,RL re,RHD</t>
  </si>
  <si>
    <t>REAR LAMP,S205,ET,LEFT,HDL,RHD</t>
  </si>
  <si>
    <t>REAR LAMP,S205,ET,RIGHT,HDL,RHD</t>
  </si>
  <si>
    <t>REAR LAMP,S205,SA,LEFT,HDL,RHD</t>
  </si>
  <si>
    <t>REAR LAMP,S205,SA,RIGHT,HDL,RHD</t>
  </si>
  <si>
    <t>ASK,SOL,AUDI S8,BAGAJ,ECE,BASIS</t>
  </si>
  <si>
    <t>ASK,SAĞ,AUDI S8,BAGAJ,ECE,BASIS</t>
  </si>
  <si>
    <t>ASK,SOL,AUDI S8,ÇAMUR,ECE,BASIS</t>
  </si>
  <si>
    <t>ASK,SAĞ,AUDI S8,ÇAMUR,ECE,BASIS</t>
  </si>
  <si>
    <t>ASK,SOL,AUDİ S8,BAGAJ,SAE</t>
  </si>
  <si>
    <t>ASK,SAĞ,AUDİ S8,BAGAJ,SAE</t>
  </si>
  <si>
    <t>ASK,SOL,AUDİ S8,ÇAMUR,SAE</t>
  </si>
  <si>
    <t>ASK,SAĞ,AUDİ S8,ÇAMUR,SAE</t>
  </si>
  <si>
    <t>ASK,SOL,AUDI S8,BAGAJ,ECE,WIBLI</t>
  </si>
  <si>
    <t>ASK,SAĞ,AUDI S8,BAGAJ,ECE,WIBLI</t>
  </si>
  <si>
    <t>ASK,SOL,AUDI S8,ÇAMUR.ECE,WIBLI</t>
  </si>
  <si>
    <t>ASK,SAĞ,AUDI S8,ÇAMUR.ECE,WIBLI</t>
  </si>
  <si>
    <t>S205 MOPF,ASK,SA,SOL,HDL,LHD,SERVİS</t>
  </si>
  <si>
    <t>S205 MOPF,ASK,SA,SAĞ,HDL,LHD,SERVİS</t>
  </si>
  <si>
    <t>S205 MOPF,ASK,SA,SOL,HDL,RHD,SERVİS</t>
  </si>
  <si>
    <t>S205 MOPF,ASK,SA,SAĞ,HDL,RHD,SERVİS</t>
  </si>
  <si>
    <t>S205 MOPF,ASK,ECE,SA,SOL,SWL,SERVİS</t>
  </si>
  <si>
    <t>S205 MOPF,ASK,ECE,SA,SAĞ,SWL,SERVİS</t>
  </si>
  <si>
    <t>S205 MOPF,SA ECE ,RL,SOL,RHD,SWL,SERVİS</t>
  </si>
  <si>
    <t>S205 MOPF,SA ECE ,RL,SAĞ,RHD,SWL,SERVİS</t>
  </si>
  <si>
    <t>S205 MOPF,ASK,SAE, SA,SOL,HDL,SERVİS</t>
  </si>
  <si>
    <t>S205 MOPF,ASK,SAE, SA,SAĞ,HDL,SERVİS</t>
  </si>
  <si>
    <t>S205 MOPF,ASK,SAE,SA,SOL,SWL,SERVİS</t>
  </si>
  <si>
    <t>S205 MOPF,ASK,SAE,SA,SAĞ,SWL,SERVİS</t>
  </si>
  <si>
    <t>AMPUL TUTUCU,V227-MCA,AMBALAJLI</t>
  </si>
  <si>
    <t>ARKA STOP,LEDLI, C2 EVOBUS ,SOL A0018201164</t>
  </si>
  <si>
    <t>ARKA STOP,LEDLI, C2 EVOBUS ,SOL</t>
  </si>
  <si>
    <t xml:space="preserve">ARKA STOP,LEDLI, C2 EVOBUS ,SAG A0018201264 </t>
  </si>
  <si>
    <t>ARKA STOP,LEDLI, C2 EVOBUS ,SAG</t>
  </si>
  <si>
    <t>ON SINYAL R.9,BEYAZ LENSLI,SAG</t>
  </si>
  <si>
    <t>ON SINYAL R.9,BEYAZ LENSLI,SOL</t>
  </si>
  <si>
    <t>ON SINYAL,R.12 TOROS,SAG</t>
  </si>
  <si>
    <t>ON SINYAL,R.12 TOROS,SOL</t>
  </si>
  <si>
    <t>ON SINYAL R.9,D.SUZ T.LENS,SAG</t>
  </si>
  <si>
    <t>ON SINYAL R.9,D.SUZ T.LENS,SOL</t>
  </si>
  <si>
    <t>ON SINYAL R.9,FAZ-3 SAG,D.SZ</t>
  </si>
  <si>
    <t>ON SINYAL R.9,FAZ-3 SOL,D.SZ</t>
  </si>
  <si>
    <t>ASK,R.9,FAZ-2 PLK.SZ,SAG</t>
  </si>
  <si>
    <t>ASK,R.9,FAZ-2 PLK.SZ,SOL</t>
  </si>
  <si>
    <t>ASK,R.9,SAG,B.LI,P.SIZ</t>
  </si>
  <si>
    <t>ASK,R.9,SOL,B.LI,P.SIZ</t>
  </si>
  <si>
    <t>ON SINYAL R.11,SAG,D.SUZ</t>
  </si>
  <si>
    <t>ON SINYAL R.11,SOL,D.SUZ</t>
  </si>
  <si>
    <t>ASK,R.11,SAG,PLK.SIZ</t>
  </si>
  <si>
    <t>ASK,R.11,SOL,PLK.SIZ</t>
  </si>
  <si>
    <t>ON SINYAL R.19,SAG,D.SZ</t>
  </si>
  <si>
    <t>ON SINYAL R.19,SOL,D.SZ</t>
  </si>
  <si>
    <t>ON SINYAL R.21,SAG,D.SZ</t>
  </si>
  <si>
    <t>ON SINYAL R.21,SOL,D.SZ</t>
  </si>
  <si>
    <t>ON SINYAL T.88,SAG,D.SZ,B.LENS</t>
  </si>
  <si>
    <t>ON SINYAL,T.88,SAG,DUYSUZ,TURUNCU</t>
  </si>
  <si>
    <t>ON SINYAL T.88,SOL,D.SZ,B.LENS</t>
  </si>
  <si>
    <t>ON SINYAL,T.88,SOL,DUYSUZ,TURUNCU</t>
  </si>
  <si>
    <t>ON SINYAL T.93,SAG,D.SZ,BYZ.LE</t>
  </si>
  <si>
    <t>ON SINYAL T.93,SOL,D.SZ,BYZ.LE</t>
  </si>
  <si>
    <t>FREN LAMBASI T.93,KAB.LU,A.SZ</t>
  </si>
  <si>
    <t>LENS TEMPRA,ASK,SAG,AMB.</t>
  </si>
  <si>
    <t>LENS TEMPRA,ASK,SOL,AMB.</t>
  </si>
  <si>
    <t>ASK TEMPRA,SAG</t>
  </si>
  <si>
    <t>ASK TEMPRA,SOL</t>
  </si>
  <si>
    <t>FAR SIS BEYAZ LENSLI,TEMSA</t>
  </si>
  <si>
    <t>FAR SIS SARI LENSLI,TEMSA</t>
  </si>
  <si>
    <t>ON SINYAL F.TRANSIT-15,D.SZ,SAG</t>
  </si>
  <si>
    <t>ON SINYAL F.TRANSIT-15,D.SZ,SOL</t>
  </si>
  <si>
    <t>ON SINYAL BMC,SAG</t>
  </si>
  <si>
    <t>ON SINYAL BMC,SOL</t>
  </si>
  <si>
    <t>STOP UNIVERSAL 120X140</t>
  </si>
  <si>
    <t>GERI VITES UNIVERSAL 120X140</t>
  </si>
  <si>
    <t>SINYAL UNIVERSAL 120X140</t>
  </si>
  <si>
    <t>SIS UNIVERSAL 120X140</t>
  </si>
  <si>
    <t>ASK,CLIO,SAG,TURUNCU,FAZ-2</t>
  </si>
  <si>
    <t>CLIO SYMBOL STOP LAMBASI 2000-2008, SAG</t>
  </si>
  <si>
    <t>ASK,CLIO,SAG,NATUREL,FAZ-3</t>
  </si>
  <si>
    <t>ASK,CLIO,SAG,NATUREL,FAZ-3,ROMANYA</t>
  </si>
  <si>
    <t>ASK,CLIO,SOL,TURUNCU,FAZ-2</t>
  </si>
  <si>
    <t>CLIO SYMBOL STOP LAMBASI 2000-2008, SOL</t>
  </si>
  <si>
    <t>ASK,CLIO,SOL,NATUREL,FAZ-3</t>
  </si>
  <si>
    <t>ASK,CLIO,SOL,NATUREL,FAZ-3,ROMANYA</t>
  </si>
  <si>
    <t>ASK,374L,SAG,SOL DIREKSIYON</t>
  </si>
  <si>
    <t>ASK,374L,BOYALI,SAG,SOL DIREKSIYON</t>
  </si>
  <si>
    <t>ASK,374L,SAG,SAG DIREKSIYON</t>
  </si>
  <si>
    <t>ASK,374L,BOYALI,SAG,SAG DIREKSIYON</t>
  </si>
  <si>
    <t>ASK,374L,SOL,SOL DIREKSIYON</t>
  </si>
  <si>
    <t>ASK,374L,BOYALI,SOL,SOL DIREKSIYON</t>
  </si>
  <si>
    <t>ASK,374L,SOL,SAG DIREKSIYON</t>
  </si>
  <si>
    <t>ASK,374L,BOYALI,SOL,SAG DIREKSIYON</t>
  </si>
  <si>
    <t>ASK,AS 950 UNIVERSAL</t>
  </si>
  <si>
    <t>ASK,V227 SAG AYGERSAN TIPI</t>
  </si>
  <si>
    <t>ASK,V227 SOL AYGERSAN TIPI</t>
  </si>
  <si>
    <t>ASK,681N,SAG,SOL DIREKSIYON</t>
  </si>
  <si>
    <t>ASK,681N,SAG,SAG DIREKSIYON</t>
  </si>
  <si>
    <t>ASK,681N,SOL,SOL DIREKSIYON</t>
  </si>
  <si>
    <t>ASK,681N,SOL,SAG DIREKSIYON</t>
  </si>
  <si>
    <t>Ø90 LEDLI,DRL,24V</t>
  </si>
  <si>
    <t>Ø90 LEDLI,DRL,24V,OTOKAR</t>
  </si>
  <si>
    <t>Ø90 LEDLI,DRL+POZ.,24V,SERVIS</t>
  </si>
  <si>
    <t>ASK,TOCO-4,SAG,SOL DIREKSIYON</t>
  </si>
  <si>
    <t>ASK,TOCO-4,SAG,SAG DIREKSIYON</t>
  </si>
  <si>
    <t>ASK,TOCO-4,SOL,SOL DIREKSIYON</t>
  </si>
  <si>
    <t>ASK,TOCO-4,SOL,SAG DIREKSIYON</t>
  </si>
  <si>
    <t>ASK,R.MEGANE-2,SAG</t>
  </si>
  <si>
    <t>ASK,R.MAGANE-2,SOL</t>
  </si>
  <si>
    <t>V227 NA DIPSIZ AMPUL</t>
  </si>
  <si>
    <t>ASK,FD,SAG</t>
  </si>
  <si>
    <t>ASK,KOMPLE,FD,SAG</t>
  </si>
  <si>
    <t>ASK,V227 NA,SAG</t>
  </si>
  <si>
    <t>ASK,FD,SOL</t>
  </si>
  <si>
    <t>ASK,KOMPLE,FD,SOL</t>
  </si>
  <si>
    <t>ASK,V227 NA,SOL</t>
  </si>
  <si>
    <t>ASK 130L,SAG, SOL DIREKSIYON</t>
  </si>
  <si>
    <t>ASK 130L,SAG,SAG DIREKSIYON</t>
  </si>
  <si>
    <t>ASK 130L,SOL,SOL DIREKSIYON</t>
  </si>
  <si>
    <t>ASK 130L,SOL,SAG DIREKSIYON</t>
  </si>
  <si>
    <t>001A RCL,SAG</t>
  </si>
  <si>
    <t>001A RCL,SAG,SAG DIREKSIYON</t>
  </si>
  <si>
    <t>001A RCL,SOL</t>
  </si>
  <si>
    <t>001A RCL,SOL,SAG DIREKSIYON</t>
  </si>
  <si>
    <t>ASK 913N,SAG,SOL DIREKSIYON</t>
  </si>
  <si>
    <t>ASK 913N,SAG,SAG DIREKSIYON</t>
  </si>
  <si>
    <t>ASK 913N,SOL,SOL DIREKSIYON</t>
  </si>
  <si>
    <t>ASK 913N,SOL,SAG DIREKSIYON</t>
  </si>
  <si>
    <t>ASK 914N,SAG,SOL DIREKSIYON</t>
  </si>
  <si>
    <t>ASK 914N,SAG,SAG DIREKSIYON</t>
  </si>
  <si>
    <t>ASK 914N,SOL,SOL DIREKSIYON</t>
  </si>
  <si>
    <t>ASK 914N,SOL,SAG DIREKSIYON</t>
  </si>
  <si>
    <t>FAR,MERCEKLI,K.HUZ.LEDLI,CAMLI,M.EL,24V</t>
  </si>
  <si>
    <t>ASK ON SAG, SIDE MARKER,FD</t>
  </si>
  <si>
    <t>ASK ON SOL, SIDE MARKER,FD</t>
  </si>
  <si>
    <t>ASK ARKA SAG, SIDE MARKER,FD</t>
  </si>
  <si>
    <t>ASK ARKA SOL, SIDE MARKER,FD</t>
  </si>
  <si>
    <t>ASK,V227 MCA,SAG</t>
  </si>
  <si>
    <t>ASK,V227 MCA,SOL</t>
  </si>
  <si>
    <t>TEMPRA ON SINYAL,SAG,DUYSUZ</t>
  </si>
  <si>
    <t>TEMPRA ON SINYAL,SOL,DUYSUZ</t>
  </si>
  <si>
    <t>ASK,R.11,SAG,PLAKALI STOP</t>
  </si>
  <si>
    <t>ASK,R.11,SOL,PLAKALI STOP</t>
  </si>
  <si>
    <t>FAR KOMPLE,R. 19 SAG</t>
  </si>
  <si>
    <t>FAR KOMPLE,R. 19 SOL</t>
  </si>
  <si>
    <t>F. TRANSIT T.15 FAR SAG</t>
  </si>
  <si>
    <t>F. TRANSIT T.15 FAR SOL</t>
  </si>
  <si>
    <t>FAR KOMPLE,LINEA 07-SAG</t>
  </si>
  <si>
    <t>FAR KOMPLE,LINEA 07-SOL</t>
  </si>
  <si>
    <t>ASK,SAG,CAMURLUK,B32</t>
  </si>
  <si>
    <t>ASK,SOL,CAMURLUK,B32</t>
  </si>
  <si>
    <t>ASK,SAG,BAGAJ,B32</t>
  </si>
  <si>
    <t>ASK,SOL,BAGAJ,B32</t>
  </si>
  <si>
    <t>FAR,130 H,UZUN HUZME,24V,UNIVERSAL</t>
  </si>
  <si>
    <t>FARMERCEKKHUZME,CAM,KAP+KABLO,12V/24V</t>
  </si>
  <si>
    <t>FAR,MERCEKLI, 12V, LEDSIZ, CAMLI, C</t>
  </si>
  <si>
    <t>ÜRETİMİ YOK 9735 MOTORSUZ ÜRETİME GEÇİLDİFARMERCEKKHUZME,CAM,KAP+KABLO,24V,OTOM.</t>
  </si>
  <si>
    <t>FARMERCEKKHUZME,MOTORSUZ,CAM,KAP+KABLO,24V,OTOM.</t>
  </si>
  <si>
    <t>FAR,MERCEKLI,HCA, 12V, LEDLI, KAPAK</t>
  </si>
  <si>
    <t>FAR,MERCEK,KISA HUZME,LEDLI,24V,MOTORLU</t>
  </si>
  <si>
    <t>FAR,130 H,KISA HUZME,P-LI,12/24V</t>
  </si>
  <si>
    <t>KISA  HUZME FAR  ( Ø 180MM ) ,  12</t>
  </si>
  <si>
    <t>FAR,130 H, UZUN HUZME,AMPULSUZ,12V/24V</t>
  </si>
  <si>
    <t>FAR,SPOT,C.FACE,12V/24V,C.SIZ CAM,BO+KAB</t>
  </si>
  <si>
    <t>FAR,SPOT,C.FACE,12V/24V,C.CAM,BONE+KAB.</t>
  </si>
  <si>
    <t>FAR,SPOT+PARK,CADFACE,12V/24V.K.KAPAKLI</t>
  </si>
  <si>
    <t>FAR,SPOT,CADFACE,12V/24V,KAPAKLI,P.SIZ</t>
  </si>
  <si>
    <t>FAR,SIS,C.FACE12/24V,C.CAM,BO+KABLOLU</t>
  </si>
  <si>
    <t>FAR,SIS,C.FACE,12V/24V,C.SIZ,CAM</t>
  </si>
  <si>
    <t>FAR,SIS,CADFACE,KOR.KAPAKLI 12V/24V</t>
  </si>
  <si>
    <t>FAR,SIS,C.FACE,24V,CIZGILI CAM,BONE+KABLO</t>
  </si>
  <si>
    <t>FRONT FOG LAMP,24V,CLEAR GLASS,BON</t>
  </si>
  <si>
    <t>FAR,SPOT,CADEFACE,24V,CIZGILICAM,OTOKAR</t>
  </si>
  <si>
    <t>Ø70, ON SIN., NATUREL, PY21W</t>
  </si>
  <si>
    <t>FAR,SIS,C.FACE12VC.SIZCAM,BO+KAB,KARSAN</t>
  </si>
  <si>
    <t>FAR,SIS,C.FACE,24V,CIZGILICAM,Y.BON.TEMSA</t>
  </si>
  <si>
    <t>FAR,SPOT,C.FACE,24V,C.CAM,YENI BONE,TEMSA</t>
  </si>
  <si>
    <t>FAR,SIS,C.FACE,24V,C.CAM,YENIBONE,EVOBUS</t>
  </si>
  <si>
    <t>FAR,SIS,C.FACE,24V,C.CAMLI,BONE+KAB,MERCEDES</t>
  </si>
  <si>
    <t>FAR,SIS,C.FACE,YENIBON,C.SIZCAM,24V,FD</t>
  </si>
  <si>
    <t>Ø98 ASK,AMPULLSUZ,SIS,12V/24V</t>
  </si>
  <si>
    <t>Ø98 ASK,AMPULLSUZ,SIS+REFLEX,12V/24V</t>
  </si>
  <si>
    <t>Ø98 ASK,AMPULLSUZ,GERI VITES,12V/24V</t>
  </si>
  <si>
    <t>FAR,SPOT+PARK,CADFACE,24V,KOR.K.TEMSA</t>
  </si>
  <si>
    <t>Ø98 STOP+POZISYON,12V/24V</t>
  </si>
  <si>
    <t>Ø98 SINYAL/TURUNCU 12V/24V</t>
  </si>
  <si>
    <t>FAR,SIS,CADEFACE,24V,KORUYUCU KAP. TEMSA</t>
  </si>
  <si>
    <t>Ø70 CADEFACE,ON SINYAL,BEYAZ LENSLI,24VOLT,UNIVERSAL</t>
  </si>
  <si>
    <t>UNISTOP1,12V(F+P,S,SIS,GV,R) KABLOLU</t>
  </si>
  <si>
    <t>UNISTOP2, 12V (F+P,SINYAL,SIS,G.VITES,R)</t>
  </si>
  <si>
    <t>UNISTOP2, 12V (F+P,SINYAL,SIS,G.VITES,R),DUYSUZ</t>
  </si>
  <si>
    <t>Ø98 ASK,REFLEX+SIS,12V-P21W</t>
  </si>
  <si>
    <t>FAR,CADFACE,SIS,ECE,12V/24V,H7</t>
  </si>
  <si>
    <t>FAR,SPOT,CADFACE,24V,BONE+KABL.CIZG</t>
  </si>
  <si>
    <t>Ø98 ASK,LEDLI, SINYAL+STOP+POZISYON,24V, AMBER</t>
  </si>
  <si>
    <t>FAR,SPOT,CDFACE,12V,K.LI,P.SIZ,KARSAN,YP</t>
  </si>
  <si>
    <t>UNISTOP 4, LEDLI STOP LAMBASI, 12V</t>
  </si>
  <si>
    <t>UNISTOP 4, LEDLI STOP LAMBASI, 24V</t>
  </si>
  <si>
    <t>UNISTOP 4, LEDLI STOP LAMBASI, 12V, KIRMIZI V3</t>
  </si>
  <si>
    <t>TRAKTOR 65S ON PANJUR 4813248 SAT.</t>
  </si>
  <si>
    <t>TRAKTOR 65S ON PANJUR 47813249 AYG.</t>
  </si>
  <si>
    <t>UNISTOP 4, LEDLI STOP LAMBASI, 24V, KIRMIZI V3</t>
  </si>
  <si>
    <t>FAR,SIS,CADFACE,12V,KORUY.KAPAKLI,TEMSA</t>
  </si>
  <si>
    <t>FAR,SPOT,C.FACE,24V,C.CAMLI,B+KAB,OTOKAR</t>
  </si>
  <si>
    <t>FAR,SIS,C.FACE,24V,C.CAM,BO+KAB,OTOKAR</t>
  </si>
  <si>
    <t>FAR,SIS,CADFACE,24VK.KLI,AS.AR AC</t>
  </si>
  <si>
    <t>FAR,SPOT+PARK,CADFACE,12V,KOR.KAP.TEMSA</t>
  </si>
  <si>
    <t>FAR,SIS,CADFACE,12V,KORUYUCU KAP. KARSAN</t>
  </si>
  <si>
    <t>FAR,SIS,CADFACE,12V,KOR.KAP,KARSAN,YP</t>
  </si>
  <si>
    <t>FAR,SIS,CADFACE,24V,KOR.KAPAKLI,KARSAN</t>
  </si>
  <si>
    <t>FAR,SPOT+PARK,CADFACE,24V,KOR.KAP. KARSAN</t>
  </si>
  <si>
    <t>FAR,130 H, KISA HUZME,P-LI,24V</t>
  </si>
  <si>
    <t>FAR,SPOT+PARK,CADFACE,24V,KOR.KAP. BMC</t>
  </si>
  <si>
    <t>FAR,MERCEK,KISA HUZME,LEDLI,24V,MANUEL</t>
  </si>
  <si>
    <t>Ø70 ORL 3 24V / OLT LON</t>
  </si>
  <si>
    <t>FAR MERC.KH.LED</t>
  </si>
  <si>
    <t>FAR,SPOT+PARK,CADFACE,12/24V,KOR.KAP</t>
  </si>
  <si>
    <t>FAR,SPOT+PARK,CADFACE,24V,KOR.KAP.TEMSA</t>
  </si>
  <si>
    <t>FAR,SPOT+PARK,CADFACE,12V,KOR.KA,KARSAN</t>
  </si>
  <si>
    <t>FRONT FOG LAMP 24V</t>
  </si>
  <si>
    <t>FAR,SIS,CADFACE,24V.K.KLI,AS.ARAC-OTOKAR</t>
  </si>
  <si>
    <t>FAR,SPOT+PARK,CADFACE,24V,KOR.KAP.MBT</t>
  </si>
  <si>
    <t>FAR,CADFACE,SIS,ECE,24V,H7,FD</t>
  </si>
  <si>
    <t>FAR,MERCEKHUZME,CAM,KAP+KABLO,24V</t>
  </si>
  <si>
    <t>FAR,SIS,C.FACE,BONE+KABC.CAMLI,24V,GULER</t>
  </si>
  <si>
    <t>FAR,CADEFACE,SIS,ECE,24V,H7,KARSAN</t>
  </si>
  <si>
    <t>FAR,SIS,CADFACE,12V,KORUYUCU KAPAKLI</t>
  </si>
  <si>
    <t>FAR+SINYAL,MBT,O403,SAG,HCRA</t>
  </si>
  <si>
    <t>FAR+SINYAL,MBT,O403,SOL,HCRA</t>
  </si>
  <si>
    <t>FAR,SIS,CADFACE,24V,KORUYUCU KAPAKLI</t>
  </si>
  <si>
    <t>FAR,CADFACE,SIS,ECE,24V,H7,OTOKAR</t>
  </si>
  <si>
    <t>FAR+SINYAL,MBT,O345,SAG,HCRA</t>
  </si>
  <si>
    <t>FAR+SINYAL,MBT,O345,SOL,HCRA</t>
  </si>
  <si>
    <t>FAR,SPOT+PARK,CADFACE,24V,KOR.KAPAKLI</t>
  </si>
  <si>
    <t>FAR,SPOT+PARK,CADFACE,12V,KOR.KAPAKLI</t>
  </si>
  <si>
    <t>FAR,130,UZUN+DRL,H1+P21W,12/24V</t>
  </si>
  <si>
    <t>FRONT HIGH BEAM (SPOT) + PARK,24V,C</t>
  </si>
  <si>
    <t>FAR,MER.K.H.LED24V,KAPLAMASIZ,ORTAK</t>
  </si>
  <si>
    <t>FAR,MER.K.H.LED.12V,K.SIZ,ORTAK</t>
  </si>
  <si>
    <t>FAR,CADFACE,SIS,ECE,24V,H7,MBT</t>
  </si>
  <si>
    <t>FAR,CADFACE,SIS,ECE,12V,H7,KARSAN</t>
  </si>
  <si>
    <t>FAR,MERC,Ø55,HALOJEN,24V,BMC-OTOBUS</t>
  </si>
  <si>
    <t>FAR,MERC,Ø55,HALOJEN,12V,SOL DIR</t>
  </si>
  <si>
    <t>FAR,MERC,Ø55,HALOJEN,24V,SOL DIR</t>
  </si>
  <si>
    <t>FAR,Ø55,HAL,A.M.SUZ,12V,SOL DIR,TEMSA</t>
  </si>
  <si>
    <t>FAR,SIS,CADFACE,24V,K.KAPAKLI (ORTAK URUN)</t>
  </si>
  <si>
    <t>FAR,SPOT+PARK,CADFACE,24V,KOR.K.ORTAK UR</t>
  </si>
  <si>
    <t>FAR,MERC,Ø55,HAL,A.M.SUZ,24V,SO L D,TEMSA</t>
  </si>
  <si>
    <t>FAR,MERC,Ø55,HAL,A.M.SUZ,12V,SOL D,KARSAN</t>
  </si>
  <si>
    <t>FAR,MERC,ØHAL,A.M.SUZ,24V,S. DIR,KARSAN</t>
  </si>
  <si>
    <t>IVECO ON SINYAL,SAG</t>
  </si>
  <si>
    <t>IVECO ON SINYAL,SOL</t>
  </si>
  <si>
    <t>FAR,SPOT,CADFACE,24V,KAPAKLI,P.SIZ</t>
  </si>
  <si>
    <t>FAR,MER.K.HUZ,PC LENS,24V,MANU,OTOKAR</t>
  </si>
  <si>
    <t>FAR,MERC,Ø55,HALOJEN,24V,SOL DIR,MBT</t>
  </si>
  <si>
    <t>FAR,MERC.Ø55,HALOJEN,24V,SOL DIR,MBT</t>
  </si>
  <si>
    <t>FAR,MERC,Ø55,HALOJEN,24V,BMC-KAMYON</t>
  </si>
  <si>
    <t>LICHTS.KPL.HL EVOBUS R-BUS L F</t>
  </si>
  <si>
    <t>HECKL.EVOBUS S300N &gt;99 L RFS +</t>
  </si>
  <si>
    <t>NEBELSCHLUßL.EVOBUS S200 &gt;12/9</t>
  </si>
  <si>
    <t>HECKL.EVOBUS S300N &gt;99 R RFS +</t>
  </si>
  <si>
    <t>LICHTS.KPL.HL EVOBUS R-BUS R U</t>
  </si>
  <si>
    <t>LICHTS.KPL.HL EVOBUS R-BUS L R</t>
  </si>
  <si>
    <t>LICHTS.KPL.EVOBUS MIDIBUS L NS</t>
  </si>
  <si>
    <t>HECKL.EVOBUS S300 L NSL/RFS +G</t>
  </si>
  <si>
    <t>LICHTS.KPL.HL EVOBUS R-BUS R F</t>
  </si>
  <si>
    <t>HECKL.EVOBUS MIDIBUS L NSL UVK</t>
  </si>
  <si>
    <t>HECKL.EVOBUS MIDIBUS R NSL +GL</t>
  </si>
  <si>
    <t>HECKL.EVOBUS S300 R +GL UVG</t>
  </si>
  <si>
    <t>LICHTS.KPL.Z  FA MB-LKW UVK</t>
  </si>
  <si>
    <t>LICHTS.KPL.EVOBUS MIDIBUS R NS</t>
  </si>
  <si>
    <t>FAR,MERCEKLI,BI-HALOJEN,12V,AYAR M.SUZ</t>
  </si>
  <si>
    <t>FAR,SPOT,C.FACE,24V,C.CAMLI,B+KAB.</t>
  </si>
  <si>
    <t>FAR,MERC,Ø55,HAL,A.M.SUZ,24V,SO L D</t>
  </si>
  <si>
    <t>HECKL.EVOBUS S300N&gt;99 L RFS+</t>
  </si>
  <si>
    <t>FRONT HING BEAM (SPOT),24V,BONNET</t>
  </si>
  <si>
    <t>FAR,MERCEKLI,BI-HALOJEN,MANUEL,LHD,24V</t>
  </si>
  <si>
    <t>UNISTOP 4, LEDLI STOP LAMBASI, 12V, KIRMIZI V4</t>
  </si>
  <si>
    <t>FAR,MERCEKLI,SAG DIREKSIYON,CAMLI,24V</t>
  </si>
  <si>
    <t>FAR,MERCEKLI,Ø55,HALOJEN,12V,AYAR MOTORLU,SOL DIR.TERS</t>
  </si>
  <si>
    <t>FAR,MERCEKLI,Ø55,HALOJEN,24V,AYAR MOTORLU,SOL DIR.TERS</t>
  </si>
  <si>
    <t>FAR,Ø55,HALOJEN,A.M.LU,24V,SOL DIR,TERS</t>
  </si>
  <si>
    <t>FAR,MERC,Ø55,HAL,12V,SOL DIR,TUMOSAN</t>
  </si>
  <si>
    <t>UNISTOP 4, LEDLI STOP LAMBASI, 24V, KIRMIZI V4</t>
  </si>
  <si>
    <t>FARMERCEKHUZME,CAM,KAP+KABLO,24V,OTOM.</t>
  </si>
  <si>
    <t>PLAKA ISIK D.DORF IAM</t>
  </si>
  <si>
    <t>PLAKA LAMBASI KOMPLE.</t>
  </si>
  <si>
    <t>FAHRTRICHTUNGSANZ.VORN LINKS</t>
  </si>
  <si>
    <t>FAHRTRICHTUNGSANZ.VORN RECHTS</t>
  </si>
  <si>
    <t>SOL CONTA</t>
  </si>
  <si>
    <t>ZB HL 367 +RFS 8/87&gt; MB T1 ETV</t>
  </si>
  <si>
    <t>LENS HL 367 MB T1</t>
  </si>
  <si>
    <t>BLENDE LI HL MCC</t>
  </si>
  <si>
    <t>BLENDE RE HL MCC</t>
  </si>
  <si>
    <t>ZB HECKLEUCHTE L+RFS,</t>
  </si>
  <si>
    <t>ZB SPOILER IN MCC</t>
  </si>
  <si>
    <t>EP HECKLEUCHTE L LL</t>
  </si>
  <si>
    <t>EP HECKLEUCHTE R LL</t>
  </si>
  <si>
    <t>ZB HECKLEUCHTE R+RFS,</t>
  </si>
  <si>
    <t>ZB SPOILER AU MCC</t>
  </si>
  <si>
    <t>GLUHLAMPE W2,3W</t>
  </si>
  <si>
    <t>LICHTFENSTER HBL</t>
  </si>
  <si>
    <t>ZB REFLEKTOR HBL MCC</t>
  </si>
  <si>
    <t>ZB KENNZEICHENLEUCHTE MCC-ET</t>
  </si>
  <si>
    <t>EP HECKLEUCHTE R RL</t>
  </si>
  <si>
    <t>PP POLYFORT FPP20 T</t>
  </si>
  <si>
    <t>ZB SPOILER AU DK MCO</t>
  </si>
  <si>
    <t>ZB HECKLEUCHTE L LL</t>
  </si>
  <si>
    <t>ZB HECKLEUCHTE R LL</t>
  </si>
  <si>
    <t>GLUHLAMPE R5W HL</t>
  </si>
  <si>
    <t>ZB HECKLEUCHTE L RL</t>
  </si>
  <si>
    <t>ZB HECKLEUCHTE R RL</t>
  </si>
  <si>
    <t>EP HECKLEUCHTE L LL PA</t>
  </si>
  <si>
    <t>EP HECKLEUCHTE R LL PA</t>
  </si>
  <si>
    <t>EP HECKLEUCHTE L LL PU</t>
  </si>
  <si>
    <t>EP HECKLEUCHTE R LL PU</t>
  </si>
  <si>
    <t>EP HECKLEUCHTE L RL PA</t>
  </si>
  <si>
    <t>EP HECKLEUCHTE R RL PA</t>
  </si>
  <si>
    <t>BLENDE L HL MCC ROHTEIL</t>
  </si>
  <si>
    <t>ZB REFLEKTORGEH.L OPEL</t>
  </si>
  <si>
    <t>ZB REFLEKTORGEH.R</t>
  </si>
  <si>
    <t>ZB REFLEKTORGEH.L</t>
  </si>
  <si>
    <t>ZB LICHTSCHEIBE L SWL</t>
  </si>
  <si>
    <t>ZB LICHTSCHEIBE R SWL</t>
  </si>
  <si>
    <t>ZB LICHTSCHEIBE L HDL</t>
  </si>
  <si>
    <t>ZB LICHTSCHEIBE R HDL</t>
  </si>
  <si>
    <t>ZB LICHTSCHEIBE L</t>
  </si>
  <si>
    <t>ZB LICHTSCHEIBE R</t>
  </si>
  <si>
    <t>ZB LICHTSCHEIBE L SWL IAM</t>
  </si>
  <si>
    <t>FAR,MER.K.H.LED.24V,AS. ARAC,BMC,K.SIZ.</t>
  </si>
  <si>
    <t>LICHTSCH.SMART MCC SPOILER ET</t>
  </si>
  <si>
    <t>DICHTUNG MB UNIMOG FRA NF</t>
  </si>
  <si>
    <t>UNISTOP 4, LEDLI STOP LAMBASI, 24V, Unv.</t>
  </si>
  <si>
    <t>ZB LICHTSCHEIBE L DUNKEL SWL</t>
  </si>
  <si>
    <t>ZB LICHTSCHEIBE R DUNKEL SWL</t>
  </si>
  <si>
    <t>FAR,MER.K.H.LED.24V,K.SIZ,ORTAK</t>
  </si>
  <si>
    <t>UST GOVDE BIHALOJEN</t>
  </si>
  <si>
    <t>FRA 3231 MB UNIMOG NFZ L UVG</t>
  </si>
  <si>
    <t>FAHRTRICHTUNGSANZ. R DB UNIMOG</t>
  </si>
  <si>
    <t>ASK,UNISTOP-4,12V,SOKET-1-ULO</t>
  </si>
  <si>
    <t>ASK,UNISTOP-4,24V,SOKET-1,ULO</t>
  </si>
  <si>
    <t>STOP LAMBASI F.TRANSIT,SOL,KABLOSUZ</t>
  </si>
  <si>
    <t>STOP LAMBASI F.TRANSIT,SAG,KABLOSUZ</t>
  </si>
  <si>
    <t>LENS,SOL,KAYNAKLI,UNISTOP-3,AYGERSAN</t>
  </si>
  <si>
    <t>LENS,SAG,KAYNAKLI,UNISTOP-3,AYGERSAN</t>
  </si>
  <si>
    <t>HECKL.R SMART RFS FRA/ROT</t>
  </si>
  <si>
    <t>H566 AYAR VİDASI</t>
  </si>
  <si>
    <t>DIŞ LENS,SOL,S205 SA ,ÇAMURLUK</t>
  </si>
  <si>
    <t xml:space="preserve">DIŞ LENS,SAĞ,S205 SA ,ÇAMURLUK  </t>
  </si>
  <si>
    <t>DIŞ LENS,SOL,S205 SA ,ÇAMURLUK,ULO</t>
  </si>
  <si>
    <t xml:space="preserve">DIŞ LENS,SAĞ,S205 SA ,ÇAMURLUK,ULO </t>
  </si>
  <si>
    <t>AYAR BRAKETİ,CADFACE</t>
  </si>
  <si>
    <t>İÇ LENS ÜST,SOL,S205 SA ,BAGAJ</t>
  </si>
  <si>
    <t>İÇ LENS ÜST,SAĞ,S205 SA ,BAGAJ</t>
  </si>
  <si>
    <t>İÇ LENS ALT,SOL,S205 SA ,BAGAJ</t>
  </si>
  <si>
    <t>İÇ LENS ALT,SAĞ,S205 SA ,BAGAJ</t>
  </si>
  <si>
    <t>ARA ÇERÇEVE,SOL,S205 SA ,BAGAJ</t>
  </si>
  <si>
    <t>ARA ÇERÇEVE,SAĞ,S205 SA ,BAGAJ</t>
  </si>
  <si>
    <t>REFLEKTÖR,SOL,S205 SA ,ÇAMURLUK</t>
  </si>
  <si>
    <t>REFLEKTÖR,SAĞ,S205 SA ,ÇAMURLUK</t>
  </si>
  <si>
    <t>Touareg 2K Yan Çıta Sol</t>
  </si>
  <si>
    <t>Touareg 2K Yan Çıta Sağ</t>
  </si>
  <si>
    <t>İÇ LENS,SOL,H625 CARGO</t>
  </si>
  <si>
    <t>İÇ LENS,SAĞ,H625 CARGO</t>
  </si>
  <si>
    <t>RUECKSTR.KPL.1148 MB ROT SV/ET</t>
  </si>
  <si>
    <t>DIŞ LENS,SOL,S205 ET ,ÇAMURLUK</t>
  </si>
  <si>
    <t>DIŞ LENS,SAĞ,S205 ET ,ÇAMURLUK</t>
  </si>
  <si>
    <t>TOGG,SIDE COVER,SOL,X-COUPE,ÇAMURLUK</t>
  </si>
  <si>
    <t>TOGG,SIDE COVER,SAĞ,X-COUPE,ÇAMURLUK</t>
  </si>
  <si>
    <t>LENS,OPTİK Ph2 SAĞ,GERİ VİTES EDISON S2S</t>
  </si>
  <si>
    <t>LENS,OPTİK Ph2 SOL,EDISON S2S/S4S</t>
  </si>
  <si>
    <t>GÖVDE,SOL,EDISON S2S BASIC</t>
  </si>
  <si>
    <t>GÖVDE,SAĞ,EDISON S2S BASIC</t>
  </si>
  <si>
    <t>REFLEKTÖR,SOL,SİS,EDISON S2S BASIC</t>
  </si>
  <si>
    <t>REFLEKTÖR,SAĞ,SİS,EDISON S2S BASIC</t>
  </si>
  <si>
    <t>GÖVDE,Ph2SOL,EDIS.S2S/S4S LINEUP,KABLOLU</t>
  </si>
  <si>
    <t>GÖVDE,Ph2SAĞ,EDIS.S2S/S4S LINEUP,KABLOLU</t>
  </si>
  <si>
    <t>GÖVDE,SOL,B460 ASK</t>
  </si>
  <si>
    <t>GÖVDE,SAG,B460 ASK</t>
  </si>
  <si>
    <t>KAPAK,SOL,S205 ET ,BAGAJ</t>
  </si>
  <si>
    <t>KAPAK,SAĞ,S205 ET ,BAGAJ</t>
  </si>
  <si>
    <t>DIŞ LENS SAĞ S205 ET CAMURLUK ULO</t>
  </si>
  <si>
    <t>DIŞ LENS SOL S205 ET  CAMURLUK ULO</t>
  </si>
  <si>
    <t>REFLEKTÖR,FRA/SL,SOL,AUDI,ÇAMURLUK</t>
  </si>
  <si>
    <t>REFLEKTÖR,FRA/SL,SAĞ,AUDI,ÇAMURLUK</t>
  </si>
  <si>
    <t xml:space="preserve">ISIK TÜPÜ SİS SOL AUDİ BAGAJ </t>
  </si>
  <si>
    <t xml:space="preserve">ISIK TÜPÜ SİS SAG AUDİ BAGAJ </t>
  </si>
  <si>
    <t>ARA ÇERÇEVE,SOL,AUDI,BAGAJ</t>
  </si>
  <si>
    <t>ARA ÇERÇEVE,SAĞ,AUDI,BAGAJ</t>
  </si>
  <si>
    <t>ARA ÇERÇEVE,SOL,AUDI,ÇAMURLUK</t>
  </si>
  <si>
    <t>ARA ÇERÇEVE,SAĞ,AUDI,ÇAMURLUK</t>
  </si>
  <si>
    <t>LIGHT GUIDE ÜST SOL S205 SA ÇAMURLUK</t>
  </si>
  <si>
    <t>LIGHT GUIDE ÜST SAĞ S205 SA ÇAMURLUK</t>
  </si>
  <si>
    <t>ARA ÇERÇEVE SOL B 460 FAR SİNYAL</t>
  </si>
  <si>
    <t>ARA ÇERÇEVE SAĞ B 460 FAR SİNYAL</t>
  </si>
  <si>
    <t>LIGHT GUIDE ALT SOL S205 SAÇAMURLUK</t>
  </si>
  <si>
    <t>LIGHT GUIDE ALT SAĞ S205 SAÇAMURLUK</t>
  </si>
  <si>
    <t>YAN CITA SOL S205 ÇAMURLUK</t>
  </si>
  <si>
    <t>YAN CITA SAĞ S205 ÇAMURLUK</t>
  </si>
  <si>
    <t>W206_RCL_FEP_REFLECTOR_TI_L</t>
  </si>
  <si>
    <t>W206_RCL_FEP_REFLECTOR_TI_R</t>
  </si>
  <si>
    <t xml:space="preserve">S205 REFLEKTOR SOL </t>
  </si>
  <si>
    <t>S205 REFLEKTOR SAĞ</t>
  </si>
  <si>
    <t xml:space="preserve">B 460 MCA GÖVDE SOL </t>
  </si>
  <si>
    <t xml:space="preserve"> B 460 GÖVDE SOL</t>
  </si>
  <si>
    <t xml:space="preserve">B 460 GÖVDE SAĞ </t>
  </si>
  <si>
    <t xml:space="preserve">B 460 MCA GÖVDE SAĞ </t>
  </si>
  <si>
    <t>ÇERÇEVE,SOL,EDISON S2S LINE UP</t>
  </si>
  <si>
    <t>ÇERÇEVE,SAĞ,EDISON S2S LINE UP</t>
  </si>
  <si>
    <t>LENS,KIRMIZI+NATUREL,SOL,B460 ASK</t>
  </si>
  <si>
    <t>LENS,KIRMIZI+NATUREL,SAG,B460 ASK</t>
  </si>
  <si>
    <t>R4S KIRMIZI+NATUREL LENS SOL</t>
  </si>
  <si>
    <t>R4S KIRMIZI+NATUREL LENS SAG</t>
  </si>
  <si>
    <t>LIGHT GUIDE,ÜST,SOL,S205 SA,BAGAJ</t>
  </si>
  <si>
    <t>LIGHT GUIDE,ÜST,SAĞ,S205 SA,BAGAJ</t>
  </si>
  <si>
    <t>LIGHT GUIDE,ALT,SOL,S205 SA,BAGAJ</t>
  </si>
  <si>
    <t>LIGHT GUIDE,ALT,SAĞ,S205 SA,BAGAJ</t>
  </si>
  <si>
    <t>S205 BAGAJ ÇERÇEVE SOL</t>
  </si>
  <si>
    <t>S205 BAGAJ ÇERÇEVE SAG</t>
  </si>
  <si>
    <t>EDİSON DIŞ LENS SOL</t>
  </si>
  <si>
    <t>EDİSON DIŞ LENS SAĞ</t>
  </si>
  <si>
    <t>R4S ÇERÇEVE SOL</t>
  </si>
  <si>
    <t>R4S ÇERÇEVE SAG</t>
  </si>
  <si>
    <t>S205 YAN ÇITA SOL</t>
  </si>
  <si>
    <t>S205 YAN ÇITA SAG</t>
  </si>
  <si>
    <t>S205 BAGAJ GÖVDE SOL</t>
  </si>
  <si>
    <t>S205 BAGAJ GÖVDE SAG</t>
  </si>
  <si>
    <t>S205 BRAKET BAGAJ SOL</t>
  </si>
  <si>
    <t>S205 BRAKET BAGAJ SAG</t>
  </si>
  <si>
    <t>TI REFLEKTÖR,SİNYAL,SOL,B460 FAR</t>
  </si>
  <si>
    <t>TI REFLEKTÖR,SİNYAL,SAĞ,B460 FAR</t>
  </si>
  <si>
    <t>LENS,SİNYAL,SOL,B460,FAR</t>
  </si>
  <si>
    <t>LENS,SİNYAL,SAĞ,B460,FAR</t>
  </si>
  <si>
    <t>S2S REFLEKTÖR PH2 SOL</t>
  </si>
  <si>
    <t>S2S REFLEKTÖR PH2 SAG</t>
  </si>
  <si>
    <t>REFLEKTÖR,Ph2 SOL,EDISON S2S/S4S</t>
  </si>
  <si>
    <t>REFLEKTÖR,Ph2 SAĞ,EDISON S2S/S4S</t>
  </si>
  <si>
    <t>STELLANTİS D74 COVER EXTERİOR 2C L</t>
  </si>
  <si>
    <t>STELLANTİS D74 COVER EXTERİOR 2C R</t>
  </si>
  <si>
    <t>ARA ÇERÇEVE,SİYAH,SAĞ,H625 CARGO</t>
  </si>
  <si>
    <t>H 625 ÇERÇVE HALKA SOL</t>
  </si>
  <si>
    <t>H 625 ÇERÇVE HALKA SAG</t>
  </si>
  <si>
    <t>KAPAK,SOL,HIGH,H625 FAR CARGO</t>
  </si>
  <si>
    <t>REFLEKTÖR,SOL,DRL+TI,H625 CARGO</t>
  </si>
  <si>
    <t>H625 TI REFLEKTÖR SOL</t>
  </si>
  <si>
    <t>H625 TI REFLEKTÖR SAG</t>
  </si>
  <si>
    <t xml:space="preserve">S 205 YAN ÇITA SOL </t>
  </si>
  <si>
    <t>S 205 YAN ÇITA SAĞ</t>
  </si>
  <si>
    <t>YAN CITA,SAĞ,S205,BAGAJ,RHD</t>
  </si>
  <si>
    <t>YAN CITA,SOL,S205,BAGAJ,RHD</t>
  </si>
  <si>
    <t xml:space="preserve">S 205 LIGHT  IŞIK TÜPÜ SOL </t>
  </si>
  <si>
    <t>S 205 LIGHT  IŞIK TÜPÜ SAĞ</t>
  </si>
  <si>
    <t>REFLEKTÖR,SOL,SİNYAL/G.VİTES,EDISON S2S</t>
  </si>
  <si>
    <t>REFLEKTÖR,SAĞ,SİNYAL/G.VİTES,EDISON S2S</t>
  </si>
  <si>
    <t>S205 İŞIK TUPÜ SOL</t>
  </si>
  <si>
    <t>S205 İŞIK TUPÜ SAG</t>
  </si>
  <si>
    <t>S 205 REFLEKTOR SOL</t>
  </si>
  <si>
    <t>S 205 REFLEKTOR SAĞ</t>
  </si>
  <si>
    <t>S2S REFLEKTÖR SOL</t>
  </si>
  <si>
    <t>S2S REFLEKTÖR SAG</t>
  </si>
  <si>
    <t>S205 SWL KAPAK SOL</t>
  </si>
  <si>
    <t>S205 SWL KAPAK SAG</t>
  </si>
  <si>
    <t>S2S EDİSON ÇERÇEVE SOL</t>
  </si>
  <si>
    <t>S2S EDİSON ÇERÇEVE SAG</t>
  </si>
  <si>
    <t>S2S EDİSON REFLEKTÖR SOL</t>
  </si>
  <si>
    <t>S2S EDİSON REFLEKTÖR SAG</t>
  </si>
  <si>
    <t>X 1320 REFLEKTÖR SOL</t>
  </si>
  <si>
    <t>X 1320 REFLEKTÖR SAG</t>
  </si>
  <si>
    <t>C590 Light Guide 1 FEP L</t>
  </si>
  <si>
    <t>C590 Light Guide 1 FEP R</t>
  </si>
  <si>
    <t>C590 Light Guide 2 FEP L</t>
  </si>
  <si>
    <t>C590 Light Guide 2 FEP R</t>
  </si>
  <si>
    <t>YAN CITA,SOL,S205,ÇAMURLUK,RHD</t>
  </si>
  <si>
    <t>YAN CITA,SAĞ,S205,ÇAMURLUK,RHD</t>
  </si>
  <si>
    <t>ARA ÇERÇEVE,SİYAH,SOL,H625 CARGO</t>
  </si>
  <si>
    <t>Far Baglanti Plastigi</t>
  </si>
  <si>
    <t>DACIA_X1320_HL_LIGHTGUIDE_SUPPORT_TI_UPPER L</t>
  </si>
  <si>
    <t>DACIA_X1320_HL_LIGHTGUIDE_SUPPORT_TI_UPPER R</t>
  </si>
  <si>
    <t>F250 LENS HOLDER</t>
  </si>
  <si>
    <t>F250 BI-LET DIŞ LENS</t>
  </si>
  <si>
    <t>DIŞ LENS,EDISON X07,SOL,SAĞ DİREKSİYON</t>
  </si>
  <si>
    <t>DIŞ LENS,EDISON X07,SAĞ,SAĞ DİREKSİYON</t>
  </si>
  <si>
    <t>İÇ LENS,LAMEL,SOL,AUDI,BAGAJ</t>
  </si>
  <si>
    <t>İÇ LENS,LAMEL,SAĞ,AUDI,BAGAJ</t>
  </si>
  <si>
    <t>S205 GÖVDE ÇAMURLUK SOL</t>
  </si>
  <si>
    <t>S205 GÖVDE ÇAMURLUK SAG</t>
  </si>
  <si>
    <t>X591 REFLEKTÖR SOL</t>
  </si>
  <si>
    <t>X591 REFLEKTÖR SAG</t>
  </si>
  <si>
    <t>Gövde, Bi-Led</t>
  </si>
  <si>
    <t>C590 2C Outer Cover L</t>
  </si>
  <si>
    <t>C590 2C Outer Cover R</t>
  </si>
  <si>
    <t>EDİSON DIŞ LENS SAG</t>
  </si>
  <si>
    <t>REFLEKTÖR,SOL,S205 SA ,BAGAJ</t>
  </si>
  <si>
    <t>REFLEKTÖR,SAG,S205 SA ,BAGAJ</t>
  </si>
  <si>
    <t>S205 BAGAJ LİGT GUİDE SOL</t>
  </si>
  <si>
    <t>S205 BAGAJ LİGT GUİDE SAG</t>
  </si>
  <si>
    <t>ICA TAKOZ SOL</t>
  </si>
  <si>
    <t>ICA TAKOZ SAG</t>
  </si>
  <si>
    <t>S205 BAGAJ TE SOL</t>
  </si>
  <si>
    <t>S205 BAGAJ TE SAG</t>
  </si>
  <si>
    <t>S205 BAGAJ SEA SYAH SOL</t>
  </si>
  <si>
    <t>S205 BAGAJ SEA SYAH SAG</t>
  </si>
  <si>
    <t>H7 DUY KOMLE</t>
  </si>
  <si>
    <t xml:space="preserve">H1 DUY KOMLE </t>
  </si>
  <si>
    <t>H625 KROM BEZEL  SOL</t>
  </si>
  <si>
    <t>H625 KROM BEZEL SAG</t>
  </si>
  <si>
    <t>H625 BLEK BEZEL SOL</t>
  </si>
  <si>
    <t>H625 BLEK BEZEL SAG</t>
  </si>
  <si>
    <t>S2S ÇERÇEVE SAE SOL</t>
  </si>
  <si>
    <t>S2S ÇERÇEVESAE SAG</t>
  </si>
  <si>
    <t>S2S EDİSON STOP POZİSYON SAG</t>
  </si>
  <si>
    <t>S2S EDİSON STOP POZİSYON SOL</t>
  </si>
  <si>
    <t>C590 LGHT GUİDE  1 FEB L</t>
  </si>
  <si>
    <t>C590 LGHT GUİDE  1 FEB R</t>
  </si>
  <si>
    <t>C590 LGHT GUİDE  2 FEB L</t>
  </si>
  <si>
    <t>C590 LGHT GUİDE 2 FEB R</t>
  </si>
  <si>
    <t>Vardiyadaki Personel Sayısı :</t>
  </si>
  <si>
    <t>Toplam</t>
  </si>
  <si>
    <t>Saatlik Kapasite</t>
  </si>
  <si>
    <t>Gölgelik,Hareketli,LHD,Ø70,Bihalojen Far</t>
  </si>
  <si>
    <t>GÖVDE,SOL,EDISON S2S LINE UP</t>
  </si>
  <si>
    <t>DIŞ LENS,SAĞ,EDISON S2S/S4S</t>
  </si>
  <si>
    <t>GÖVDE,SAĞ,EDISON S2S LINE UP</t>
  </si>
  <si>
    <t>İÇ LENS,ÜST,SOL,R4S Ph2</t>
  </si>
  <si>
    <t>İÇ LENS,ÜST,SAĞ,R4S Ph2</t>
  </si>
  <si>
    <t>İÇ LENS,ALT,SOL,R4S Ph2</t>
  </si>
  <si>
    <t>İÇ LENS,ALT,SAĞ,R4S Ph2</t>
  </si>
  <si>
    <t>YAN CITA,SOL,SWL,SAE</t>
  </si>
  <si>
    <t>YAN CITA,SAĞ,SWL,SAE</t>
  </si>
  <si>
    <t>REFLEKTÖR,SAĞ,DRL+TI,H625 CARGO</t>
  </si>
  <si>
    <t>ARAÇERÇEVE,SOL,HIGH,H625 FAR BLACKLINE</t>
  </si>
  <si>
    <t>ARAÇERÇEVE,SAĞ,HIGH,H625 FAR BLACKLINE</t>
  </si>
  <si>
    <t>KAPAK,SAĞ,HIGH,H625 FAR CARGO</t>
  </si>
  <si>
    <t>KROM BEZEL İTİCİ PİM ARZASI</t>
  </si>
  <si>
    <t>H566 SİS GÖVDE KALIP MAÇA ARZASI</t>
  </si>
  <si>
    <t>R4S KALIP SICAK YOLLUK ARZASI</t>
  </si>
  <si>
    <t>KM 1000 TEZGAHI YARI OTOMATİK ÇALIŞILDI</t>
  </si>
  <si>
    <t>290B GÖVDE VALFGEYT ARZASI ARZA GİDERİLDİ</t>
  </si>
  <si>
    <t xml:space="preserve"> H625 KROM MAÇA PİMİ KIRILMASI ARZA GİDERİLDİ</t>
  </si>
  <si>
    <t>SİDE MARKER  GÖVDE TEK GÖZ ÜRETİM</t>
  </si>
  <si>
    <t>S205 ÇAMURLUK  İTİCİ POROBLEMİ  GİDERİLDİ</t>
  </si>
  <si>
    <t>KALIP TEKGÖZ ÜRETİM YAPILDI</t>
  </si>
  <si>
    <t xml:space="preserve">S205 ÇERÇEVE KALIP ÇAPAK PROPLEMİ NEDENİYLE </t>
  </si>
  <si>
    <t>TEK GÖZ ÜRETİM YAPILDI</t>
  </si>
  <si>
    <t>U 3 LENS PROSES AYAR YAPILDI</t>
  </si>
  <si>
    <t>TOCO-1 GÖVDE MALZEME KAÇAGI KALIP SÖKÜLDÜ</t>
  </si>
  <si>
    <t>U3 İÇLENS 6. BÖLGE SCAK YOLLUK ARZASI</t>
  </si>
  <si>
    <t>ENGEL 1700 ŞARTLANDIRICI ARZASI</t>
  </si>
  <si>
    <t>U2 KALIP SU DÖNÜŞÜ TIKANDI</t>
  </si>
  <si>
    <t>H 625 TI REFLETÖR TEK GÖZ ÜRETİM</t>
  </si>
  <si>
    <t>AUDİ ÇAMURLUK KALIP ÇAPAK PROPLEMİ KALIP SÖKÜLDÜ</t>
  </si>
  <si>
    <t xml:space="preserve">C 590 İŞİK TÜPÜ KALIP İTİCİ SARDI </t>
  </si>
  <si>
    <t xml:space="preserve"> UÇ BELİRTME  GÖVDE TEK GÖZ ÜRETİM TIRNAK KIRILDI</t>
  </si>
  <si>
    <t>DIŞ LENS SAG R4S FAZ2</t>
  </si>
  <si>
    <t>DIŞ LENS SOL R4S FAZ2</t>
  </si>
  <si>
    <t xml:space="preserve">  H625 TI REFLEKTÖR TEK GÖZ ÜRETİM</t>
  </si>
  <si>
    <t xml:space="preserve">C 590 IŞIK TÜPÜ İTİCİ ARZASI NEDENİYLE KALIP SÖKÜLDÜ  </t>
  </si>
  <si>
    <t>R4S FAZ 2 DIŞ LENS TEK GÖZ ÜRETİM</t>
  </si>
  <si>
    <t>AUDİ ÇAMURLUK LENS SOL</t>
  </si>
  <si>
    <t>AUDİ ÇAMURLUK LENS SAG</t>
  </si>
  <si>
    <t>2 KİŞİ KALIP DEGİŞİMİ NEDENİYLE U2 HAZIRLIK YAPILDI</t>
  </si>
  <si>
    <t>KC4 GÖVDE HAVA TALİYE KAPALI KALIP SÖKÜLDÜ</t>
  </si>
  <si>
    <t>KROM BEZEL HARE PROPLEMİ</t>
  </si>
  <si>
    <t>HAİTİAN 3200 YAG SICAKLIGI ARZASI</t>
  </si>
  <si>
    <t>ENGEL 1700 MAÇA KİLİDİ SENSÖR ARZASI ZAMANA BAGLI ÇALIŞILDI</t>
  </si>
  <si>
    <t>U3 REFLEKTÖR % 30 GRANÜLLE ÜRETİM YAPILDI</t>
  </si>
  <si>
    <t>KUMLAMA YUZEY YAG GELMESİ</t>
  </si>
  <si>
    <t xml:space="preserve"> LOGO LENS İTİCİ VİDA KESTİ ARZA GİDERİLDİ</t>
  </si>
  <si>
    <t>V 227 GÖVDE TEK GÖZ ÜRETİM</t>
  </si>
  <si>
    <t>KM 1000 FİLİTRE ARZASI NEDENİYLE</t>
  </si>
  <si>
    <t>C2 SİNYAL ÇERÇEVE TEK GÖZ ÜRETİM</t>
  </si>
  <si>
    <t>HARE VE KIRMA PROBLEMİ</t>
  </si>
  <si>
    <t>W204 EKT SENSÖR ARZASI</t>
  </si>
  <si>
    <t>S310 TRP TIRNAK KALMA PROPLEMİ</t>
  </si>
  <si>
    <t xml:space="preserve"> ENGEL 1700 YAG ARZASI 2K BEZEL İTİCİ SARMASI NEDENİYLE</t>
  </si>
  <si>
    <t xml:space="preserve"> H625 ÇERÇEVE  TEK  ÜRETİM</t>
  </si>
  <si>
    <t xml:space="preserve"> H625 SİYAH ÇERÇEVE  TIRNAK KIRILMASI</t>
  </si>
  <si>
    <t xml:space="preserve">290B GÖVDE VALFGEYT ARZASI </t>
  </si>
  <si>
    <t>ENGEL 1700 YAG KAÇAGI ARZA GİDERİLDİ</t>
  </si>
  <si>
    <t>U3 İÇLENS KALIP SICAK YOLLUK DEMİR GELMESİ ARZA GİDERİLDİ</t>
  </si>
  <si>
    <t>BİOLEJEN BOBİN MAKARA</t>
  </si>
  <si>
    <t>ENGEL 1700 ACAK ISI TERMEKOPUL ARZASI</t>
  </si>
  <si>
    <t>TÜM MAKİNALARDA ELEKTİRİK KESİNTİSİ NEDENİYLE</t>
  </si>
  <si>
    <t>270A İÇLENS TEK GÖZ ÜRETİM</t>
  </si>
  <si>
    <t>W212 REFLEKTÖR TEK GÖZ ÜRETİM</t>
  </si>
  <si>
    <t>3 KİŞİ SKODA KAROq ÜRÜN KONTROLUN YAPILDI 1920TK</t>
  </si>
  <si>
    <t>W212 SU KAÇAGI NEDENİYLE</t>
  </si>
  <si>
    <t>ENGEL 1700 OCAK ISI ARZASI</t>
  </si>
  <si>
    <t>H625 KROM BEZEL VALFGEYT ARZASI</t>
  </si>
  <si>
    <t>2 KİŞİ BOBİN ÇAPAK ALMA</t>
  </si>
  <si>
    <t xml:space="preserve"> NOZUL HAMMADDE KAÇAGI NEDENİYLE</t>
  </si>
  <si>
    <t>GRANUL HAMMADDE KARIŞIMI NEDENİYLE</t>
  </si>
  <si>
    <t>S204 IŞIK TÜPÜ SICAK YOLLUK ARZASI</t>
  </si>
  <si>
    <t>U5 DIŞ LENS ÜRÜN KONTROLÜ YAPILDI</t>
  </si>
  <si>
    <t xml:space="preserve">S205 IŞIK TÜPÜ SICAK YOLLUK ARZASI </t>
  </si>
  <si>
    <t>KM 160 NOZUL ARZASI</t>
  </si>
  <si>
    <t>YUZIMI 2K TEZGAHI OCAK GURBU CİVATA KESTİ</t>
  </si>
  <si>
    <t>YOLLUK ARZASI NEDENİYLE</t>
  </si>
  <si>
    <t>DACIHA 1320 KALIP İTİCİ DENEME YAPILDI</t>
  </si>
  <si>
    <t>150061251</t>
  </si>
  <si>
    <t>150061255</t>
  </si>
  <si>
    <t/>
  </si>
  <si>
    <t>150060073</t>
  </si>
  <si>
    <t>150060074</t>
  </si>
  <si>
    <t>150060075</t>
  </si>
  <si>
    <t>150060076</t>
  </si>
  <si>
    <t>150060077</t>
  </si>
  <si>
    <t>150060078</t>
  </si>
  <si>
    <t>150060079</t>
  </si>
  <si>
    <t>150060080</t>
  </si>
  <si>
    <t>150060081</t>
  </si>
  <si>
    <t>150060082</t>
  </si>
  <si>
    <t>150060083</t>
  </si>
  <si>
    <t>150060084</t>
  </si>
  <si>
    <t>150060085</t>
  </si>
  <si>
    <t>150060086</t>
  </si>
  <si>
    <t>150060087</t>
  </si>
  <si>
    <t>150060088</t>
  </si>
  <si>
    <t>150060089</t>
  </si>
  <si>
    <t>150060090</t>
  </si>
  <si>
    <t>150060091</t>
  </si>
  <si>
    <t>150060092</t>
  </si>
  <si>
    <t>150060093</t>
  </si>
  <si>
    <t>150060140</t>
  </si>
  <si>
    <t>150060150</t>
  </si>
  <si>
    <t>150060162</t>
  </si>
  <si>
    <t>150060163</t>
  </si>
  <si>
    <t>150060166</t>
  </si>
  <si>
    <t>150060170</t>
  </si>
  <si>
    <t>150060175</t>
  </si>
  <si>
    <t>150060176</t>
  </si>
  <si>
    <t>150060200</t>
  </si>
  <si>
    <t>150060201</t>
  </si>
  <si>
    <t>150060202</t>
  </si>
  <si>
    <t>150060203</t>
  </si>
  <si>
    <t>150060204</t>
  </si>
  <si>
    <t>150060205</t>
  </si>
  <si>
    <t>150060206</t>
  </si>
  <si>
    <t>150060246</t>
  </si>
  <si>
    <t>150060247</t>
  </si>
  <si>
    <t>150060248</t>
  </si>
  <si>
    <t>150060249</t>
  </si>
  <si>
    <t>150060250</t>
  </si>
  <si>
    <t>150060251</t>
  </si>
  <si>
    <t>150060252</t>
  </si>
  <si>
    <t>150060253</t>
  </si>
  <si>
    <t>150060254</t>
  </si>
  <si>
    <t>150060255</t>
  </si>
  <si>
    <t>150060260</t>
  </si>
  <si>
    <t>150060265</t>
  </si>
  <si>
    <t>150060281</t>
  </si>
  <si>
    <t>150060282</t>
  </si>
  <si>
    <t>150060283</t>
  </si>
  <si>
    <t>150060284</t>
  </si>
  <si>
    <t>150060285</t>
  </si>
  <si>
    <t>150060286</t>
  </si>
  <si>
    <t>150060287</t>
  </si>
  <si>
    <t>150060288</t>
  </si>
  <si>
    <t>150060289</t>
  </si>
  <si>
    <t>150060290</t>
  </si>
  <si>
    <t>150060291</t>
  </si>
  <si>
    <t>150060292</t>
  </si>
  <si>
    <t>150060293</t>
  </si>
  <si>
    <t>150060294</t>
  </si>
  <si>
    <t>150060295</t>
  </si>
  <si>
    <t>150060296</t>
  </si>
  <si>
    <t>150060297</t>
  </si>
  <si>
    <t>150060298</t>
  </si>
  <si>
    <t>150060299</t>
  </si>
  <si>
    <t>150060300</t>
  </si>
  <si>
    <t>150060301</t>
  </si>
  <si>
    <t>150060302</t>
  </si>
  <si>
    <t>150060303</t>
  </si>
  <si>
    <t>150060304</t>
  </si>
  <si>
    <t>150060305</t>
  </si>
  <si>
    <t>150060306</t>
  </si>
  <si>
    <t>150060307</t>
  </si>
  <si>
    <t>150060308</t>
  </si>
  <si>
    <t>150060309</t>
  </si>
  <si>
    <t>150060310</t>
  </si>
  <si>
    <t>150060311</t>
  </si>
  <si>
    <t>150060312</t>
  </si>
  <si>
    <t>150060313</t>
  </si>
  <si>
    <t>150060314</t>
  </si>
  <si>
    <t>150060323</t>
  </si>
  <si>
    <t>150060324</t>
  </si>
  <si>
    <t>150060325</t>
  </si>
  <si>
    <t>150060326</t>
  </si>
  <si>
    <t>150060331</t>
  </si>
  <si>
    <t>150060332</t>
  </si>
  <si>
    <t>150060333</t>
  </si>
  <si>
    <t>150060334</t>
  </si>
  <si>
    <t>150060336</t>
  </si>
  <si>
    <t>150060337</t>
  </si>
  <si>
    <t>150060340</t>
  </si>
  <si>
    <t>150060341</t>
  </si>
  <si>
    <t>150060342</t>
  </si>
  <si>
    <t>150060343</t>
  </si>
  <si>
    <t>150060344</t>
  </si>
  <si>
    <t>150060345</t>
  </si>
  <si>
    <t>150060350</t>
  </si>
  <si>
    <t>150060351</t>
  </si>
  <si>
    <t>150060352</t>
  </si>
  <si>
    <t>150060353</t>
  </si>
  <si>
    <t>150060360</t>
  </si>
  <si>
    <t>150060361</t>
  </si>
  <si>
    <t>150060364</t>
  </si>
  <si>
    <t>150060365</t>
  </si>
  <si>
    <t>150060366</t>
  </si>
  <si>
    <t>150060367</t>
  </si>
  <si>
    <t>150060370</t>
  </si>
  <si>
    <t>150060371</t>
  </si>
  <si>
    <t>150060372</t>
  </si>
  <si>
    <t>150060373</t>
  </si>
  <si>
    <t>150060380</t>
  </si>
  <si>
    <t>150060381</t>
  </si>
  <si>
    <t>150060382</t>
  </si>
  <si>
    <t>150060383</t>
  </si>
  <si>
    <t>150060384</t>
  </si>
  <si>
    <t>150060385</t>
  </si>
  <si>
    <t>150060386</t>
  </si>
  <si>
    <t>150060387</t>
  </si>
  <si>
    <t>150060388</t>
  </si>
  <si>
    <t>150060389</t>
  </si>
  <si>
    <t>150060390</t>
  </si>
  <si>
    <t>150060391</t>
  </si>
  <si>
    <t>150060392</t>
  </si>
  <si>
    <t>150060393</t>
  </si>
  <si>
    <t>150060407</t>
  </si>
  <si>
    <t>150060408</t>
  </si>
  <si>
    <t>150060409</t>
  </si>
  <si>
    <t>150060419</t>
  </si>
  <si>
    <t>150060420</t>
  </si>
  <si>
    <t>150060423</t>
  </si>
  <si>
    <t>150060424</t>
  </si>
  <si>
    <t>150060430</t>
  </si>
  <si>
    <t>150060431</t>
  </si>
  <si>
    <t>150060444</t>
  </si>
  <si>
    <t>150060445</t>
  </si>
  <si>
    <t>150060446</t>
  </si>
  <si>
    <t>150060448</t>
  </si>
  <si>
    <t>150060449</t>
  </si>
  <si>
    <t>150060461</t>
  </si>
  <si>
    <t>150060462</t>
  </si>
  <si>
    <t>150060466</t>
  </si>
  <si>
    <t>150060467</t>
  </si>
  <si>
    <t>150060471</t>
  </si>
  <si>
    <t>150060472</t>
  </si>
  <si>
    <t>150060473</t>
  </si>
  <si>
    <t>150060476</t>
  </si>
  <si>
    <t>150060477</t>
  </si>
  <si>
    <t>150060478</t>
  </si>
  <si>
    <t>150060479</t>
  </si>
  <si>
    <t>150060480</t>
  </si>
  <si>
    <t>150060481</t>
  </si>
  <si>
    <t>150060482</t>
  </si>
  <si>
    <t>150060483</t>
  </si>
  <si>
    <t>150060488</t>
  </si>
  <si>
    <t>150060489</t>
  </si>
  <si>
    <t>150060494</t>
  </si>
  <si>
    <t>150060495</t>
  </si>
  <si>
    <t>150060496</t>
  </si>
  <si>
    <t>150060497</t>
  </si>
  <si>
    <t>150060510</t>
  </si>
  <si>
    <t>150060511</t>
  </si>
  <si>
    <t>150060512</t>
  </si>
  <si>
    <t>150060513</t>
  </si>
  <si>
    <t>150060514</t>
  </si>
  <si>
    <t>150060515</t>
  </si>
  <si>
    <t>150060516</t>
  </si>
  <si>
    <t>150060517</t>
  </si>
  <si>
    <t>150060518</t>
  </si>
  <si>
    <t>150060519</t>
  </si>
  <si>
    <t>150060520</t>
  </si>
  <si>
    <t>150060521</t>
  </si>
  <si>
    <t>150060522</t>
  </si>
  <si>
    <t>150060523</t>
  </si>
  <si>
    <t>150060524</t>
  </si>
  <si>
    <t>150060525</t>
  </si>
  <si>
    <t>150060526</t>
  </si>
  <si>
    <t>150060527</t>
  </si>
  <si>
    <t>150060528</t>
  </si>
  <si>
    <t>150060529</t>
  </si>
  <si>
    <t>150060530</t>
  </si>
  <si>
    <t>150060531</t>
  </si>
  <si>
    <t>150060532</t>
  </si>
  <si>
    <t>150060533</t>
  </si>
  <si>
    <t>150060534</t>
  </si>
  <si>
    <t>150060535</t>
  </si>
  <si>
    <t>150060536</t>
  </si>
  <si>
    <t>150060537</t>
  </si>
  <si>
    <t>150060538</t>
  </si>
  <si>
    <t>150060539</t>
  </si>
  <si>
    <t>150060540</t>
  </si>
  <si>
    <t>150060541</t>
  </si>
  <si>
    <t>150060542</t>
  </si>
  <si>
    <t>150060543</t>
  </si>
  <si>
    <t>150060544</t>
  </si>
  <si>
    <t>150060545</t>
  </si>
  <si>
    <t>150060546</t>
  </si>
  <si>
    <t>150060547</t>
  </si>
  <si>
    <t>150060548</t>
  </si>
  <si>
    <t>150060549</t>
  </si>
  <si>
    <t>150060550</t>
  </si>
  <si>
    <t>150060551</t>
  </si>
  <si>
    <t>150060552</t>
  </si>
  <si>
    <t>150060553</t>
  </si>
  <si>
    <t>150060556</t>
  </si>
  <si>
    <t>150060557</t>
  </si>
  <si>
    <t>150060560</t>
  </si>
  <si>
    <t>150060561</t>
  </si>
  <si>
    <t>150060562</t>
  </si>
  <si>
    <t>150060563</t>
  </si>
  <si>
    <t>150060564</t>
  </si>
  <si>
    <t>150060565</t>
  </si>
  <si>
    <t>150060566</t>
  </si>
  <si>
    <t>150060567</t>
  </si>
  <si>
    <t>150060568</t>
  </si>
  <si>
    <t>150060569</t>
  </si>
  <si>
    <t>150060570</t>
  </si>
  <si>
    <t>150060571</t>
  </si>
  <si>
    <t>150060573</t>
  </si>
  <si>
    <t>150060576</t>
  </si>
  <si>
    <t>150060577</t>
  </si>
  <si>
    <t>150060578</t>
  </si>
  <si>
    <t>150060579</t>
  </si>
  <si>
    <t>150060580</t>
  </si>
  <si>
    <t>150060581</t>
  </si>
  <si>
    <t>150060582</t>
  </si>
  <si>
    <t>150060583</t>
  </si>
  <si>
    <t>150060584</t>
  </si>
  <si>
    <t>150060585</t>
  </si>
  <si>
    <t>150060586</t>
  </si>
  <si>
    <t>150060587</t>
  </si>
  <si>
    <t>150060596</t>
  </si>
  <si>
    <t>150060597</t>
  </si>
  <si>
    <t>150060598</t>
  </si>
  <si>
    <t>150060599</t>
  </si>
  <si>
    <t>150060605</t>
  </si>
  <si>
    <t>150060675</t>
  </si>
  <si>
    <t>150060677</t>
  </si>
  <si>
    <t>150060688</t>
  </si>
  <si>
    <t>150060690</t>
  </si>
  <si>
    <t>150060697</t>
  </si>
  <si>
    <t>150060698</t>
  </si>
  <si>
    <t>150060699</t>
  </si>
  <si>
    <t>150060700</t>
  </si>
  <si>
    <t>150060701</t>
  </si>
  <si>
    <t>150060702</t>
  </si>
  <si>
    <t>150060703</t>
  </si>
  <si>
    <t>150060704</t>
  </si>
  <si>
    <t>150060705</t>
  </si>
  <si>
    <t>150060706</t>
  </si>
  <si>
    <t>150060707</t>
  </si>
  <si>
    <t>150060708</t>
  </si>
  <si>
    <t>150060709</t>
  </si>
  <si>
    <t>150060710</t>
  </si>
  <si>
    <t>150060711</t>
  </si>
  <si>
    <t>150060712</t>
  </si>
  <si>
    <t>150060713</t>
  </si>
  <si>
    <t>150060714</t>
  </si>
  <si>
    <t>150060715</t>
  </si>
  <si>
    <t>150060716</t>
  </si>
  <si>
    <t>150060717</t>
  </si>
  <si>
    <t>150060718</t>
  </si>
  <si>
    <t>150060719</t>
  </si>
  <si>
    <t>150060720</t>
  </si>
  <si>
    <t>150060721</t>
  </si>
  <si>
    <t>150060722</t>
  </si>
  <si>
    <t>150060723</t>
  </si>
  <si>
    <t>150060724</t>
  </si>
  <si>
    <t>150060725</t>
  </si>
  <si>
    <t>150060726</t>
  </si>
  <si>
    <t>150060727</t>
  </si>
  <si>
    <t>150060728</t>
  </si>
  <si>
    <t>150060729</t>
  </si>
  <si>
    <t>150060730</t>
  </si>
  <si>
    <t>150060731</t>
  </si>
  <si>
    <t>150060732</t>
  </si>
  <si>
    <t>150060733</t>
  </si>
  <si>
    <t>150060734</t>
  </si>
  <si>
    <t>150060735</t>
  </si>
  <si>
    <t>150060736</t>
  </si>
  <si>
    <t>150060737</t>
  </si>
  <si>
    <t>150060738</t>
  </si>
  <si>
    <t>150060739</t>
  </si>
  <si>
    <t>150060740</t>
  </si>
  <si>
    <t>150060741</t>
  </si>
  <si>
    <t>150060742</t>
  </si>
  <si>
    <t>150060743</t>
  </si>
  <si>
    <t>150060744</t>
  </si>
  <si>
    <t>150060745</t>
  </si>
  <si>
    <t>150060746</t>
  </si>
  <si>
    <t>150060747</t>
  </si>
  <si>
    <t>150060748</t>
  </si>
  <si>
    <t>150060749</t>
  </si>
  <si>
    <t>150060750</t>
  </si>
  <si>
    <t>150060751</t>
  </si>
  <si>
    <t>150060752</t>
  </si>
  <si>
    <t>150060753</t>
  </si>
  <si>
    <t>150060754</t>
  </si>
  <si>
    <t>150060755</t>
  </si>
  <si>
    <t>150060756</t>
  </si>
  <si>
    <t>150060757</t>
  </si>
  <si>
    <t>150060758</t>
  </si>
  <si>
    <t>150060759</t>
  </si>
  <si>
    <t>150060760</t>
  </si>
  <si>
    <t>150060761</t>
  </si>
  <si>
    <t>150060762</t>
  </si>
  <si>
    <t>150060763</t>
  </si>
  <si>
    <t>150060764</t>
  </si>
  <si>
    <t>150060765</t>
  </si>
  <si>
    <t>150060766</t>
  </si>
  <si>
    <t>150060767</t>
  </si>
  <si>
    <t>150060768</t>
  </si>
  <si>
    <t>150060769</t>
  </si>
  <si>
    <t>150060802</t>
  </si>
  <si>
    <t>150060803</t>
  </si>
  <si>
    <t>150060804</t>
  </si>
  <si>
    <t>150060805</t>
  </si>
  <si>
    <t>150060806</t>
  </si>
  <si>
    <t>150060807</t>
  </si>
  <si>
    <t>150060808</t>
  </si>
  <si>
    <t>150060809</t>
  </si>
  <si>
    <t>150060814</t>
  </si>
  <si>
    <t>150060815</t>
  </si>
  <si>
    <t>150060822</t>
  </si>
  <si>
    <t>150060823</t>
  </si>
  <si>
    <t>150060826</t>
  </si>
  <si>
    <t>150060827</t>
  </si>
  <si>
    <t>150060828</t>
  </si>
  <si>
    <t>150060829</t>
  </si>
  <si>
    <t>150060832</t>
  </si>
  <si>
    <t>150060833</t>
  </si>
  <si>
    <t>150060834</t>
  </si>
  <si>
    <t>150060835</t>
  </si>
  <si>
    <t>150060836</t>
  </si>
  <si>
    <t>150060837</t>
  </si>
  <si>
    <t>150060838</t>
  </si>
  <si>
    <t>150060839</t>
  </si>
  <si>
    <t>150060840</t>
  </si>
  <si>
    <t>150060841</t>
  </si>
  <si>
    <t>150060842</t>
  </si>
  <si>
    <t>150060845</t>
  </si>
  <si>
    <t>150060847</t>
  </si>
  <si>
    <t>150060848</t>
  </si>
  <si>
    <t>150060851</t>
  </si>
  <si>
    <t>150060852</t>
  </si>
  <si>
    <t>150060853</t>
  </si>
  <si>
    <t>150060854</t>
  </si>
  <si>
    <t>150060855</t>
  </si>
  <si>
    <t>150060856</t>
  </si>
  <si>
    <t>150060857</t>
  </si>
  <si>
    <t>150060858</t>
  </si>
  <si>
    <t>150060859</t>
  </si>
  <si>
    <t>150060860</t>
  </si>
  <si>
    <t>150060861</t>
  </si>
  <si>
    <t>150060862</t>
  </si>
  <si>
    <t>150060867</t>
  </si>
  <si>
    <t>150060868</t>
  </si>
  <si>
    <t>150060869</t>
  </si>
  <si>
    <t>150060870</t>
  </si>
  <si>
    <t>150060871</t>
  </si>
  <si>
    <t>150060872</t>
  </si>
  <si>
    <t>150060873</t>
  </si>
  <si>
    <t>150060874</t>
  </si>
  <si>
    <t>150060875</t>
  </si>
  <si>
    <t>150060876</t>
  </si>
  <si>
    <t>150060877</t>
  </si>
  <si>
    <t>150060878</t>
  </si>
  <si>
    <t>150060879</t>
  </si>
  <si>
    <t>150060880</t>
  </si>
  <si>
    <t>150060881</t>
  </si>
  <si>
    <t>150060882</t>
  </si>
  <si>
    <t>150060883</t>
  </si>
  <si>
    <t>150060884</t>
  </si>
  <si>
    <t>150060885</t>
  </si>
  <si>
    <t>150060886</t>
  </si>
  <si>
    <t>150060887</t>
  </si>
  <si>
    <t>150060888</t>
  </si>
  <si>
    <t>150060889</t>
  </si>
  <si>
    <t>150060890</t>
  </si>
  <si>
    <t>150060891</t>
  </si>
  <si>
    <t>150060892</t>
  </si>
  <si>
    <t>150060893</t>
  </si>
  <si>
    <t>150060894</t>
  </si>
  <si>
    <t>150060895</t>
  </si>
  <si>
    <t>150060896</t>
  </si>
  <si>
    <t>150060897</t>
  </si>
  <si>
    <t>150060898</t>
  </si>
  <si>
    <t>150060899</t>
  </si>
  <si>
    <t>150060900</t>
  </si>
  <si>
    <t>150060901</t>
  </si>
  <si>
    <t>150060902</t>
  </si>
  <si>
    <t>150060903</t>
  </si>
  <si>
    <t>150060904</t>
  </si>
  <si>
    <t>150060905</t>
  </si>
  <si>
    <t>150060906</t>
  </si>
  <si>
    <t>150060907</t>
  </si>
  <si>
    <t>150060908</t>
  </si>
  <si>
    <t>150060909</t>
  </si>
  <si>
    <t>150060910</t>
  </si>
  <si>
    <t>150060911</t>
  </si>
  <si>
    <t>150060912</t>
  </si>
  <si>
    <t>150060913</t>
  </si>
  <si>
    <t>150060914</t>
  </si>
  <si>
    <t>150060915</t>
  </si>
  <si>
    <t>150060916</t>
  </si>
  <si>
    <t>150060917</t>
  </si>
  <si>
    <t>150060918</t>
  </si>
  <si>
    <t>150060919</t>
  </si>
  <si>
    <t>150060920</t>
  </si>
  <si>
    <t>150060921</t>
  </si>
  <si>
    <t>150060924</t>
  </si>
  <si>
    <t>150060930</t>
  </si>
  <si>
    <t>150060931</t>
  </si>
  <si>
    <t>150060934</t>
  </si>
  <si>
    <t>150060935</t>
  </si>
  <si>
    <t>150060936</t>
  </si>
  <si>
    <t>150060937</t>
  </si>
  <si>
    <t>150060938</t>
  </si>
  <si>
    <t>150060939</t>
  </si>
  <si>
    <t>150060940</t>
  </si>
  <si>
    <t>150060941</t>
  </si>
  <si>
    <t>150060942</t>
  </si>
  <si>
    <t>150060943</t>
  </si>
  <si>
    <t>150060944</t>
  </si>
  <si>
    <t>150060945</t>
  </si>
  <si>
    <t>150060950</t>
  </si>
  <si>
    <t>150060951</t>
  </si>
  <si>
    <t>150060952</t>
  </si>
  <si>
    <t>150060953</t>
  </si>
  <si>
    <t>150060954</t>
  </si>
  <si>
    <t>150060955</t>
  </si>
  <si>
    <t>150060958</t>
  </si>
  <si>
    <t>150060959</t>
  </si>
  <si>
    <t>150060960</t>
  </si>
  <si>
    <t>150060961</t>
  </si>
  <si>
    <t>150060962</t>
  </si>
  <si>
    <t>150060963</t>
  </si>
  <si>
    <t>150060964</t>
  </si>
  <si>
    <t>150060965</t>
  </si>
  <si>
    <t>150060967</t>
  </si>
  <si>
    <t>150060973</t>
  </si>
  <si>
    <t>150060974</t>
  </si>
  <si>
    <t>150060975</t>
  </si>
  <si>
    <t>150060976</t>
  </si>
  <si>
    <t>150060978</t>
  </si>
  <si>
    <t>150060979</t>
  </si>
  <si>
    <t>150060981</t>
  </si>
  <si>
    <t>150060982</t>
  </si>
  <si>
    <t>150060983</t>
  </si>
  <si>
    <t>150060984</t>
  </si>
  <si>
    <t>150060986</t>
  </si>
  <si>
    <t>150060987</t>
  </si>
  <si>
    <t>150060988</t>
  </si>
  <si>
    <t>150060989</t>
  </si>
  <si>
    <t>150060990</t>
  </si>
  <si>
    <t>150060991</t>
  </si>
  <si>
    <t>150060992</t>
  </si>
  <si>
    <t>150060993</t>
  </si>
  <si>
    <t>150060994</t>
  </si>
  <si>
    <t>150060995</t>
  </si>
  <si>
    <t>150060996</t>
  </si>
  <si>
    <t>150060997</t>
  </si>
  <si>
    <t>150060998</t>
  </si>
  <si>
    <t>150060999</t>
  </si>
  <si>
    <t>150061000</t>
  </si>
  <si>
    <t>150061001</t>
  </si>
  <si>
    <t>150061002</t>
  </si>
  <si>
    <t>150061003</t>
  </si>
  <si>
    <t>150061004</t>
  </si>
  <si>
    <t>150061005</t>
  </si>
  <si>
    <t>150061006</t>
  </si>
  <si>
    <t>150061007</t>
  </si>
  <si>
    <t>150061008</t>
  </si>
  <si>
    <t>150061009</t>
  </si>
  <si>
    <t>150061010</t>
  </si>
  <si>
    <t>150061011</t>
  </si>
  <si>
    <t>150061012</t>
  </si>
  <si>
    <t>150061013</t>
  </si>
  <si>
    <t>150061014</t>
  </si>
  <si>
    <t>150061015</t>
  </si>
  <si>
    <t>150061016</t>
  </si>
  <si>
    <t>150061017</t>
  </si>
  <si>
    <t>150061019</t>
  </si>
  <si>
    <t>150061020</t>
  </si>
  <si>
    <t>150061021</t>
  </si>
  <si>
    <t>150061022</t>
  </si>
  <si>
    <t>150061023</t>
  </si>
  <si>
    <t>150061024</t>
  </si>
  <si>
    <t>150061025</t>
  </si>
  <si>
    <t>150061026</t>
  </si>
  <si>
    <t>150061027</t>
  </si>
  <si>
    <t>150061028</t>
  </si>
  <si>
    <t>150061029</t>
  </si>
  <si>
    <t>150061030</t>
  </si>
  <si>
    <t>150061031</t>
  </si>
  <si>
    <t>150061032</t>
  </si>
  <si>
    <t>150061033</t>
  </si>
  <si>
    <t>150061034</t>
  </si>
  <si>
    <t>150061035</t>
  </si>
  <si>
    <t>150061036</t>
  </si>
  <si>
    <t>150061037</t>
  </si>
  <si>
    <t>150061038</t>
  </si>
  <si>
    <t>150061039</t>
  </si>
  <si>
    <t>150061040</t>
  </si>
  <si>
    <t>150061041</t>
  </si>
  <si>
    <t>150061042</t>
  </si>
  <si>
    <t>150061043</t>
  </si>
  <si>
    <t>150061044</t>
  </si>
  <si>
    <t>150061045</t>
  </si>
  <si>
    <t>150061046</t>
  </si>
  <si>
    <t>150061047</t>
  </si>
  <si>
    <t>150061048</t>
  </si>
  <si>
    <t>150061049</t>
  </si>
  <si>
    <t>150061051</t>
  </si>
  <si>
    <t>150061052</t>
  </si>
  <si>
    <t>150061053</t>
  </si>
  <si>
    <t>150061054</t>
  </si>
  <si>
    <t>150061055</t>
  </si>
  <si>
    <t>150061056</t>
  </si>
  <si>
    <t>150061057</t>
  </si>
  <si>
    <t>150061058</t>
  </si>
  <si>
    <t>150061059</t>
  </si>
  <si>
    <t>150061060</t>
  </si>
  <si>
    <t>150061061</t>
  </si>
  <si>
    <t>150061062</t>
  </si>
  <si>
    <t>150061063</t>
  </si>
  <si>
    <t>150061064</t>
  </si>
  <si>
    <t>150061065</t>
  </si>
  <si>
    <t>150061066</t>
  </si>
  <si>
    <t>150061067</t>
  </si>
  <si>
    <t>150061068</t>
  </si>
  <si>
    <t>150061069</t>
  </si>
  <si>
    <t>150061070</t>
  </si>
  <si>
    <t>150061071</t>
  </si>
  <si>
    <t>150061072</t>
  </si>
  <si>
    <t>150061073</t>
  </si>
  <si>
    <t>150061074</t>
  </si>
  <si>
    <t>150061075</t>
  </si>
  <si>
    <t>150061076</t>
  </si>
  <si>
    <t>150061077</t>
  </si>
  <si>
    <t>150061078</t>
  </si>
  <si>
    <t>150061079</t>
  </si>
  <si>
    <t>150061080</t>
  </si>
  <si>
    <t>150061081</t>
  </si>
  <si>
    <t>150061082</t>
  </si>
  <si>
    <t>150061083</t>
  </si>
  <si>
    <t>150061084</t>
  </si>
  <si>
    <t>150061085</t>
  </si>
  <si>
    <t>150061086</t>
  </si>
  <si>
    <t>150061087</t>
  </si>
  <si>
    <t>150061088</t>
  </si>
  <si>
    <t>150061089</t>
  </si>
  <si>
    <t>150061090</t>
  </si>
  <si>
    <t>150061091</t>
  </si>
  <si>
    <t>150061092</t>
  </si>
  <si>
    <t>150061093</t>
  </si>
  <si>
    <t>150061094</t>
  </si>
  <si>
    <t>150061095</t>
  </si>
  <si>
    <t>150061096</t>
  </si>
  <si>
    <t>150061097</t>
  </si>
  <si>
    <t>150061098</t>
  </si>
  <si>
    <t>150061099</t>
  </si>
  <si>
    <t>150061100</t>
  </si>
  <si>
    <t>150061101</t>
  </si>
  <si>
    <t>150061102</t>
  </si>
  <si>
    <t>150061103</t>
  </si>
  <si>
    <t>150061104</t>
  </si>
  <si>
    <t>150061105</t>
  </si>
  <si>
    <t>150061106</t>
  </si>
  <si>
    <t>150061107</t>
  </si>
  <si>
    <t>150061108</t>
  </si>
  <si>
    <t>150061109</t>
  </si>
  <si>
    <t>150061110</t>
  </si>
  <si>
    <t>150061111</t>
  </si>
  <si>
    <t>150061112</t>
  </si>
  <si>
    <t>150061113</t>
  </si>
  <si>
    <t>150061114</t>
  </si>
  <si>
    <t>150061115</t>
  </si>
  <si>
    <t>150061116</t>
  </si>
  <si>
    <t>150061117</t>
  </si>
  <si>
    <t>150061118</t>
  </si>
  <si>
    <t>150061119</t>
  </si>
  <si>
    <t>150061120</t>
  </si>
  <si>
    <t>150061121</t>
  </si>
  <si>
    <t>150061122</t>
  </si>
  <si>
    <t>150061123</t>
  </si>
  <si>
    <t>150061124</t>
  </si>
  <si>
    <t>150061125</t>
  </si>
  <si>
    <t>150061126</t>
  </si>
  <si>
    <t>150061127</t>
  </si>
  <si>
    <t>150061128</t>
  </si>
  <si>
    <t>150061129</t>
  </si>
  <si>
    <t>150061130</t>
  </si>
  <si>
    <t>150061131</t>
  </si>
  <si>
    <t>150061132</t>
  </si>
  <si>
    <t>150061133</t>
  </si>
  <si>
    <t>150061134</t>
  </si>
  <si>
    <t>150061135</t>
  </si>
  <si>
    <t>150061136</t>
  </si>
  <si>
    <t>150061137</t>
  </si>
  <si>
    <t>150061138</t>
  </si>
  <si>
    <t>150061139</t>
  </si>
  <si>
    <t>150061140</t>
  </si>
  <si>
    <t>150061141</t>
  </si>
  <si>
    <t>150061142</t>
  </si>
  <si>
    <t>150061143</t>
  </si>
  <si>
    <t>150061144</t>
  </si>
  <si>
    <t>150061147</t>
  </si>
  <si>
    <t>150061148</t>
  </si>
  <si>
    <t>150061149</t>
  </si>
  <si>
    <t>150061150</t>
  </si>
  <si>
    <t>150061151</t>
  </si>
  <si>
    <t>150061152</t>
  </si>
  <si>
    <t>150061153</t>
  </si>
  <si>
    <t>150061154</t>
  </si>
  <si>
    <t>150061155</t>
  </si>
  <si>
    <t>150061156</t>
  </si>
  <si>
    <t>150061157</t>
  </si>
  <si>
    <t>150061158</t>
  </si>
  <si>
    <t>150061159</t>
  </si>
  <si>
    <t>150061160</t>
  </si>
  <si>
    <t>150061161</t>
  </si>
  <si>
    <t>150061162</t>
  </si>
  <si>
    <t>150061165</t>
  </si>
  <si>
    <t>150061166</t>
  </si>
  <si>
    <t>150061167</t>
  </si>
  <si>
    <t>150061168</t>
  </si>
  <si>
    <t>150061169</t>
  </si>
  <si>
    <t>150061170</t>
  </si>
  <si>
    <t>150061171</t>
  </si>
  <si>
    <t>150061172</t>
  </si>
  <si>
    <t>150061173</t>
  </si>
  <si>
    <t>150061174</t>
  </si>
  <si>
    <t>150061175</t>
  </si>
  <si>
    <t>150061176</t>
  </si>
  <si>
    <t>150061177</t>
  </si>
  <si>
    <t>150061179</t>
  </si>
  <si>
    <t>150061180</t>
  </si>
  <si>
    <t>150061181</t>
  </si>
  <si>
    <t>150061182</t>
  </si>
  <si>
    <t>150061183</t>
  </si>
  <si>
    <t>150061184</t>
  </si>
  <si>
    <t>150061185</t>
  </si>
  <si>
    <t>150061186</t>
  </si>
  <si>
    <t>150061187</t>
  </si>
  <si>
    <t>150061188</t>
  </si>
  <si>
    <t>150061189</t>
  </si>
  <si>
    <t>150061190</t>
  </si>
  <si>
    <t>150061191</t>
  </si>
  <si>
    <t>150061192</t>
  </si>
  <si>
    <t>150061193</t>
  </si>
  <si>
    <t>150061194</t>
  </si>
  <si>
    <t>150061195</t>
  </si>
  <si>
    <t>150061196</t>
  </si>
  <si>
    <t>150061197</t>
  </si>
  <si>
    <t>150061198</t>
  </si>
  <si>
    <t>150061199</t>
  </si>
  <si>
    <t>150061200</t>
  </si>
  <si>
    <t>150061201</t>
  </si>
  <si>
    <t>150061202</t>
  </si>
  <si>
    <t>150061203</t>
  </si>
  <si>
    <t>150061204</t>
  </si>
  <si>
    <t>150061205</t>
  </si>
  <si>
    <t>150061206</t>
  </si>
  <si>
    <t>150061207</t>
  </si>
  <si>
    <t>150061208</t>
  </si>
  <si>
    <t>150061209</t>
  </si>
  <si>
    <t>150061210</t>
  </si>
  <si>
    <t>150061211</t>
  </si>
  <si>
    <t>150061212</t>
  </si>
  <si>
    <t>150061213</t>
  </si>
  <si>
    <t>150061214</t>
  </si>
  <si>
    <t>150061215</t>
  </si>
  <si>
    <t>150061216</t>
  </si>
  <si>
    <t>150061217</t>
  </si>
  <si>
    <t>150061218</t>
  </si>
  <si>
    <t>150061219</t>
  </si>
  <si>
    <t>150061220</t>
  </si>
  <si>
    <t>150061221</t>
  </si>
  <si>
    <t>150061222</t>
  </si>
  <si>
    <t>150061223</t>
  </si>
  <si>
    <t>150061224</t>
  </si>
  <si>
    <t>150061225</t>
  </si>
  <si>
    <t>150061226</t>
  </si>
  <si>
    <t>150061227</t>
  </si>
  <si>
    <t>150061228</t>
  </si>
  <si>
    <t>150061229</t>
  </si>
  <si>
    <t>150061230</t>
  </si>
  <si>
    <t>150061231</t>
  </si>
  <si>
    <t>150061232</t>
  </si>
  <si>
    <t>150061233</t>
  </si>
  <si>
    <t>150061234</t>
  </si>
  <si>
    <t>150061235</t>
  </si>
  <si>
    <t>150061236</t>
  </si>
  <si>
    <t>150061237</t>
  </si>
  <si>
    <t>150061238</t>
  </si>
  <si>
    <t>150061239</t>
  </si>
  <si>
    <t>150061240</t>
  </si>
  <si>
    <t>150061241</t>
  </si>
  <si>
    <t>150061242</t>
  </si>
  <si>
    <t>150061243</t>
  </si>
  <si>
    <t>150061244</t>
  </si>
  <si>
    <t>150061245</t>
  </si>
  <si>
    <t>150061246</t>
  </si>
  <si>
    <t>150061247</t>
  </si>
  <si>
    <t>150061248</t>
  </si>
  <si>
    <t>150061249</t>
  </si>
  <si>
    <t>150061250</t>
  </si>
  <si>
    <t>150061252</t>
  </si>
  <si>
    <t>150061253</t>
  </si>
  <si>
    <t>150061254</t>
  </si>
  <si>
    <t>150061256</t>
  </si>
  <si>
    <t>150061257</t>
  </si>
  <si>
    <t>150061258</t>
  </si>
  <si>
    <t>150061259</t>
  </si>
  <si>
    <t>150061260</t>
  </si>
  <si>
    <t>150061261</t>
  </si>
  <si>
    <t>150061262</t>
  </si>
  <si>
    <t>150061263</t>
  </si>
  <si>
    <t>150061264</t>
  </si>
  <si>
    <t>150061265</t>
  </si>
  <si>
    <t>150061266</t>
  </si>
  <si>
    <t>150061267</t>
  </si>
  <si>
    <t>150061268</t>
  </si>
  <si>
    <t>150061269</t>
  </si>
  <si>
    <t>150061270</t>
  </si>
  <si>
    <t>150061271</t>
  </si>
  <si>
    <t>150061272</t>
  </si>
  <si>
    <t>150061273</t>
  </si>
  <si>
    <t>150061274</t>
  </si>
  <si>
    <t>150061275</t>
  </si>
  <si>
    <t>150061276</t>
  </si>
  <si>
    <t>150061277</t>
  </si>
  <si>
    <t>150061278</t>
  </si>
  <si>
    <t>150061279</t>
  </si>
  <si>
    <t>150061280</t>
  </si>
  <si>
    <t>150061281</t>
  </si>
  <si>
    <t>150061282</t>
  </si>
  <si>
    <t>150061283</t>
  </si>
  <si>
    <t>150061284</t>
  </si>
  <si>
    <t>150061285</t>
  </si>
  <si>
    <t>150061286</t>
  </si>
  <si>
    <t>150061287</t>
  </si>
  <si>
    <t>150061288</t>
  </si>
  <si>
    <t>150061289</t>
  </si>
  <si>
    <t>150061292</t>
  </si>
  <si>
    <t>150061293</t>
  </si>
  <si>
    <t>150061294</t>
  </si>
  <si>
    <t>150061295</t>
  </si>
  <si>
    <t>150061296</t>
  </si>
  <si>
    <t>150061297</t>
  </si>
  <si>
    <t>150061298</t>
  </si>
  <si>
    <t>150061299</t>
  </si>
  <si>
    <t>150061300</t>
  </si>
  <si>
    <t>150061301</t>
  </si>
  <si>
    <t>150061302</t>
  </si>
  <si>
    <t>150061303</t>
  </si>
  <si>
    <t>150061304</t>
  </si>
  <si>
    <t>150061305</t>
  </si>
  <si>
    <t>150061306</t>
  </si>
  <si>
    <t>150061307</t>
  </si>
  <si>
    <t>150061308</t>
  </si>
  <si>
    <t>150061309</t>
  </si>
  <si>
    <t>150061310</t>
  </si>
  <si>
    <t>150061311</t>
  </si>
  <si>
    <t>150061312</t>
  </si>
  <si>
    <t>150061313</t>
  </si>
  <si>
    <t>150061314</t>
  </si>
  <si>
    <t>150061315</t>
  </si>
  <si>
    <t>150061316</t>
  </si>
  <si>
    <t>150061317</t>
  </si>
  <si>
    <t>150061318</t>
  </si>
  <si>
    <t>150061319</t>
  </si>
  <si>
    <t>150061320</t>
  </si>
  <si>
    <t>150061321</t>
  </si>
  <si>
    <t>150061322</t>
  </si>
  <si>
    <t>150061323</t>
  </si>
  <si>
    <t>150061324</t>
  </si>
  <si>
    <t>150061325</t>
  </si>
  <si>
    <t>150061326</t>
  </si>
  <si>
    <t>150061327</t>
  </si>
  <si>
    <t>150061328</t>
  </si>
  <si>
    <t>150061329</t>
  </si>
  <si>
    <t>150061330</t>
  </si>
  <si>
    <t>150061331</t>
  </si>
  <si>
    <t>150061332</t>
  </si>
  <si>
    <t>150061333</t>
  </si>
  <si>
    <t>150061334</t>
  </si>
  <si>
    <t>150061335</t>
  </si>
  <si>
    <t>150061336</t>
  </si>
  <si>
    <t>150061337</t>
  </si>
  <si>
    <t>150061338</t>
  </si>
  <si>
    <t>150061339</t>
  </si>
  <si>
    <t>150061340</t>
  </si>
  <si>
    <t>150061341</t>
  </si>
  <si>
    <t>150061342</t>
  </si>
  <si>
    <t>150061343</t>
  </si>
  <si>
    <t>150061344</t>
  </si>
  <si>
    <t>150061345</t>
  </si>
  <si>
    <t>150061346</t>
  </si>
  <si>
    <t>150061347</t>
  </si>
  <si>
    <t>150061348</t>
  </si>
  <si>
    <t>150061349</t>
  </si>
  <si>
    <t>150061350</t>
  </si>
  <si>
    <t>150061351</t>
  </si>
  <si>
    <t>150061352</t>
  </si>
  <si>
    <t>150061353</t>
  </si>
  <si>
    <t>150061354</t>
  </si>
  <si>
    <t>150061355</t>
  </si>
  <si>
    <t>150061356</t>
  </si>
  <si>
    <t>150061357</t>
  </si>
  <si>
    <t>150061360</t>
  </si>
  <si>
    <t>150061361</t>
  </si>
  <si>
    <t>150061362</t>
  </si>
  <si>
    <t>150061363</t>
  </si>
  <si>
    <t>150061364</t>
  </si>
  <si>
    <t>150061365</t>
  </si>
  <si>
    <t>150061400</t>
  </si>
  <si>
    <t>150061401</t>
  </si>
  <si>
    <t>150061402</t>
  </si>
  <si>
    <t>150061403</t>
  </si>
  <si>
    <t>150061404</t>
  </si>
  <si>
    <t>150061405</t>
  </si>
  <si>
    <t>150061406</t>
  </si>
  <si>
    <t>150061407</t>
  </si>
  <si>
    <t>150061408</t>
  </si>
  <si>
    <t>150061409</t>
  </si>
  <si>
    <t>150061410</t>
  </si>
  <si>
    <t>150061411</t>
  </si>
  <si>
    <t>150061412</t>
  </si>
  <si>
    <t>150061413</t>
  </si>
  <si>
    <t>150061414</t>
  </si>
  <si>
    <t>150061415</t>
  </si>
  <si>
    <t>150061416</t>
  </si>
  <si>
    <t>150061417</t>
  </si>
  <si>
    <t>150061418</t>
  </si>
  <si>
    <t>150061419</t>
  </si>
  <si>
    <t>150061420</t>
  </si>
  <si>
    <t>150061421</t>
  </si>
  <si>
    <t>150061422</t>
  </si>
  <si>
    <t>150061423</t>
  </si>
  <si>
    <t>150061424</t>
  </si>
  <si>
    <t>150061425</t>
  </si>
  <si>
    <t>150061426</t>
  </si>
  <si>
    <t>150061427</t>
  </si>
  <si>
    <t>150061428</t>
  </si>
  <si>
    <t>150061429</t>
  </si>
  <si>
    <t>150061430</t>
  </si>
  <si>
    <t>150061431</t>
  </si>
  <si>
    <t>150061432</t>
  </si>
  <si>
    <t>150061433</t>
  </si>
  <si>
    <t>150061434</t>
  </si>
  <si>
    <t>150061435</t>
  </si>
  <si>
    <t>150061436</t>
  </si>
  <si>
    <t>150061437</t>
  </si>
  <si>
    <t>150061438</t>
  </si>
  <si>
    <t>150061439</t>
  </si>
  <si>
    <t>150061440</t>
  </si>
  <si>
    <t>150061441</t>
  </si>
  <si>
    <t>150061442</t>
  </si>
  <si>
    <t>150061443</t>
  </si>
  <si>
    <t>150061444</t>
  </si>
  <si>
    <t>150061445</t>
  </si>
  <si>
    <t>150061446</t>
  </si>
  <si>
    <t>150061447</t>
  </si>
  <si>
    <t>150061448</t>
  </si>
  <si>
    <t>150061449</t>
  </si>
  <si>
    <t>150061450</t>
  </si>
  <si>
    <t>150061451</t>
  </si>
  <si>
    <t>150061452</t>
  </si>
  <si>
    <t>150061453</t>
  </si>
  <si>
    <t>150061454</t>
  </si>
  <si>
    <t>150061455</t>
  </si>
  <si>
    <t>150061456</t>
  </si>
  <si>
    <t>150061457</t>
  </si>
  <si>
    <t>150061458</t>
  </si>
  <si>
    <t>150061459</t>
  </si>
  <si>
    <t>150061460</t>
  </si>
  <si>
    <t>150061461</t>
  </si>
  <si>
    <t>150061462</t>
  </si>
  <si>
    <t>150061463</t>
  </si>
  <si>
    <t>150061464</t>
  </si>
  <si>
    <t>150061465</t>
  </si>
  <si>
    <t>150061466</t>
  </si>
  <si>
    <t>150061467</t>
  </si>
  <si>
    <t>150061468</t>
  </si>
  <si>
    <t>150061469</t>
  </si>
  <si>
    <t>150061470</t>
  </si>
  <si>
    <t>150061471</t>
  </si>
  <si>
    <t>150061472</t>
  </si>
  <si>
    <t>150061473</t>
  </si>
  <si>
    <t>150061474</t>
  </si>
  <si>
    <t>150061475</t>
  </si>
  <si>
    <t>150061476</t>
  </si>
  <si>
    <t>150061477</t>
  </si>
  <si>
    <t>150061478</t>
  </si>
  <si>
    <t>150061479</t>
  </si>
  <si>
    <t>150061480</t>
  </si>
  <si>
    <t>150061481</t>
  </si>
  <si>
    <t>150061482</t>
  </si>
  <si>
    <t>150061483</t>
  </si>
  <si>
    <t>150061484</t>
  </si>
  <si>
    <t>150061485</t>
  </si>
  <si>
    <t>150061486</t>
  </si>
  <si>
    <t>150061487</t>
  </si>
  <si>
    <t>150061488</t>
  </si>
  <si>
    <t>150061489</t>
  </si>
  <si>
    <t>150061490</t>
  </si>
  <si>
    <t>150061491</t>
  </si>
  <si>
    <t>150061492</t>
  </si>
  <si>
    <t>150061493</t>
  </si>
  <si>
    <t>150061494</t>
  </si>
  <si>
    <t>150061495</t>
  </si>
  <si>
    <t>150061496</t>
  </si>
  <si>
    <t>150061497</t>
  </si>
  <si>
    <t>150061498</t>
  </si>
  <si>
    <t>150061499</t>
  </si>
  <si>
    <t>150061500</t>
  </si>
  <si>
    <t>150061501</t>
  </si>
  <si>
    <t>150061502</t>
  </si>
  <si>
    <t>150061503</t>
  </si>
  <si>
    <t>150061504</t>
  </si>
  <si>
    <t>150061505</t>
  </si>
  <si>
    <t>150061506</t>
  </si>
  <si>
    <t>150061507</t>
  </si>
  <si>
    <t>150061508</t>
  </si>
  <si>
    <t>150061509</t>
  </si>
  <si>
    <t>150061510</t>
  </si>
  <si>
    <t>150061511</t>
  </si>
  <si>
    <t>150061512</t>
  </si>
  <si>
    <t>150061513</t>
  </si>
  <si>
    <t>150061514</t>
  </si>
  <si>
    <t>150061600</t>
  </si>
  <si>
    <t>150061603</t>
  </si>
  <si>
    <t>150061604</t>
  </si>
  <si>
    <t>150061615</t>
  </si>
  <si>
    <t>150061630</t>
  </si>
  <si>
    <t>150061631</t>
  </si>
  <si>
    <t>150061657</t>
  </si>
  <si>
    <t>150061658</t>
  </si>
  <si>
    <t>150061660</t>
  </si>
  <si>
    <t>150061661</t>
  </si>
  <si>
    <t>150061662</t>
  </si>
  <si>
    <t>150061663</t>
  </si>
  <si>
    <t>150061664</t>
  </si>
  <si>
    <t>150061665</t>
  </si>
  <si>
    <t>150061666</t>
  </si>
  <si>
    <t>150061667</t>
  </si>
  <si>
    <t>150061668</t>
  </si>
  <si>
    <t>150061669</t>
  </si>
  <si>
    <t>150061670</t>
  </si>
  <si>
    <t>150061671</t>
  </si>
  <si>
    <t>150061672</t>
  </si>
  <si>
    <t>150061673</t>
  </si>
  <si>
    <t>150061674</t>
  </si>
  <si>
    <t>150061675</t>
  </si>
  <si>
    <t>150061676</t>
  </si>
  <si>
    <t>150061677</t>
  </si>
  <si>
    <t>150061678</t>
  </si>
  <si>
    <t>150061679</t>
  </si>
  <si>
    <t>150061680</t>
  </si>
  <si>
    <t>150061681</t>
  </si>
  <si>
    <t>150061682</t>
  </si>
  <si>
    <t>150061683</t>
  </si>
  <si>
    <t>150061684</t>
  </si>
  <si>
    <t>150061685</t>
  </si>
  <si>
    <t>150061686</t>
  </si>
  <si>
    <t>150061687</t>
  </si>
  <si>
    <t>150061688</t>
  </si>
  <si>
    <t>150061689</t>
  </si>
  <si>
    <t>150061690</t>
  </si>
  <si>
    <t>150061691</t>
  </si>
  <si>
    <t>150061692</t>
  </si>
  <si>
    <t>150061693</t>
  </si>
  <si>
    <t>150061694</t>
  </si>
  <si>
    <t>150061695</t>
  </si>
  <si>
    <t>150061696</t>
  </si>
  <si>
    <t>150061697</t>
  </si>
  <si>
    <t>150061698</t>
  </si>
  <si>
    <t>150061699</t>
  </si>
  <si>
    <t>150061700</t>
  </si>
  <si>
    <t>150061701</t>
  </si>
  <si>
    <t>150061702</t>
  </si>
  <si>
    <t>150061703</t>
  </si>
  <si>
    <t>150061704</t>
  </si>
  <si>
    <t>150061705</t>
  </si>
  <si>
    <t>150061706</t>
  </si>
  <si>
    <t>150061707</t>
  </si>
  <si>
    <t>150061708</t>
  </si>
  <si>
    <t>150061709</t>
  </si>
  <si>
    <t>150061710</t>
  </si>
  <si>
    <t>150061711</t>
  </si>
  <si>
    <t>150061712</t>
  </si>
  <si>
    <t>150061713</t>
  </si>
  <si>
    <t>150061718</t>
  </si>
  <si>
    <t>150061719</t>
  </si>
  <si>
    <t>150061720</t>
  </si>
  <si>
    <t>150061721</t>
  </si>
  <si>
    <t>150061722</t>
  </si>
  <si>
    <t>150061723</t>
  </si>
  <si>
    <t>150061724</t>
  </si>
  <si>
    <t>150061725</t>
  </si>
  <si>
    <t>150061726</t>
  </si>
  <si>
    <t>150061727</t>
  </si>
  <si>
    <t>150061728</t>
  </si>
  <si>
    <t>150061729</t>
  </si>
  <si>
    <t>150061730</t>
  </si>
  <si>
    <t>150061731</t>
  </si>
  <si>
    <t>150061732</t>
  </si>
  <si>
    <t>150061733</t>
  </si>
  <si>
    <t>150061734</t>
  </si>
  <si>
    <t>150061735</t>
  </si>
  <si>
    <t>150061736</t>
  </si>
  <si>
    <t>150061737</t>
  </si>
  <si>
    <t>150061740</t>
  </si>
  <si>
    <t>150061741</t>
  </si>
  <si>
    <t>150061742</t>
  </si>
  <si>
    <t>150061743</t>
  </si>
  <si>
    <t>150061744</t>
  </si>
  <si>
    <t>150061745</t>
  </si>
  <si>
    <t>150061746</t>
  </si>
  <si>
    <t>150061747</t>
  </si>
  <si>
    <t>150061748</t>
  </si>
  <si>
    <t>150061749</t>
  </si>
  <si>
    <t>150061750</t>
  </si>
  <si>
    <t>150061751</t>
  </si>
  <si>
    <t>150061752</t>
  </si>
  <si>
    <t>150061753</t>
  </si>
  <si>
    <t>150061754</t>
  </si>
  <si>
    <t>150061755</t>
  </si>
  <si>
    <t>150061756</t>
  </si>
  <si>
    <t>150061757</t>
  </si>
  <si>
    <t>150061760</t>
  </si>
  <si>
    <t>150061761</t>
  </si>
  <si>
    <t>150061762</t>
  </si>
  <si>
    <t>150061763</t>
  </si>
  <si>
    <t>150061764</t>
  </si>
  <si>
    <t>150061765</t>
  </si>
  <si>
    <t>150061768</t>
  </si>
  <si>
    <t>150061769</t>
  </si>
  <si>
    <t>150061770</t>
  </si>
  <si>
    <t>150061771</t>
  </si>
  <si>
    <t>150061772</t>
  </si>
  <si>
    <t>150061773</t>
  </si>
  <si>
    <t>150061774</t>
  </si>
  <si>
    <t>150061775</t>
  </si>
  <si>
    <t>150061776</t>
  </si>
  <si>
    <t>150061777</t>
  </si>
  <si>
    <t>150061778</t>
  </si>
  <si>
    <t>150061779</t>
  </si>
  <si>
    <t>150061780</t>
  </si>
  <si>
    <t>150061781</t>
  </si>
  <si>
    <t>150061782</t>
  </si>
  <si>
    <t>150061783</t>
  </si>
  <si>
    <t>150061784</t>
  </si>
  <si>
    <t>150061785</t>
  </si>
  <si>
    <t>150061786</t>
  </si>
  <si>
    <t>150061787</t>
  </si>
  <si>
    <t>150061788</t>
  </si>
  <si>
    <t>150061789</t>
  </si>
  <si>
    <t>150061790</t>
  </si>
  <si>
    <t>150061791</t>
  </si>
  <si>
    <t>150061792</t>
  </si>
  <si>
    <t>150061793</t>
  </si>
  <si>
    <t>150061794</t>
  </si>
  <si>
    <t>150061795</t>
  </si>
  <si>
    <t>150061796</t>
  </si>
  <si>
    <t>150061797</t>
  </si>
  <si>
    <t>150061798</t>
  </si>
  <si>
    <t>150061799</t>
  </si>
  <si>
    <t>150061800</t>
  </si>
  <si>
    <t>150061801</t>
  </si>
  <si>
    <t>150061802</t>
  </si>
  <si>
    <t>150061803</t>
  </si>
  <si>
    <t>150061804</t>
  </si>
  <si>
    <t>150061805</t>
  </si>
  <si>
    <t>150061806</t>
  </si>
  <si>
    <t>150061807</t>
  </si>
  <si>
    <t>150061808</t>
  </si>
  <si>
    <t>150061809</t>
  </si>
  <si>
    <t>150061810</t>
  </si>
  <si>
    <t>150061811</t>
  </si>
  <si>
    <t>150061812</t>
  </si>
  <si>
    <t>150061813</t>
  </si>
  <si>
    <t>150061814</t>
  </si>
  <si>
    <t>150061815</t>
  </si>
  <si>
    <t>150061816</t>
  </si>
  <si>
    <t>150061817</t>
  </si>
  <si>
    <t>150061818</t>
  </si>
  <si>
    <t>150061819</t>
  </si>
  <si>
    <t>150061820</t>
  </si>
  <si>
    <t>150061821</t>
  </si>
  <si>
    <t>150061822</t>
  </si>
  <si>
    <t>150061823</t>
  </si>
  <si>
    <t>150061824</t>
  </si>
  <si>
    <t>150061825</t>
  </si>
  <si>
    <t>150061826</t>
  </si>
  <si>
    <t>150061827</t>
  </si>
  <si>
    <t>150061828</t>
  </si>
  <si>
    <t>150061829</t>
  </si>
  <si>
    <t>150061830</t>
  </si>
  <si>
    <t>150061831</t>
  </si>
  <si>
    <t>150061832</t>
  </si>
  <si>
    <t>150061833</t>
  </si>
  <si>
    <t>150061834</t>
  </si>
  <si>
    <t>150061835</t>
  </si>
  <si>
    <t>150061836</t>
  </si>
  <si>
    <t>150061837</t>
  </si>
  <si>
    <t>150061838</t>
  </si>
  <si>
    <t>150061839</t>
  </si>
  <si>
    <t>150061840</t>
  </si>
  <si>
    <t>150061841</t>
  </si>
  <si>
    <t>150061842</t>
  </si>
  <si>
    <t>150061843</t>
  </si>
  <si>
    <t>150061844</t>
  </si>
  <si>
    <t>150061845</t>
  </si>
  <si>
    <t>150061846</t>
  </si>
  <si>
    <t>150061847</t>
  </si>
  <si>
    <t>150061848</t>
  </si>
  <si>
    <t>150061849</t>
  </si>
  <si>
    <t>150061850</t>
  </si>
  <si>
    <t>150061851</t>
  </si>
  <si>
    <t>150061852</t>
  </si>
  <si>
    <t>150061853</t>
  </si>
  <si>
    <t>150061854</t>
  </si>
  <si>
    <t>150061855</t>
  </si>
  <si>
    <t>150061856</t>
  </si>
  <si>
    <t>150061857</t>
  </si>
  <si>
    <t>150061858</t>
  </si>
  <si>
    <t>150061859</t>
  </si>
  <si>
    <t>150061860</t>
  </si>
  <si>
    <t>150061861</t>
  </si>
  <si>
    <t>150061862</t>
  </si>
  <si>
    <t>150061863</t>
  </si>
  <si>
    <t>150061864</t>
  </si>
  <si>
    <t>150061865</t>
  </si>
  <si>
    <t>150061868</t>
  </si>
  <si>
    <t>150061870</t>
  </si>
  <si>
    <t>150061871</t>
  </si>
  <si>
    <t>150061872</t>
  </si>
  <si>
    <t>150061874</t>
  </si>
  <si>
    <t>150061875</t>
  </si>
  <si>
    <t>150061876</t>
  </si>
  <si>
    <t>150061877</t>
  </si>
  <si>
    <t>150061878</t>
  </si>
  <si>
    <t>150061879</t>
  </si>
  <si>
    <t>150061880</t>
  </si>
  <si>
    <t>150061881</t>
  </si>
  <si>
    <t>150061882</t>
  </si>
  <si>
    <t>150061883</t>
  </si>
  <si>
    <t>150061884</t>
  </si>
  <si>
    <t>150061885</t>
  </si>
  <si>
    <t>150061886</t>
  </si>
  <si>
    <t>150061887</t>
  </si>
  <si>
    <t>150061888</t>
  </si>
  <si>
    <t>150061889</t>
  </si>
  <si>
    <t>150061890</t>
  </si>
  <si>
    <t>150061891</t>
  </si>
  <si>
    <t>150061892</t>
  </si>
  <si>
    <t>150061893</t>
  </si>
  <si>
    <t>150061894</t>
  </si>
  <si>
    <t>150061895</t>
  </si>
  <si>
    <t>150061896</t>
  </si>
  <si>
    <t>150061897</t>
  </si>
  <si>
    <t>150061898</t>
  </si>
  <si>
    <t>150061899</t>
  </si>
  <si>
    <t>150061900</t>
  </si>
  <si>
    <t>150061901</t>
  </si>
  <si>
    <t>150061902</t>
  </si>
  <si>
    <t>150061903</t>
  </si>
  <si>
    <t>150061904</t>
  </si>
  <si>
    <t>150061905</t>
  </si>
  <si>
    <t>150061906</t>
  </si>
  <si>
    <t>150061907</t>
  </si>
  <si>
    <t>150061908</t>
  </si>
  <si>
    <t>150061909</t>
  </si>
  <si>
    <t>150061910</t>
  </si>
  <si>
    <t>150061911</t>
  </si>
  <si>
    <t>150061912</t>
  </si>
  <si>
    <t>150061913</t>
  </si>
  <si>
    <t>150061914</t>
  </si>
  <si>
    <t>150061915</t>
  </si>
  <si>
    <t>150061916</t>
  </si>
  <si>
    <t>150061917</t>
  </si>
  <si>
    <t>150061918</t>
  </si>
  <si>
    <t>150061919</t>
  </si>
  <si>
    <t>150061920</t>
  </si>
  <si>
    <t>150061921</t>
  </si>
  <si>
    <t>150061922</t>
  </si>
  <si>
    <t>150061923</t>
  </si>
  <si>
    <t>150061924</t>
  </si>
  <si>
    <t>150062157</t>
  </si>
  <si>
    <t>150062158</t>
  </si>
  <si>
    <t>150069800</t>
  </si>
  <si>
    <t>150069801</t>
  </si>
  <si>
    <t>150069802</t>
  </si>
  <si>
    <t>150069803</t>
  </si>
  <si>
    <t>150069804</t>
  </si>
  <si>
    <t>150069805</t>
  </si>
  <si>
    <t>150069806</t>
  </si>
  <si>
    <t>150069807</t>
  </si>
  <si>
    <t>150069808</t>
  </si>
  <si>
    <t>150069809</t>
  </si>
  <si>
    <t>150069810</t>
  </si>
  <si>
    <t>15006150160140</t>
  </si>
  <si>
    <t>15006150160150</t>
  </si>
  <si>
    <t>15006150160175</t>
  </si>
  <si>
    <t>15006150160309</t>
  </si>
  <si>
    <t>15006150160310</t>
  </si>
  <si>
    <t>15006150160313</t>
  </si>
  <si>
    <t>15006150160314</t>
  </si>
  <si>
    <t>15006150160323</t>
  </si>
  <si>
    <t>15006150160324</t>
  </si>
  <si>
    <t>15006150160331</t>
  </si>
  <si>
    <t>15006150160332</t>
  </si>
  <si>
    <t>15006150160333</t>
  </si>
  <si>
    <t>15006150160334</t>
  </si>
  <si>
    <t>15006150160337</t>
  </si>
  <si>
    <t>15006150160340</t>
  </si>
  <si>
    <t>15006150160341</t>
  </si>
  <si>
    <t>15006150160342</t>
  </si>
  <si>
    <t>15006150160343</t>
  </si>
  <si>
    <t>15006150160344</t>
  </si>
  <si>
    <t>15006150160345</t>
  </si>
  <si>
    <t>15006150160350</t>
  </si>
  <si>
    <t>15006150160351</t>
  </si>
  <si>
    <t>15006150160352</t>
  </si>
  <si>
    <t>15006150160353</t>
  </si>
  <si>
    <t>15006150160386</t>
  </si>
  <si>
    <t>15006150160387</t>
  </si>
  <si>
    <t>15006150160444</t>
  </si>
  <si>
    <t>15006150160445</t>
  </si>
  <si>
    <t>15006150160446</t>
  </si>
  <si>
    <t>15006150160448</t>
  </si>
  <si>
    <t>15006150160449</t>
  </si>
  <si>
    <t>15006150160461</t>
  </si>
  <si>
    <t>15006150160462</t>
  </si>
  <si>
    <t>15006150160466</t>
  </si>
  <si>
    <t>15006150160467</t>
  </si>
  <si>
    <t>15006150160471</t>
  </si>
  <si>
    <t>15006150160472</t>
  </si>
  <si>
    <t>15006150160473</t>
  </si>
  <si>
    <t>15006150160476</t>
  </si>
  <si>
    <t>15006150160477</t>
  </si>
  <si>
    <t>15006150160480</t>
  </si>
  <si>
    <t>15006150160481</t>
  </si>
  <si>
    <t>15006150160482</t>
  </si>
  <si>
    <t>15006150160483</t>
  </si>
  <si>
    <t>15006150160488</t>
  </si>
  <si>
    <t>15006150160489</t>
  </si>
  <si>
    <t>15006150160494</t>
  </si>
  <si>
    <t>15006150160495</t>
  </si>
  <si>
    <t>15006150160496</t>
  </si>
  <si>
    <t>15006150160497</t>
  </si>
  <si>
    <t>15006150160539</t>
  </si>
  <si>
    <t>15006150160605</t>
  </si>
  <si>
    <t>15006150160802</t>
  </si>
  <si>
    <t>15006150160803</t>
  </si>
  <si>
    <t>15006150160806</t>
  </si>
  <si>
    <t>15006150160807</t>
  </si>
  <si>
    <t>15006150160814</t>
  </si>
  <si>
    <t>15006150160815</t>
  </si>
  <si>
    <t>15006150160832</t>
  </si>
  <si>
    <t>15006150160833</t>
  </si>
  <si>
    <t>15006150160834</t>
  </si>
  <si>
    <t>15006150160838</t>
  </si>
  <si>
    <t>15006150160839</t>
  </si>
  <si>
    <t>15006150160840</t>
  </si>
  <si>
    <t>15006150160914</t>
  </si>
  <si>
    <t>15006150160915</t>
  </si>
  <si>
    <t>15006150160916</t>
  </si>
  <si>
    <t>15006150160917</t>
  </si>
  <si>
    <t>15006150160918</t>
  </si>
  <si>
    <t>15006150160919</t>
  </si>
  <si>
    <t>15006150160920</t>
  </si>
  <si>
    <t>15006150160931</t>
  </si>
  <si>
    <t>15006150160952</t>
  </si>
  <si>
    <t>15006150160953</t>
  </si>
  <si>
    <t>15006150160954</t>
  </si>
  <si>
    <t>15006150160955</t>
  </si>
  <si>
    <t>15006150161055</t>
  </si>
  <si>
    <t>15006150161056</t>
  </si>
  <si>
    <t>15006150161016</t>
  </si>
  <si>
    <t>15006150161017</t>
  </si>
  <si>
    <t>15006150161109</t>
  </si>
  <si>
    <t>15006150161132</t>
  </si>
  <si>
    <t>15006150161134</t>
  </si>
  <si>
    <t>15006150161135</t>
  </si>
  <si>
    <t>15006150161206</t>
  </si>
  <si>
    <t>15006150161207</t>
  </si>
  <si>
    <t>15006150161248</t>
  </si>
  <si>
    <t>15006150161249</t>
  </si>
  <si>
    <t>15006150161292</t>
  </si>
  <si>
    <t>15006150161293</t>
  </si>
  <si>
    <t>15006150161294</t>
  </si>
  <si>
    <t>15006150161295</t>
  </si>
  <si>
    <t>15006150161300</t>
  </si>
  <si>
    <t>15006150161301</t>
  </si>
  <si>
    <t>15006150170834</t>
  </si>
  <si>
    <t>15006455</t>
  </si>
  <si>
    <t>15006502</t>
  </si>
  <si>
    <t>15006503</t>
  </si>
  <si>
    <t>15006988</t>
  </si>
  <si>
    <t>15006989</t>
  </si>
  <si>
    <t>15006990</t>
  </si>
  <si>
    <t>15006991</t>
  </si>
  <si>
    <t>15006992</t>
  </si>
  <si>
    <t>15006993</t>
  </si>
  <si>
    <t>15006994</t>
  </si>
  <si>
    <t>15006995</t>
  </si>
  <si>
    <t>150068524</t>
  </si>
  <si>
    <t>150068674</t>
  </si>
  <si>
    <t>150068684</t>
  </si>
  <si>
    <t>150068704</t>
  </si>
  <si>
    <t>150068714</t>
  </si>
  <si>
    <t>150068720</t>
  </si>
  <si>
    <t>150068724</t>
  </si>
  <si>
    <t>150068730</t>
  </si>
  <si>
    <t>150068734</t>
  </si>
  <si>
    <t>150068774</t>
  </si>
  <si>
    <t>150068784</t>
  </si>
  <si>
    <t>150068794</t>
  </si>
  <si>
    <t>150068806</t>
  </si>
  <si>
    <t>150068846</t>
  </si>
  <si>
    <t>150068915</t>
  </si>
  <si>
    <t>150068924</t>
  </si>
  <si>
    <t>150068934</t>
  </si>
  <si>
    <t>150068944</t>
  </si>
  <si>
    <t>150068954</t>
  </si>
  <si>
    <t>150069040</t>
  </si>
  <si>
    <t>150069050</t>
  </si>
  <si>
    <t>150069080</t>
  </si>
  <si>
    <t>150069090</t>
  </si>
  <si>
    <t>150069100</t>
  </si>
  <si>
    <t>150069110</t>
  </si>
  <si>
    <t>150069120</t>
  </si>
  <si>
    <t>150069150</t>
  </si>
  <si>
    <t>150069160</t>
  </si>
  <si>
    <t>150069194</t>
  </si>
  <si>
    <t>150069204</t>
  </si>
  <si>
    <t>150069214</t>
  </si>
  <si>
    <t>150069224</t>
  </si>
  <si>
    <t>150069274</t>
  </si>
  <si>
    <t>150069284</t>
  </si>
  <si>
    <t>150069310</t>
  </si>
  <si>
    <t>150069320</t>
  </si>
  <si>
    <t>150069330</t>
  </si>
  <si>
    <t>150069340</t>
  </si>
  <si>
    <t>15006170029270</t>
  </si>
  <si>
    <t>15006170029280</t>
  </si>
  <si>
    <t>15006170029805</t>
  </si>
  <si>
    <t>15006170029806</t>
  </si>
  <si>
    <t>15006173021108</t>
  </si>
  <si>
    <t>150062100</t>
  </si>
  <si>
    <t>150062101</t>
  </si>
  <si>
    <t>150062093</t>
  </si>
  <si>
    <t>150061577</t>
  </si>
  <si>
    <t>150061578</t>
  </si>
  <si>
    <t>150062011</t>
  </si>
  <si>
    <t>150062012</t>
  </si>
  <si>
    <t>15006130031077</t>
  </si>
  <si>
    <t>150061989</t>
  </si>
  <si>
    <t>150061990</t>
  </si>
  <si>
    <t>150061991</t>
  </si>
  <si>
    <t>150061992</t>
  </si>
  <si>
    <t>150062042</t>
  </si>
  <si>
    <t>150062043</t>
  </si>
  <si>
    <t>150062044</t>
  </si>
  <si>
    <t>150062045</t>
  </si>
  <si>
    <t>150061981</t>
  </si>
  <si>
    <t>150061982</t>
  </si>
  <si>
    <t>150061983</t>
  </si>
  <si>
    <t>150061984</t>
  </si>
  <si>
    <t>150061993</t>
  </si>
  <si>
    <t>150061994</t>
  </si>
  <si>
    <t>150061589</t>
  </si>
  <si>
    <t>150061590</t>
  </si>
  <si>
    <t>150062104</t>
  </si>
  <si>
    <t>150062105</t>
  </si>
  <si>
    <t>1500698</t>
  </si>
  <si>
    <t>1500699</t>
  </si>
  <si>
    <t>15006173021102</t>
  </si>
  <si>
    <t>150061565</t>
  </si>
  <si>
    <t>150061566</t>
  </si>
  <si>
    <t>150062177</t>
  </si>
  <si>
    <t>150062178</t>
  </si>
  <si>
    <t>150062133</t>
  </si>
  <si>
    <t>150062134</t>
  </si>
  <si>
    <t>150062137</t>
  </si>
  <si>
    <t>150062138</t>
  </si>
  <si>
    <t>150062159</t>
  </si>
  <si>
    <t>150062160</t>
  </si>
  <si>
    <t>150062109</t>
  </si>
  <si>
    <t>150062110</t>
  </si>
  <si>
    <t>150061971</t>
  </si>
  <si>
    <t>150061972</t>
  </si>
  <si>
    <t>150062009</t>
  </si>
  <si>
    <t>150062010</t>
  </si>
  <si>
    <t>150061527</t>
  </si>
  <si>
    <t>150061528</t>
  </si>
  <si>
    <t>150061557</t>
  </si>
  <si>
    <t>150061558</t>
  </si>
  <si>
    <t>150061549</t>
  </si>
  <si>
    <t>150061550</t>
  </si>
  <si>
    <t>150062066</t>
  </si>
  <si>
    <t>150062067</t>
  </si>
  <si>
    <t>150062068</t>
  </si>
  <si>
    <t>150061525</t>
  </si>
  <si>
    <t>150061526</t>
  </si>
  <si>
    <t>15006114</t>
  </si>
  <si>
    <t>15006115</t>
  </si>
  <si>
    <t>15006112</t>
  </si>
  <si>
    <t>15006113</t>
  </si>
  <si>
    <t>150062111</t>
  </si>
  <si>
    <t>150062112</t>
  </si>
  <si>
    <t>150061977</t>
  </si>
  <si>
    <t>150061978</t>
  </si>
  <si>
    <t>150062113</t>
  </si>
  <si>
    <t>150062114</t>
  </si>
  <si>
    <t>150062040</t>
  </si>
  <si>
    <t>150062041</t>
  </si>
  <si>
    <t>150062119</t>
  </si>
  <si>
    <t>150062120</t>
  </si>
  <si>
    <t>150062149</t>
  </si>
  <si>
    <t>150062150</t>
  </si>
  <si>
    <t>150061965</t>
  </si>
  <si>
    <t>150061966</t>
  </si>
  <si>
    <t>150061985</t>
  </si>
  <si>
    <t>150061986</t>
  </si>
  <si>
    <t>150061973</t>
  </si>
  <si>
    <t>150061974</t>
  </si>
  <si>
    <t>150062102</t>
  </si>
  <si>
    <t>150062103</t>
  </si>
  <si>
    <t>150062139</t>
  </si>
  <si>
    <t>150062140</t>
  </si>
  <si>
    <t>150062025</t>
  </si>
  <si>
    <t>150062026</t>
  </si>
  <si>
    <t>150061581</t>
  </si>
  <si>
    <t>150061582</t>
  </si>
  <si>
    <t>150061567</t>
  </si>
  <si>
    <t>150061568</t>
  </si>
  <si>
    <t>150061575</t>
  </si>
  <si>
    <t>150061576</t>
  </si>
  <si>
    <t>150062135</t>
  </si>
  <si>
    <t>150062136</t>
  </si>
  <si>
    <t>150062131</t>
  </si>
  <si>
    <t>150062132</t>
  </si>
  <si>
    <t>15006100</t>
  </si>
  <si>
    <t>15006101</t>
  </si>
  <si>
    <t>150062186</t>
  </si>
  <si>
    <t>150062187</t>
  </si>
  <si>
    <t>150062037</t>
  </si>
  <si>
    <t>150062039</t>
  </si>
  <si>
    <t>150062189</t>
  </si>
  <si>
    <t>150062190</t>
  </si>
  <si>
    <t>150062191</t>
  </si>
  <si>
    <t>150062192</t>
  </si>
  <si>
    <t>15006686</t>
  </si>
  <si>
    <t>150061967</t>
  </si>
  <si>
    <t>150061968</t>
  </si>
  <si>
    <t>150061358</t>
  </si>
  <si>
    <t>150061359</t>
  </si>
  <si>
    <t>150062054</t>
  </si>
  <si>
    <t>150062055</t>
  </si>
  <si>
    <t>150062077</t>
  </si>
  <si>
    <t>150062204</t>
  </si>
  <si>
    <t>150062203</t>
  </si>
  <si>
    <t>150061587</t>
  </si>
  <si>
    <t>150061588</t>
  </si>
  <si>
    <t>150062179</t>
  </si>
  <si>
    <t>150062180</t>
  </si>
  <si>
    <t>150069823</t>
  </si>
  <si>
    <t>150069824</t>
  </si>
  <si>
    <t>150061979</t>
  </si>
  <si>
    <t>150061980</t>
  </si>
  <si>
    <t>150062098</t>
  </si>
  <si>
    <t>150062099</t>
  </si>
  <si>
    <t>150061571</t>
  </si>
  <si>
    <t>150061572</t>
  </si>
  <si>
    <t>150062027</t>
  </si>
  <si>
    <t>150062028</t>
  </si>
  <si>
    <t>150062208</t>
  </si>
  <si>
    <t>150062209</t>
  </si>
  <si>
    <t>1500697</t>
  </si>
  <si>
    <t>1500696</t>
  </si>
  <si>
    <t>15006102</t>
  </si>
  <si>
    <t>15006103</t>
  </si>
  <si>
    <t>150062143</t>
  </si>
  <si>
    <t>150062144</t>
  </si>
  <si>
    <t>150062146</t>
  </si>
  <si>
    <t>150062145</t>
  </si>
  <si>
    <t>150061529</t>
  </si>
  <si>
    <t>150061530</t>
  </si>
  <si>
    <t>150069825</t>
  </si>
  <si>
    <t>1500060050</t>
  </si>
  <si>
    <t>1500060051</t>
  </si>
  <si>
    <t>1500060055</t>
  </si>
  <si>
    <t>1500060056</t>
  </si>
  <si>
    <t>1500060060</t>
  </si>
  <si>
    <t>1500060061</t>
  </si>
  <si>
    <t>1500060065</t>
  </si>
  <si>
    <t>1500060070</t>
  </si>
  <si>
    <t>1500060071</t>
  </si>
  <si>
    <t>1500060072</t>
  </si>
  <si>
    <t>1500060073</t>
  </si>
  <si>
    <t>1500060074</t>
  </si>
  <si>
    <t>1500060075</t>
  </si>
  <si>
    <t>1500060076</t>
  </si>
  <si>
    <t>1500060077</t>
  </si>
  <si>
    <t>1500060078</t>
  </si>
  <si>
    <t>1500060079</t>
  </si>
  <si>
    <t>1500060080</t>
  </si>
  <si>
    <t>1500060081</t>
  </si>
  <si>
    <t>1500060082</t>
  </si>
  <si>
    <t>1500060083</t>
  </si>
  <si>
    <t>1500060084</t>
  </si>
  <si>
    <t>1500060085</t>
  </si>
  <si>
    <t>1500060086</t>
  </si>
  <si>
    <t>1500060087</t>
  </si>
  <si>
    <t>1500060088</t>
  </si>
  <si>
    <t>1500060089</t>
  </si>
  <si>
    <t>1500060090</t>
  </si>
  <si>
    <t>1500060091</t>
  </si>
  <si>
    <t>1500060092</t>
  </si>
  <si>
    <t>1500060093</t>
  </si>
  <si>
    <t>1500060094</t>
  </si>
  <si>
    <t>1500060095</t>
  </si>
  <si>
    <t>1500060096</t>
  </si>
  <si>
    <t>1500060097</t>
  </si>
  <si>
    <t>1500060098</t>
  </si>
  <si>
    <t>1500060099</t>
  </si>
  <si>
    <t>1500060100</t>
  </si>
  <si>
    <t>1500060101</t>
  </si>
  <si>
    <t>1500060102</t>
  </si>
  <si>
    <t>1500060103</t>
  </si>
  <si>
    <t>1500060104</t>
  </si>
  <si>
    <t>1500060105</t>
  </si>
  <si>
    <t>1500060114</t>
  </si>
  <si>
    <t>1500060115</t>
  </si>
  <si>
    <t>1500060116</t>
  </si>
  <si>
    <t>1500060117</t>
  </si>
  <si>
    <t>1500060118</t>
  </si>
  <si>
    <t>1500060119</t>
  </si>
  <si>
    <t>1500060120</t>
  </si>
  <si>
    <t>1500060121</t>
  </si>
  <si>
    <t>1500060122</t>
  </si>
  <si>
    <t>1500060123</t>
  </si>
  <si>
    <t>1500060140</t>
  </si>
  <si>
    <t>1500060150</t>
  </si>
  <si>
    <t>1500060162</t>
  </si>
  <si>
    <t>1500060163</t>
  </si>
  <si>
    <t>1500060164</t>
  </si>
  <si>
    <t>1500060166</t>
  </si>
  <si>
    <t>1500060170</t>
  </si>
  <si>
    <t>1500060175</t>
  </si>
  <si>
    <t>1500060176</t>
  </si>
  <si>
    <t>1500060200</t>
  </si>
  <si>
    <t>1500060201</t>
  </si>
  <si>
    <t>1500060202</t>
  </si>
  <si>
    <t>1500060203</t>
  </si>
  <si>
    <t>1500060204</t>
  </si>
  <si>
    <t>1500060205</t>
  </si>
  <si>
    <t>1500060206</t>
  </si>
  <si>
    <t>1500060210</t>
  </si>
  <si>
    <t>1500060220</t>
  </si>
  <si>
    <t>1500060230</t>
  </si>
  <si>
    <t>1500060240</t>
  </si>
  <si>
    <t>1500060246</t>
  </si>
  <si>
    <t>1500060247</t>
  </si>
  <si>
    <t>1500060248</t>
  </si>
  <si>
    <t>1500060249</t>
  </si>
  <si>
    <t>1500060250</t>
  </si>
  <si>
    <t>1500060251</t>
  </si>
  <si>
    <t>1500060252</t>
  </si>
  <si>
    <t>1500060253</t>
  </si>
  <si>
    <t>1500060254</t>
  </si>
  <si>
    <t>1500060255</t>
  </si>
  <si>
    <t>1500060260</t>
  </si>
  <si>
    <t>1500060265</t>
  </si>
  <si>
    <t>1500060280</t>
  </si>
  <si>
    <t>1500060281</t>
  </si>
  <si>
    <t>1500060282</t>
  </si>
  <si>
    <t>1500060283</t>
  </si>
  <si>
    <t>1500060284</t>
  </si>
  <si>
    <t>1500060285</t>
  </si>
  <si>
    <t>1500060286</t>
  </si>
  <si>
    <t>1500060287</t>
  </si>
  <si>
    <t>1500060288</t>
  </si>
  <si>
    <t>1500060289</t>
  </si>
  <si>
    <t>1500060290</t>
  </si>
  <si>
    <t>1500060291</t>
  </si>
  <si>
    <t>1500060292</t>
  </si>
  <si>
    <t>1500060293</t>
  </si>
  <si>
    <t>1500060294</t>
  </si>
  <si>
    <t>1500060295</t>
  </si>
  <si>
    <t>1500060296</t>
  </si>
  <si>
    <t>1500060297</t>
  </si>
  <si>
    <t>1500060298</t>
  </si>
  <si>
    <t>1500060299</t>
  </si>
  <si>
    <t>1500060300</t>
  </si>
  <si>
    <t>1500060301</t>
  </si>
  <si>
    <t>1500060302</t>
  </si>
  <si>
    <t>1500060303</t>
  </si>
  <si>
    <t>1500060304</t>
  </si>
  <si>
    <t>1500060305</t>
  </si>
  <si>
    <t>1500060309</t>
  </si>
  <si>
    <t>1500060310</t>
  </si>
  <si>
    <t>1500060311</t>
  </si>
  <si>
    <t>1500060312</t>
  </si>
  <si>
    <t>1500060313</t>
  </si>
  <si>
    <t>1500060314</t>
  </si>
  <si>
    <t>1500060315</t>
  </si>
  <si>
    <t>1500060316</t>
  </si>
  <si>
    <t>1500060320</t>
  </si>
  <si>
    <t>1500060323</t>
  </si>
  <si>
    <t>1500060324</t>
  </si>
  <si>
    <t>1500060325</t>
  </si>
  <si>
    <t>1500060326</t>
  </si>
  <si>
    <t>1500060330</t>
  </si>
  <si>
    <t>1500060331</t>
  </si>
  <si>
    <t>1500060332</t>
  </si>
  <si>
    <t>1500060333</t>
  </si>
  <si>
    <t>1500060334</t>
  </si>
  <si>
    <t>1500060335</t>
  </si>
  <si>
    <t>1500060336</t>
  </si>
  <si>
    <t>1500060337</t>
  </si>
  <si>
    <t>1500060340</t>
  </si>
  <si>
    <t>1500060341</t>
  </si>
  <si>
    <t>1500060342</t>
  </si>
  <si>
    <t>1500060343</t>
  </si>
  <si>
    <t>1500060344</t>
  </si>
  <si>
    <t>1500060345</t>
  </si>
  <si>
    <t>1500060350</t>
  </si>
  <si>
    <t>1500060351</t>
  </si>
  <si>
    <t>1500060352</t>
  </si>
  <si>
    <t>1500060353</t>
  </si>
  <si>
    <t>1500060358</t>
  </si>
  <si>
    <t>1500060359</t>
  </si>
  <si>
    <t>1500060360</t>
  </si>
  <si>
    <t>1500060361</t>
  </si>
  <si>
    <t>1500060364</t>
  </si>
  <si>
    <t>1500060365</t>
  </si>
  <si>
    <t>1500060366</t>
  </si>
  <si>
    <t>1500060367</t>
  </si>
  <si>
    <t>1500060370</t>
  </si>
  <si>
    <t>1500060371</t>
  </si>
  <si>
    <t>1500060372</t>
  </si>
  <si>
    <t>1500060373</t>
  </si>
  <si>
    <t>1500060380</t>
  </si>
  <si>
    <t>1500060381</t>
  </si>
  <si>
    <t>1500060382</t>
  </si>
  <si>
    <t>1500060383</t>
  </si>
  <si>
    <t>1500060384</t>
  </si>
  <si>
    <t>1500060385</t>
  </si>
  <si>
    <t>1500060386</t>
  </si>
  <si>
    <t>1500060387</t>
  </si>
  <si>
    <t>1500060388</t>
  </si>
  <si>
    <t>1500060389</t>
  </si>
  <si>
    <t>1500060390</t>
  </si>
  <si>
    <t>1500060391</t>
  </si>
  <si>
    <t>1500060392</t>
  </si>
  <si>
    <t>1500060393</t>
  </si>
  <si>
    <t>1500060400</t>
  </si>
  <si>
    <t>1500060401</t>
  </si>
  <si>
    <t>1500060402</t>
  </si>
  <si>
    <t>1500060403</t>
  </si>
  <si>
    <t>1500060404</t>
  </si>
  <si>
    <t>1500060405</t>
  </si>
  <si>
    <t>1500060406</t>
  </si>
  <si>
    <t>1500060407</t>
  </si>
  <si>
    <t>1500060408</t>
  </si>
  <si>
    <t>1500060409</t>
  </si>
  <si>
    <t>1500060410</t>
  </si>
  <si>
    <t>1500060411</t>
  </si>
  <si>
    <t>1500060414</t>
  </si>
  <si>
    <t>1500060415</t>
  </si>
  <si>
    <t>1500060419</t>
  </si>
  <si>
    <t>1500060420</t>
  </si>
  <si>
    <t>1500060421</t>
  </si>
  <si>
    <t>1500060422</t>
  </si>
  <si>
    <t>1500060423</t>
  </si>
  <si>
    <t>1500060424</t>
  </si>
  <si>
    <t>1500060425</t>
  </si>
  <si>
    <t>1500060426</t>
  </si>
  <si>
    <t>1500060427</t>
  </si>
  <si>
    <t>1500060428</t>
  </si>
  <si>
    <t>1500060429</t>
  </si>
  <si>
    <t>1500060430</t>
  </si>
  <si>
    <t>1500060431</t>
  </si>
  <si>
    <t>1500060432</t>
  </si>
  <si>
    <t>1500060433</t>
  </si>
  <si>
    <t>1500060434</t>
  </si>
  <si>
    <t>1500060435</t>
  </si>
  <si>
    <t>1500060436</t>
  </si>
  <si>
    <t>1500060437</t>
  </si>
  <si>
    <t>1500060438</t>
  </si>
  <si>
    <t>1500060439</t>
  </si>
  <si>
    <t>1500060440</t>
  </si>
  <si>
    <t>1500060441</t>
  </si>
  <si>
    <t>1500060442</t>
  </si>
  <si>
    <t>1500060443</t>
  </si>
  <si>
    <t>1500060444</t>
  </si>
  <si>
    <t>1500060445</t>
  </si>
  <si>
    <t>1500060446</t>
  </si>
  <si>
    <t>1500060448</t>
  </si>
  <si>
    <t>1500060449</t>
  </si>
  <si>
    <t>1500060455</t>
  </si>
  <si>
    <t>1500060461</t>
  </si>
  <si>
    <t>1500060462</t>
  </si>
  <si>
    <t>1500060465</t>
  </si>
  <si>
    <t>1500060466</t>
  </si>
  <si>
    <t>1500060467</t>
  </si>
  <si>
    <t>1500060468</t>
  </si>
  <si>
    <t>1500060470</t>
  </si>
  <si>
    <t>1500060471</t>
  </si>
  <si>
    <t>1500060472</t>
  </si>
  <si>
    <t>1500060473</t>
  </si>
  <si>
    <t>1500060474</t>
  </si>
  <si>
    <t>1500060475</t>
  </si>
  <si>
    <t>1500060476</t>
  </si>
  <si>
    <t>1500060477</t>
  </si>
  <si>
    <t>1500060478</t>
  </si>
  <si>
    <t>1500060479</t>
  </si>
  <si>
    <t>1500060480</t>
  </si>
  <si>
    <t>1500060481</t>
  </si>
  <si>
    <t>1500060482</t>
  </si>
  <si>
    <t>1500060483</t>
  </si>
  <si>
    <t>1500060488</t>
  </si>
  <si>
    <t>1500060489</t>
  </si>
  <si>
    <t>1500060494</t>
  </si>
  <si>
    <t>1500060495</t>
  </si>
  <si>
    <t>1500060496</t>
  </si>
  <si>
    <t>1500060497</t>
  </si>
  <si>
    <t>1500060500</t>
  </si>
  <si>
    <t>1500060501</t>
  </si>
  <si>
    <t>1500060502</t>
  </si>
  <si>
    <t>1500060503</t>
  </si>
  <si>
    <t>1500060506</t>
  </si>
  <si>
    <t>1500060507</t>
  </si>
  <si>
    <t>1500060508</t>
  </si>
  <si>
    <t>1500060509</t>
  </si>
  <si>
    <t>1500060510</t>
  </si>
  <si>
    <t>1500060511</t>
  </si>
  <si>
    <t>1500060512</t>
  </si>
  <si>
    <t>1500060513</t>
  </si>
  <si>
    <t>1500060514</t>
  </si>
  <si>
    <t>1500060515</t>
  </si>
  <si>
    <t>1500060516</t>
  </si>
  <si>
    <t>1500060517</t>
  </si>
  <si>
    <t>1500060518</t>
  </si>
  <si>
    <t>1500060519</t>
  </si>
  <si>
    <t>1500060520</t>
  </si>
  <si>
    <t>1500060521</t>
  </si>
  <si>
    <t>1500060522</t>
  </si>
  <si>
    <t>1500060523</t>
  </si>
  <si>
    <t>1500060524</t>
  </si>
  <si>
    <t>1500060525</t>
  </si>
  <si>
    <t>1500060526</t>
  </si>
  <si>
    <t>1500060527</t>
  </si>
  <si>
    <t>1500060528</t>
  </si>
  <si>
    <t>1500060529</t>
  </si>
  <si>
    <t>1500060530</t>
  </si>
  <si>
    <t>1500060531</t>
  </si>
  <si>
    <t>1500060532</t>
  </si>
  <si>
    <t>1500060533</t>
  </si>
  <si>
    <t>1500060534</t>
  </si>
  <si>
    <t>1500060535</t>
  </si>
  <si>
    <t>1500060536</t>
  </si>
  <si>
    <t>1500060537</t>
  </si>
  <si>
    <t>1500060538</t>
  </si>
  <si>
    <t>1500060539</t>
  </si>
  <si>
    <t>1500060540</t>
  </si>
  <si>
    <t>1500060541</t>
  </si>
  <si>
    <t>1500060542</t>
  </si>
  <si>
    <t>1500060543</t>
  </si>
  <si>
    <t>1500060544</t>
  </si>
  <si>
    <t>1500060545</t>
  </si>
  <si>
    <t>1500060546</t>
  </si>
  <si>
    <t>1500060547</t>
  </si>
  <si>
    <t>1500060548</t>
  </si>
  <si>
    <t>1500060549</t>
  </si>
  <si>
    <t>1500060550</t>
  </si>
  <si>
    <t>1500060551</t>
  </si>
  <si>
    <t>1500060552</t>
  </si>
  <si>
    <t>1500060553</t>
  </si>
  <si>
    <t>1500060556</t>
  </si>
  <si>
    <t>1500060557</t>
  </si>
  <si>
    <t>1500060560</t>
  </si>
  <si>
    <t>1500060561</t>
  </si>
  <si>
    <t>1500060562</t>
  </si>
  <si>
    <t>1500060563</t>
  </si>
  <si>
    <t>1500060564</t>
  </si>
  <si>
    <t>1500060565</t>
  </si>
  <si>
    <t>1500060566</t>
  </si>
  <si>
    <t>1500060567</t>
  </si>
  <si>
    <t>1500060568</t>
  </si>
  <si>
    <t>1500060569</t>
  </si>
  <si>
    <t>1500060570</t>
  </si>
  <si>
    <t>1500060571</t>
  </si>
  <si>
    <t>1500060573</t>
  </si>
  <si>
    <t>1500060575</t>
  </si>
  <si>
    <t>1500060576</t>
  </si>
  <si>
    <t>1500060577</t>
  </si>
  <si>
    <t>1500060578</t>
  </si>
  <si>
    <t>1500060579</t>
  </si>
  <si>
    <t>1500060580</t>
  </si>
  <si>
    <t>1500060581</t>
  </si>
  <si>
    <t>1500060582</t>
  </si>
  <si>
    <t>1500060583</t>
  </si>
  <si>
    <t>1500060584</t>
  </si>
  <si>
    <t>1500060585</t>
  </si>
  <si>
    <t>1500060586</t>
  </si>
  <si>
    <t>1500060587</t>
  </si>
  <si>
    <t>1500060588</t>
  </si>
  <si>
    <t>1500060589</t>
  </si>
  <si>
    <t>1500060596</t>
  </si>
  <si>
    <t>1500060597</t>
  </si>
  <si>
    <t>1500060598</t>
  </si>
  <si>
    <t>1500060599</t>
  </si>
  <si>
    <t>1500060600</t>
  </si>
  <si>
    <t>1500060605</t>
  </si>
  <si>
    <t>1500060611</t>
  </si>
  <si>
    <t>1500060615</t>
  </si>
  <si>
    <t>1500060675</t>
  </si>
  <si>
    <t>1500060677</t>
  </si>
  <si>
    <t>1500060679</t>
  </si>
  <si>
    <t>1500060682</t>
  </si>
  <si>
    <t>1500060683</t>
  </si>
  <si>
    <t>1500060686</t>
  </si>
  <si>
    <t>1500060688</t>
  </si>
  <si>
    <t>1500060690</t>
  </si>
  <si>
    <t>1500060697</t>
  </si>
  <si>
    <t>1500060698</t>
  </si>
  <si>
    <t>1500060699</t>
  </si>
  <si>
    <t>1500060700</t>
  </si>
  <si>
    <t>1500060701</t>
  </si>
  <si>
    <t>1500060702</t>
  </si>
  <si>
    <t>1500060703</t>
  </si>
  <si>
    <t>1500060704</t>
  </si>
  <si>
    <t>1500060705</t>
  </si>
  <si>
    <t>1500060706</t>
  </si>
  <si>
    <t>1500060707</t>
  </si>
  <si>
    <t>1500060708</t>
  </si>
  <si>
    <t>1500060709</t>
  </si>
  <si>
    <t>1500060710</t>
  </si>
  <si>
    <t>1500060711</t>
  </si>
  <si>
    <t>1500060712</t>
  </si>
  <si>
    <t>1500060713</t>
  </si>
  <si>
    <t>1500060714</t>
  </si>
  <si>
    <t>1500060715</t>
  </si>
  <si>
    <t>1500060716</t>
  </si>
  <si>
    <t>1500060717</t>
  </si>
  <si>
    <t>1500060718</t>
  </si>
  <si>
    <t>1500060719</t>
  </si>
  <si>
    <t>1500060720</t>
  </si>
  <si>
    <t>1500060721</t>
  </si>
  <si>
    <t>1500060722</t>
  </si>
  <si>
    <t>1500060723</t>
  </si>
  <si>
    <t>1500060724</t>
  </si>
  <si>
    <t>1500060725</t>
  </si>
  <si>
    <t>1500060726</t>
  </si>
  <si>
    <t>1500060727</t>
  </si>
  <si>
    <t>1500060728</t>
  </si>
  <si>
    <t>1500060729</t>
  </si>
  <si>
    <t>1500060730</t>
  </si>
  <si>
    <t>1500060731</t>
  </si>
  <si>
    <t>1500060732</t>
  </si>
  <si>
    <t>1500060733</t>
  </si>
  <si>
    <t>1500060734</t>
  </si>
  <si>
    <t>1500060735</t>
  </si>
  <si>
    <t>1500060736</t>
  </si>
  <si>
    <t>1500060737</t>
  </si>
  <si>
    <t>1500060738</t>
  </si>
  <si>
    <t>1500060739</t>
  </si>
  <si>
    <t>1500060740</t>
  </si>
  <si>
    <t>1500060741</t>
  </si>
  <si>
    <t>1500060742</t>
  </si>
  <si>
    <t>1500060743</t>
  </si>
  <si>
    <t>1500060744</t>
  </si>
  <si>
    <t>1500060745</t>
  </si>
  <si>
    <t>1500060746</t>
  </si>
  <si>
    <t>1500060747</t>
  </si>
  <si>
    <t>1500060748</t>
  </si>
  <si>
    <t>1500060749</t>
  </si>
  <si>
    <t>1500060750</t>
  </si>
  <si>
    <t>1500060751</t>
  </si>
  <si>
    <t>1500060752</t>
  </si>
  <si>
    <t>1500060753</t>
  </si>
  <si>
    <t>1500060754</t>
  </si>
  <si>
    <t>1500060755</t>
  </si>
  <si>
    <t>1500060756</t>
  </si>
  <si>
    <t>1500060757</t>
  </si>
  <si>
    <t>1500060758</t>
  </si>
  <si>
    <t>1500060759</t>
  </si>
  <si>
    <t>1500060760</t>
  </si>
  <si>
    <t>1500060761</t>
  </si>
  <si>
    <t>1500060762</t>
  </si>
  <si>
    <t>1500060763</t>
  </si>
  <si>
    <t>1500060764</t>
  </si>
  <si>
    <t>1500060765</t>
  </si>
  <si>
    <t>1500060766</t>
  </si>
  <si>
    <t>1500060767</t>
  </si>
  <si>
    <t>1500060768</t>
  </si>
  <si>
    <t>1500060769</t>
  </si>
  <si>
    <t>1500060770</t>
  </si>
  <si>
    <t>1500060771</t>
  </si>
  <si>
    <t>1500060772</t>
  </si>
  <si>
    <t>1500060773</t>
  </si>
  <si>
    <t>1500060774</t>
  </si>
  <si>
    <t>1500060775</t>
  </si>
  <si>
    <t>1500060776</t>
  </si>
  <si>
    <t>1500060777</t>
  </si>
  <si>
    <t>1500060778</t>
  </si>
  <si>
    <t>1500060779</t>
  </si>
  <si>
    <t>1500060780</t>
  </si>
  <si>
    <t>1500060781</t>
  </si>
  <si>
    <t>1500060782</t>
  </si>
  <si>
    <t>1500060783</t>
  </si>
  <si>
    <t>1500060784</t>
  </si>
  <si>
    <t>1500060785</t>
  </si>
  <si>
    <t>1500060786</t>
  </si>
  <si>
    <t>1500060787</t>
  </si>
  <si>
    <t>1500060788</t>
  </si>
  <si>
    <t>1500060789</t>
  </si>
  <si>
    <t>1500060790</t>
  </si>
  <si>
    <t>1500060791</t>
  </si>
  <si>
    <t>1500060792</t>
  </si>
  <si>
    <t>1500060793</t>
  </si>
  <si>
    <t>1500060794</t>
  </si>
  <si>
    <t>1500060795</t>
  </si>
  <si>
    <t>1500060796</t>
  </si>
  <si>
    <t>1500060797</t>
  </si>
  <si>
    <t>1500060798</t>
  </si>
  <si>
    <t>1500060799</t>
  </si>
  <si>
    <t>1500060800</t>
  </si>
  <si>
    <t>1500060801</t>
  </si>
  <si>
    <t>1500060802</t>
  </si>
  <si>
    <t>1500060803</t>
  </si>
  <si>
    <t>1500060804</t>
  </si>
  <si>
    <t>1500060805</t>
  </si>
  <si>
    <t>1500060806</t>
  </si>
  <si>
    <t>1500060807</t>
  </si>
  <si>
    <t>1500060808</t>
  </si>
  <si>
    <t>1500060809</t>
  </si>
  <si>
    <t>1500060810</t>
  </si>
  <si>
    <t>1500060811</t>
  </si>
  <si>
    <t>1500060812</t>
  </si>
  <si>
    <t>1500060813</t>
  </si>
  <si>
    <t>1500060814</t>
  </si>
  <si>
    <t>1500060815</t>
  </si>
  <si>
    <t>1500060816</t>
  </si>
  <si>
    <t>1500060817</t>
  </si>
  <si>
    <t>1500060818</t>
  </si>
  <si>
    <t>1500060819</t>
  </si>
  <si>
    <t>1500060820</t>
  </si>
  <si>
    <t>1500060821</t>
  </si>
  <si>
    <t>1500060822</t>
  </si>
  <si>
    <t>1500060823</t>
  </si>
  <si>
    <t>1500060824</t>
  </si>
  <si>
    <t>1500060825</t>
  </si>
  <si>
    <t>1500060826</t>
  </si>
  <si>
    <t>1500060827</t>
  </si>
  <si>
    <t>1500060828</t>
  </si>
  <si>
    <t>1500060829</t>
  </si>
  <si>
    <t>1500060830</t>
  </si>
  <si>
    <t>1500060831</t>
  </si>
  <si>
    <t>1500060832</t>
  </si>
  <si>
    <t>1500060833</t>
  </si>
  <si>
    <t>1500060834</t>
  </si>
  <si>
    <t>1500060835</t>
  </si>
  <si>
    <t>1500060836</t>
  </si>
  <si>
    <t>1500060837</t>
  </si>
  <si>
    <t>1500060838</t>
  </si>
  <si>
    <t>1500060839</t>
  </si>
  <si>
    <t>1500060840</t>
  </si>
  <si>
    <t>1500060841</t>
  </si>
  <si>
    <t>1500060842</t>
  </si>
  <si>
    <t>1500060843</t>
  </si>
  <si>
    <t>1500060844</t>
  </si>
  <si>
    <t>1500060845</t>
  </si>
  <si>
    <t>1500060846</t>
  </si>
  <si>
    <t>1500060847</t>
  </si>
  <si>
    <t>1500060848</t>
  </si>
  <si>
    <t>1500060849</t>
  </si>
  <si>
    <t>1500060850</t>
  </si>
  <si>
    <t>1500060851</t>
  </si>
  <si>
    <t>1500060852</t>
  </si>
  <si>
    <t>1500060853</t>
  </si>
  <si>
    <t>1500060854</t>
  </si>
  <si>
    <t>1500060855</t>
  </si>
  <si>
    <t>1500060856</t>
  </si>
  <si>
    <t>1500060857</t>
  </si>
  <si>
    <t>1500060858</t>
  </si>
  <si>
    <t>1500060859</t>
  </si>
  <si>
    <t>1500060860</t>
  </si>
  <si>
    <t>1500060861</t>
  </si>
  <si>
    <t>1500060862</t>
  </si>
  <si>
    <t>1500060863</t>
  </si>
  <si>
    <t>1500060864</t>
  </si>
  <si>
    <t>1500060865</t>
  </si>
  <si>
    <t>1500060866</t>
  </si>
  <si>
    <t>1500060867</t>
  </si>
  <si>
    <t>1500060868</t>
  </si>
  <si>
    <t>1500060869</t>
  </si>
  <si>
    <t>1500060870</t>
  </si>
  <si>
    <t>1500060871</t>
  </si>
  <si>
    <t>1500060872</t>
  </si>
  <si>
    <t>1500060873</t>
  </si>
  <si>
    <t>1500060874</t>
  </si>
  <si>
    <t>1500060875</t>
  </si>
  <si>
    <t>1500060876</t>
  </si>
  <si>
    <t>1500060877</t>
  </si>
  <si>
    <t>1500060878</t>
  </si>
  <si>
    <t>1500060879</t>
  </si>
  <si>
    <t>1500060880</t>
  </si>
  <si>
    <t>1500060881</t>
  </si>
  <si>
    <t>1500060882</t>
  </si>
  <si>
    <t>1500060883</t>
  </si>
  <si>
    <t>1500060884</t>
  </si>
  <si>
    <t>1500060885</t>
  </si>
  <si>
    <t>1500060886</t>
  </si>
  <si>
    <t>1500060887</t>
  </si>
  <si>
    <t>1500060888</t>
  </si>
  <si>
    <t>1500060889</t>
  </si>
  <si>
    <t>1500060890</t>
  </si>
  <si>
    <t>1500060891</t>
  </si>
  <si>
    <t>1500060892</t>
  </si>
  <si>
    <t>1500060893</t>
  </si>
  <si>
    <t>1500060894</t>
  </si>
  <si>
    <t>1500060895</t>
  </si>
  <si>
    <t>1500060896</t>
  </si>
  <si>
    <t>1500060897</t>
  </si>
  <si>
    <t>1500060898</t>
  </si>
  <si>
    <t>1500060899</t>
  </si>
  <si>
    <t>1500060900</t>
  </si>
  <si>
    <t>1500060901</t>
  </si>
  <si>
    <t>1500060902</t>
  </si>
  <si>
    <t>1500060903</t>
  </si>
  <si>
    <t>1500060904</t>
  </si>
  <si>
    <t>1500060905</t>
  </si>
  <si>
    <t>1500060906</t>
  </si>
  <si>
    <t>1500060907</t>
  </si>
  <si>
    <t>1500060908</t>
  </si>
  <si>
    <t>1500060909</t>
  </si>
  <si>
    <t>1500060910</t>
  </si>
  <si>
    <t>1500060911</t>
  </si>
  <si>
    <t>1500060912</t>
  </si>
  <si>
    <t>1500060913</t>
  </si>
  <si>
    <t>1500060914</t>
  </si>
  <si>
    <t>1500060915</t>
  </si>
  <si>
    <t>1500060916</t>
  </si>
  <si>
    <t>1500060917</t>
  </si>
  <si>
    <t>1500060918</t>
  </si>
  <si>
    <t>1500060919</t>
  </si>
  <si>
    <t>1500060920</t>
  </si>
  <si>
    <t>1500060921</t>
  </si>
  <si>
    <t>1500060922</t>
  </si>
  <si>
    <t>1500060924</t>
  </si>
  <si>
    <t>1500060930</t>
  </si>
  <si>
    <t>1500060934</t>
  </si>
  <si>
    <t>1500060935</t>
  </si>
  <si>
    <t>1500060936</t>
  </si>
  <si>
    <t>1500060937</t>
  </si>
  <si>
    <t>1500060938</t>
  </si>
  <si>
    <t>1500060939</t>
  </si>
  <si>
    <t>1500060940</t>
  </si>
  <si>
    <t>1500060941</t>
  </si>
  <si>
    <t>1500060942</t>
  </si>
  <si>
    <t>1500060943</t>
  </si>
  <si>
    <t>1500060944</t>
  </si>
  <si>
    <t>1500060945</t>
  </si>
  <si>
    <t>1500060950</t>
  </si>
  <si>
    <t>1500060951</t>
  </si>
  <si>
    <t>1500060952</t>
  </si>
  <si>
    <t>1500060953</t>
  </si>
  <si>
    <t>1500060954</t>
  </si>
  <si>
    <t>1500060955</t>
  </si>
  <si>
    <t>1500060956</t>
  </si>
  <si>
    <t>1500060957</t>
  </si>
  <si>
    <t>1500060958</t>
  </si>
  <si>
    <t>1500060959</t>
  </si>
  <si>
    <t>1500060960</t>
  </si>
  <si>
    <t>1500060961</t>
  </si>
  <si>
    <t>1500060962</t>
  </si>
  <si>
    <t>1500060963</t>
  </si>
  <si>
    <t>1500060964</t>
  </si>
  <si>
    <t>1500060965</t>
  </si>
  <si>
    <t>1500060967</t>
  </si>
  <si>
    <t>1500060969</t>
  </si>
  <si>
    <t>1500060970</t>
  </si>
  <si>
    <t>1500060971</t>
  </si>
  <si>
    <t>1500060973</t>
  </si>
  <si>
    <t>1500060974</t>
  </si>
  <si>
    <t>1500060975</t>
  </si>
  <si>
    <t>1500060976</t>
  </si>
  <si>
    <t>1500060978</t>
  </si>
  <si>
    <t>1500060979</t>
  </si>
  <si>
    <t>1500060981</t>
  </si>
  <si>
    <t>1500060982</t>
  </si>
  <si>
    <t>1500060983</t>
  </si>
  <si>
    <t>1500060984</t>
  </si>
  <si>
    <t>1500060985</t>
  </si>
  <si>
    <t>1500060986</t>
  </si>
  <si>
    <t>1500060987</t>
  </si>
  <si>
    <t>1500060988</t>
  </si>
  <si>
    <t>1500060989</t>
  </si>
  <si>
    <t>1500060990</t>
  </si>
  <si>
    <t>1500060991</t>
  </si>
  <si>
    <t>1500060992</t>
  </si>
  <si>
    <t>1500060993</t>
  </si>
  <si>
    <t>1500060994</t>
  </si>
  <si>
    <t>1500060995</t>
  </si>
  <si>
    <t>1500060996</t>
  </si>
  <si>
    <t>1500060997</t>
  </si>
  <si>
    <t>1500060998</t>
  </si>
  <si>
    <t>1500060999</t>
  </si>
  <si>
    <t>150061050</t>
  </si>
  <si>
    <t>150061145</t>
  </si>
  <si>
    <t>150061146</t>
  </si>
  <si>
    <t>150061163</t>
  </si>
  <si>
    <t>150061164</t>
  </si>
  <si>
    <t>150061178</t>
  </si>
  <si>
    <t>150061370</t>
  </si>
  <si>
    <t>150061371</t>
  </si>
  <si>
    <t>150061372</t>
  </si>
  <si>
    <t>150061373</t>
  </si>
  <si>
    <t>150061375</t>
  </si>
  <si>
    <t>150061378</t>
  </si>
  <si>
    <t>150061380</t>
  </si>
  <si>
    <t>150061385</t>
  </si>
  <si>
    <t>150061390</t>
  </si>
  <si>
    <t>150061515</t>
  </si>
  <si>
    <t>150061520</t>
  </si>
  <si>
    <t>150061540</t>
  </si>
  <si>
    <t>150061551</t>
  </si>
  <si>
    <t>150061552</t>
  </si>
  <si>
    <t>150061569</t>
  </si>
  <si>
    <t>150061570</t>
  </si>
  <si>
    <t>150061579</t>
  </si>
  <si>
    <t>150061580</t>
  </si>
  <si>
    <t>150061583</t>
  </si>
  <si>
    <t>150061584</t>
  </si>
  <si>
    <t>150061585</t>
  </si>
  <si>
    <t>150061586</t>
  </si>
  <si>
    <t>150061591</t>
  </si>
  <si>
    <t>150061592</t>
  </si>
  <si>
    <t>150061593</t>
  </si>
  <si>
    <t>150061594</t>
  </si>
  <si>
    <t>150061610</t>
  </si>
  <si>
    <t>150061612</t>
  </si>
  <si>
    <t>150061619</t>
  </si>
  <si>
    <t>150061620</t>
  </si>
  <si>
    <t>150061629</t>
  </si>
  <si>
    <t>150061632</t>
  </si>
  <si>
    <t>150061638</t>
  </si>
  <si>
    <t>150061639</t>
  </si>
  <si>
    <t>150061640</t>
  </si>
  <si>
    <t>150061641</t>
  </si>
  <si>
    <t>150061645</t>
  </si>
  <si>
    <t>150061656</t>
  </si>
  <si>
    <t>150061714</t>
  </si>
  <si>
    <t>150061738</t>
  </si>
  <si>
    <t>150061739</t>
  </si>
  <si>
    <t>150061925</t>
  </si>
  <si>
    <t>150061926</t>
  </si>
  <si>
    <t>150061927</t>
  </si>
  <si>
    <t>150061928</t>
  </si>
  <si>
    <t>150061929</t>
  </si>
  <si>
    <t>150061930</t>
  </si>
  <si>
    <t>150061931</t>
  </si>
  <si>
    <t>150061932</t>
  </si>
  <si>
    <t>150061933</t>
  </si>
  <si>
    <t>150061934</t>
  </si>
  <si>
    <t>150061935</t>
  </si>
  <si>
    <t>150061936</t>
  </si>
  <si>
    <t>150061937</t>
  </si>
  <si>
    <t>150061938</t>
  </si>
  <si>
    <t>150061939</t>
  </si>
  <si>
    <t>150061940</t>
  </si>
  <si>
    <t>150061941</t>
  </si>
  <si>
    <t>150061942</t>
  </si>
  <si>
    <t>150061943</t>
  </si>
  <si>
    <t>150061944</t>
  </si>
  <si>
    <t>150061945</t>
  </si>
  <si>
    <t>150061946</t>
  </si>
  <si>
    <t>150061947</t>
  </si>
  <si>
    <t>150061948</t>
  </si>
  <si>
    <t>150061949</t>
  </si>
  <si>
    <t>150061950</t>
  </si>
  <si>
    <t>150061951</t>
  </si>
  <si>
    <t>150061952</t>
  </si>
  <si>
    <t>150061953</t>
  </si>
  <si>
    <t>150061954</t>
  </si>
  <si>
    <t>150061955</t>
  </si>
  <si>
    <t>150061956</t>
  </si>
  <si>
    <t>150061957</t>
  </si>
  <si>
    <t>150061958</t>
  </si>
  <si>
    <t>150061959</t>
  </si>
  <si>
    <t>150061960</t>
  </si>
  <si>
    <t>150061961</t>
  </si>
  <si>
    <t>150061962</t>
  </si>
  <si>
    <t>150061963</t>
  </si>
  <si>
    <t>150061969</t>
  </si>
  <si>
    <t>150061970</t>
  </si>
  <si>
    <t>150061987</t>
  </si>
  <si>
    <t>150061988</t>
  </si>
  <si>
    <t>150061995</t>
  </si>
  <si>
    <t>150061996</t>
  </si>
  <si>
    <t>150062005</t>
  </si>
  <si>
    <t>150062006</t>
  </si>
  <si>
    <t>150062017</t>
  </si>
  <si>
    <t>150062018</t>
  </si>
  <si>
    <t>150062020</t>
  </si>
  <si>
    <t>150062023</t>
  </si>
  <si>
    <t>150062024</t>
  </si>
  <si>
    <t>150062029</t>
  </si>
  <si>
    <t>150062030</t>
  </si>
  <si>
    <t>150062031</t>
  </si>
  <si>
    <t>150062032</t>
  </si>
  <si>
    <t>150062035</t>
  </si>
  <si>
    <t>150062036</t>
  </si>
  <si>
    <t>150062052</t>
  </si>
  <si>
    <t>150062056</t>
  </si>
  <si>
    <t>150062057</t>
  </si>
  <si>
    <t>150062058</t>
  </si>
  <si>
    <t>150062059</t>
  </si>
  <si>
    <t>150062060</t>
  </si>
  <si>
    <t>150062061</t>
  </si>
  <si>
    <t>150062062</t>
  </si>
  <si>
    <t>150062063</t>
  </si>
  <si>
    <t>150062064</t>
  </si>
  <si>
    <t>150062065</t>
  </si>
  <si>
    <t>150062069</t>
  </si>
  <si>
    <t>150062070</t>
  </si>
  <si>
    <t>150062071</t>
  </si>
  <si>
    <t>150062072</t>
  </si>
  <si>
    <t>150062073</t>
  </si>
  <si>
    <t>150062074</t>
  </si>
  <si>
    <t>150062075</t>
  </si>
  <si>
    <t>150062076</t>
  </si>
  <si>
    <t>150062078</t>
  </si>
  <si>
    <t>150062079</t>
  </si>
  <si>
    <t>150062080</t>
  </si>
  <si>
    <t>150062081</t>
  </si>
  <si>
    <t>150062082</t>
  </si>
  <si>
    <t>150062083</t>
  </si>
  <si>
    <t>150062084</t>
  </si>
  <si>
    <t>150062085</t>
  </si>
  <si>
    <t>150062086</t>
  </si>
  <si>
    <t>150062087</t>
  </si>
  <si>
    <t>150062088</t>
  </si>
  <si>
    <t>150062089</t>
  </si>
  <si>
    <t>150062090</t>
  </si>
  <si>
    <t>150062091</t>
  </si>
  <si>
    <t>150062092</t>
  </si>
  <si>
    <t>150062115</t>
  </si>
  <si>
    <t>150062116</t>
  </si>
  <si>
    <t>150062121</t>
  </si>
  <si>
    <t>150062122</t>
  </si>
  <si>
    <t>150062123</t>
  </si>
  <si>
    <t>150062124</t>
  </si>
  <si>
    <t>150062125</t>
  </si>
  <si>
    <t>150062126</t>
  </si>
  <si>
    <t>150062151</t>
  </si>
  <si>
    <t>150062152</t>
  </si>
  <si>
    <t>150062153</t>
  </si>
  <si>
    <t>150062154</t>
  </si>
  <si>
    <t>150062163</t>
  </si>
  <si>
    <t>150062164</t>
  </si>
  <si>
    <t>150062184</t>
  </si>
  <si>
    <t>150062185</t>
  </si>
  <si>
    <t>150062188</t>
  </si>
  <si>
    <t>150062200</t>
  </si>
  <si>
    <t>150062205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</si>
</sst>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\ _T_L_-;\-* #,##0.00\ _T_L_-;_-* &quot;-&quot;??\ _T_L_-;_-@_-"/>
    <numFmt numFmtId="165" formatCode="###\ ##\ ####"/>
    <numFmt numFmtId="166" formatCode="0.0%"/>
    <numFmt numFmtId="167" formatCode="dd/mm/yyyy;@"/>
    <numFmt numFmtId="168" formatCode="#,##0.00000"/>
    <numFmt numFmtId="169" formatCode="_-* #,##0\ _T_L_-;\-* #,##0\ _T_L_-;_-* &quot;-&quot;??\ _T_L_-;_-@_-"/>
    <numFmt numFmtId="170" formatCode="#,##0.0"/>
    <numFmt numFmtId="171" formatCode="#,##0.000"/>
  </numFmts>
  <fonts count="52" x14ac:knownFonts="1">
    <font>
      <sz val="10"/>
      <name val="Arial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7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 Tur"/>
      <family val="2"/>
      <charset val="162"/>
    </font>
    <font>
      <sz val="7"/>
      <color indexed="8"/>
      <name val="Arial Tur"/>
      <family val="2"/>
      <charset val="162"/>
    </font>
    <font>
      <sz val="8"/>
      <color indexed="8"/>
      <name val="Times New Roman"/>
      <family val="1"/>
    </font>
    <font>
      <sz val="10"/>
      <name val="Arial"/>
      <family val="2"/>
      <charset val="162"/>
    </font>
    <font>
      <sz val="10"/>
      <name val="Arial"/>
      <family val="2"/>
      <charset val="162"/>
    </font>
    <font>
      <b/>
      <sz val="9"/>
      <color indexed="81"/>
      <name val="Tahoma"/>
      <family val="2"/>
      <charset val="162"/>
    </font>
    <font>
      <sz val="10"/>
      <color indexed="8"/>
      <name val="Arial"/>
      <family val="2"/>
      <charset val="162"/>
    </font>
    <font>
      <b/>
      <sz val="8"/>
      <name val="Arial"/>
      <family val="2"/>
      <charset val="162"/>
    </font>
    <font>
      <sz val="11"/>
      <name val="Arial"/>
      <family val="2"/>
      <charset val="162"/>
    </font>
    <font>
      <b/>
      <sz val="10"/>
      <color indexed="8"/>
      <name val="Arial Tur"/>
      <family val="2"/>
      <charset val="162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2"/>
      <color indexed="8"/>
      <name val="Arial Tur"/>
      <family val="2"/>
      <charset val="162"/>
    </font>
    <font>
      <sz val="12"/>
      <name val="Arial"/>
      <family val="2"/>
      <charset val="162"/>
    </font>
    <font>
      <sz val="10"/>
      <color indexed="8"/>
      <name val="Times New Roman"/>
      <family val="1"/>
    </font>
    <font>
      <sz val="12"/>
      <name val="Times New Roman"/>
      <family val="1"/>
      <charset val="162"/>
    </font>
    <font>
      <sz val="11"/>
      <color theme="1"/>
      <name val="Calibri"/>
      <family val="2"/>
      <charset val="162"/>
      <scheme val="minor"/>
    </font>
    <font>
      <u/>
      <sz val="10"/>
      <color theme="10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9"/>
      <color rgb="FF002060"/>
      <name val="Arial"/>
      <family val="2"/>
      <charset val="162"/>
    </font>
    <font>
      <b/>
      <i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2"/>
      <color rgb="FF00B050"/>
      <name val="Times New Roman"/>
      <family val="1"/>
    </font>
    <font>
      <b/>
      <sz val="12"/>
      <color theme="5" tint="-0.249977111117893"/>
      <name val="Times New Roman"/>
      <family val="1"/>
    </font>
    <font>
      <sz val="13"/>
      <color theme="1"/>
      <name val="Times New Roman"/>
      <family val="1"/>
    </font>
    <font>
      <b/>
      <sz val="13"/>
      <color rgb="FF00B050"/>
      <name val="Times New Roman"/>
      <family val="1"/>
    </font>
    <font>
      <b/>
      <sz val="12"/>
      <color rgb="FF002060"/>
      <name val="Arial"/>
      <family val="2"/>
      <charset val="162"/>
    </font>
    <font>
      <b/>
      <sz val="12"/>
      <color rgb="FF002060"/>
      <name val="Times New Roman"/>
      <family val="1"/>
    </font>
    <font>
      <b/>
      <sz val="14"/>
      <color rgb="FFFF0000"/>
      <name val="Arial"/>
      <family val="2"/>
      <charset val="162"/>
    </font>
    <font>
      <b/>
      <sz val="12"/>
      <color rgb="FF002060"/>
      <name val="Times New Roman"/>
      <family val="1"/>
      <charset val="162"/>
    </font>
    <font>
      <b/>
      <sz val="8"/>
      <color rgb="FF002060"/>
      <name val="Times New Roman"/>
      <family val="1"/>
      <charset val="162"/>
    </font>
    <font>
      <b/>
      <sz val="12"/>
      <color rgb="FFFF0000"/>
      <name val="Arial Tur"/>
      <family val="2"/>
      <charset val="162"/>
    </font>
    <font>
      <b/>
      <sz val="11"/>
      <color rgb="FF002060"/>
      <name val="Arial"/>
      <family val="2"/>
      <charset val="162"/>
    </font>
    <font>
      <b/>
      <sz val="14"/>
      <color rgb="FF00B050"/>
      <name val="Arial"/>
      <family val="2"/>
      <charset val="162"/>
    </font>
    <font>
      <b/>
      <sz val="14"/>
      <color rgb="FF00B050"/>
      <name val="Arial Tur"/>
      <charset val="162"/>
    </font>
    <font>
      <b/>
      <sz val="12"/>
      <color rgb="FF002060"/>
      <name val="Arial Tur"/>
      <charset val="162"/>
    </font>
    <font>
      <b/>
      <sz val="16"/>
      <color rgb="FFFF0000"/>
      <name val="Arial"/>
      <family val="2"/>
      <charset val="162"/>
    </font>
    <font>
      <sz val="8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9"/>
      <color rgb="FFFF0000"/>
      <name val="Arial"/>
      <family val="2"/>
      <charset val="162"/>
    </font>
    <font>
      <i/>
      <sz val="8"/>
      <name val="Arial"/>
      <family val="2"/>
      <charset val="162"/>
    </font>
    <font>
      <b/>
      <i/>
      <sz val="10"/>
      <name val="Arial"/>
      <family val="2"/>
      <charset val="162"/>
    </font>
    <font>
      <sz val="9"/>
      <color indexed="81"/>
      <name val="Tahoma"/>
      <family val="2"/>
      <charset val="162"/>
    </font>
    <font>
      <b/>
      <sz val="7"/>
      <name val="Times New Roman"/>
      <family val="1"/>
      <charset val="162"/>
    </font>
    <font>
      <b/>
      <sz val="7"/>
      <color indexed="8"/>
      <name val="Times New Roman"/>
      <family val="1"/>
      <charset val="162"/>
    </font>
    <font>
      <b/>
      <sz val="8"/>
      <name val="Times New Roman"/>
      <family val="1"/>
      <charset val="162"/>
    </font>
    <font>
      <sz val="10"/>
      <name val="Arial"/>
      <family val="2"/>
      <charset val="162"/>
    </font>
  </fonts>
  <fills count="2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7"/>
        <bgColor indexed="31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26"/>
      </patternFill>
    </fill>
    <fill>
      <patternFill patternType="solid">
        <fgColor theme="8" tint="0.79998168889431442"/>
        <b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rgb="FF92D05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gradientFill type="path" left="0.5" right="0.5" top="0.5" bottom="0.5">
        <stop position="0">
          <color theme="4" tint="-0.25098422193060094"/>
        </stop>
        <stop position="1">
          <color theme="0"/>
        </stop>
      </gradientFill>
    </fill>
    <fill>
      <patternFill patternType="solid">
        <fgColor rgb="FF99CCFF"/>
        <bgColor indexed="41"/>
      </patternFill>
    </fill>
    <fill>
      <patternFill patternType="solid">
        <fgColor rgb="FFFFFF00"/>
        <bgColor indexed="41"/>
      </patternFill>
    </fill>
    <fill>
      <patternFill patternType="solid">
        <fgColor rgb="FF99CCE3"/>
        <bgColor indexed="31"/>
      </patternFill>
    </fill>
    <fill>
      <patternFill patternType="solid">
        <fgColor rgb="FF92D050"/>
        <bgColor indexed="26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164" fontId="9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21" fillId="0" borderId="0"/>
    <xf numFmtId="0" fontId="2" fillId="0" borderId="0"/>
    <xf numFmtId="164" fontId="8" fillId="0" borderId="0" applyFont="0" applyFill="0" applyBorder="0" applyAlignment="0" applyProtection="0"/>
    <xf numFmtId="9" fontId="51" fillId="0" borderId="0" applyFont="0" applyFill="0" applyBorder="0" applyAlignment="0" applyProtection="0"/>
  </cellStyleXfs>
  <cellXfs count="201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1" fontId="6" fillId="2" borderId="0" xfId="0" applyNumberFormat="1" applyFont="1" applyFill="1" applyAlignment="1">
      <alignment vertical="center"/>
    </xf>
    <xf numFmtId="0" fontId="13" fillId="0" borderId="0" xfId="0" applyFont="1"/>
    <xf numFmtId="0" fontId="0" fillId="0" borderId="0" xfId="0" applyAlignment="1">
      <alignment vertical="center"/>
    </xf>
    <xf numFmtId="0" fontId="4" fillId="2" borderId="0" xfId="0" applyFont="1" applyFill="1" applyAlignment="1">
      <alignment horizontal="center"/>
    </xf>
    <xf numFmtId="0" fontId="24" fillId="6" borderId="8" xfId="0" applyFont="1" applyFill="1" applyBorder="1" applyAlignment="1">
      <alignment horizontal="center" vertical="center"/>
    </xf>
    <xf numFmtId="0" fontId="24" fillId="2" borderId="6" xfId="0" applyFont="1" applyFill="1" applyBorder="1" applyAlignment="1" applyProtection="1">
      <alignment horizontal="center" vertical="center"/>
      <protection locked="0"/>
    </xf>
    <xf numFmtId="0" fontId="24" fillId="2" borderId="9" xfId="0" applyFont="1" applyFill="1" applyBorder="1" applyAlignment="1" applyProtection="1">
      <alignment horizontal="center"/>
      <protection locked="0"/>
    </xf>
    <xf numFmtId="0" fontId="24" fillId="2" borderId="10" xfId="0" applyFont="1" applyFill="1" applyBorder="1" applyAlignment="1" applyProtection="1">
      <alignment horizontal="center"/>
      <protection locked="0"/>
    </xf>
    <xf numFmtId="0" fontId="24" fillId="5" borderId="8" xfId="0" applyFont="1" applyFill="1" applyBorder="1" applyAlignment="1" applyProtection="1">
      <alignment horizontal="center" vertical="center"/>
      <protection locked="0"/>
    </xf>
    <xf numFmtId="0" fontId="31" fillId="2" borderId="10" xfId="0" applyFont="1" applyFill="1" applyBorder="1" applyAlignment="1" applyProtection="1">
      <alignment horizontal="center"/>
      <protection locked="0"/>
    </xf>
    <xf numFmtId="0" fontId="18" fillId="2" borderId="0" xfId="0" applyFont="1" applyFill="1"/>
    <xf numFmtId="1" fontId="8" fillId="11" borderId="6" xfId="0" applyNumberFormat="1" applyFont="1" applyFill="1" applyBorder="1" applyAlignment="1">
      <alignment horizontal="center" vertical="center"/>
    </xf>
    <xf numFmtId="166" fontId="8" fillId="8" borderId="6" xfId="0" applyNumberFormat="1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right" vertical="center"/>
    </xf>
    <xf numFmtId="0" fontId="24" fillId="5" borderId="11" xfId="0" applyFont="1" applyFill="1" applyBorder="1" applyAlignment="1">
      <alignment horizontal="right" vertical="center"/>
    </xf>
    <xf numFmtId="0" fontId="24" fillId="13" borderId="11" xfId="0" applyFont="1" applyFill="1" applyBorder="1" applyAlignment="1">
      <alignment horizontal="right" vertical="center"/>
    </xf>
    <xf numFmtId="1" fontId="19" fillId="14" borderId="12" xfId="0" applyNumberFormat="1" applyFont="1" applyFill="1" applyBorder="1" applyAlignment="1">
      <alignment horizontal="center" vertical="center"/>
    </xf>
    <xf numFmtId="0" fontId="8" fillId="15" borderId="6" xfId="0" applyFont="1" applyFill="1" applyBorder="1" applyAlignment="1">
      <alignment horizontal="center" vertical="center"/>
    </xf>
    <xf numFmtId="1" fontId="8" fillId="16" borderId="6" xfId="0" applyNumberFormat="1" applyFont="1" applyFill="1" applyBorder="1" applyAlignment="1">
      <alignment horizontal="center" vertical="center"/>
    </xf>
    <xf numFmtId="1" fontId="8" fillId="12" borderId="6" xfId="0" applyNumberFormat="1" applyFont="1" applyFill="1" applyBorder="1" applyAlignment="1">
      <alignment horizontal="center" vertical="center"/>
    </xf>
    <xf numFmtId="165" fontId="32" fillId="4" borderId="13" xfId="0" applyNumberFormat="1" applyFont="1" applyFill="1" applyBorder="1" applyAlignment="1">
      <alignment vertical="center" wrapText="1"/>
    </xf>
    <xf numFmtId="2" fontId="7" fillId="3" borderId="6" xfId="0" applyNumberFormat="1" applyFont="1" applyFill="1" applyBorder="1" applyAlignment="1">
      <alignment vertical="center"/>
    </xf>
    <xf numFmtId="0" fontId="33" fillId="17" borderId="6" xfId="2" applyFont="1" applyFill="1" applyBorder="1" applyAlignment="1" applyProtection="1">
      <alignment horizontal="center" vertical="center"/>
    </xf>
    <xf numFmtId="165" fontId="32" fillId="4" borderId="3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0" fontId="25" fillId="7" borderId="5" xfId="3" applyFont="1" applyFill="1" applyBorder="1" applyAlignment="1">
      <alignment horizontal="center" vertical="center" wrapText="1"/>
    </xf>
    <xf numFmtId="0" fontId="23" fillId="0" borderId="5" xfId="0" applyFont="1" applyBorder="1" applyAlignment="1">
      <alignment wrapText="1"/>
    </xf>
    <xf numFmtId="0" fontId="23" fillId="0" borderId="5" xfId="0" applyFont="1" applyBorder="1" applyAlignment="1">
      <alignment vertical="center" wrapText="1"/>
    </xf>
    <xf numFmtId="0" fontId="21" fillId="0" borderId="18" xfId="4" applyBorder="1" applyAlignment="1">
      <alignment horizontal="center" vertical="center"/>
    </xf>
    <xf numFmtId="0" fontId="21" fillId="0" borderId="18" xfId="4" applyBorder="1" applyAlignment="1">
      <alignment horizontal="center"/>
    </xf>
    <xf numFmtId="0" fontId="26" fillId="0" borderId="18" xfId="0" applyFont="1" applyBorder="1"/>
    <xf numFmtId="0" fontId="26" fillId="0" borderId="18" xfId="0" applyFont="1" applyBorder="1" applyAlignment="1">
      <alignment vertical="center" wrapText="1"/>
    </xf>
    <xf numFmtId="0" fontId="26" fillId="0" borderId="18" xfId="0" applyFont="1" applyBorder="1" applyAlignment="1">
      <alignment vertical="center"/>
    </xf>
    <xf numFmtId="9" fontId="21" fillId="0" borderId="18" xfId="4" applyNumberFormat="1" applyBorder="1" applyAlignment="1">
      <alignment horizontal="center"/>
    </xf>
    <xf numFmtId="1" fontId="21" fillId="0" borderId="18" xfId="4" applyNumberFormat="1" applyBorder="1" applyAlignment="1">
      <alignment horizontal="center" vertical="center"/>
    </xf>
    <xf numFmtId="0" fontId="23" fillId="0" borderId="5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2" xfId="4" applyBorder="1" applyAlignment="1">
      <alignment horizontal="center" vertical="center"/>
    </xf>
    <xf numFmtId="0" fontId="21" fillId="0" borderId="2" xfId="4" applyBorder="1" applyAlignment="1">
      <alignment horizontal="center"/>
    </xf>
    <xf numFmtId="0" fontId="26" fillId="0" borderId="2" xfId="0" applyFont="1" applyBorder="1"/>
    <xf numFmtId="0" fontId="5" fillId="2" borderId="6" xfId="0" applyFont="1" applyFill="1" applyBorder="1" applyAlignment="1">
      <alignment horizontal="center" vertical="center"/>
    </xf>
    <xf numFmtId="0" fontId="24" fillId="2" borderId="0" xfId="0" applyFont="1" applyFill="1" applyAlignment="1" applyProtection="1">
      <alignment horizontal="left" vertical="center"/>
      <protection locked="0"/>
    </xf>
    <xf numFmtId="0" fontId="24" fillId="2" borderId="0" xfId="0" applyFont="1" applyFill="1" applyAlignment="1" applyProtection="1">
      <alignment horizontal="left" vertical="center" wrapText="1"/>
      <protection locked="0"/>
    </xf>
    <xf numFmtId="0" fontId="24" fillId="2" borderId="0" xfId="0" applyFont="1" applyFill="1" applyAlignment="1" applyProtection="1">
      <alignment horizontal="center"/>
      <protection locked="0"/>
    </xf>
    <xf numFmtId="0" fontId="5" fillId="2" borderId="19" xfId="0" applyFont="1" applyFill="1" applyBorder="1" applyAlignment="1">
      <alignment vertical="center"/>
    </xf>
    <xf numFmtId="0" fontId="5" fillId="2" borderId="20" xfId="0" applyFont="1" applyFill="1" applyBorder="1" applyAlignment="1">
      <alignment vertical="center"/>
    </xf>
    <xf numFmtId="0" fontId="5" fillId="2" borderId="21" xfId="0" applyFont="1" applyFill="1" applyBorder="1" applyAlignment="1">
      <alignment vertical="center"/>
    </xf>
    <xf numFmtId="0" fontId="21" fillId="12" borderId="2" xfId="4" applyFill="1" applyBorder="1" applyAlignment="1">
      <alignment horizontal="center" vertical="center"/>
    </xf>
    <xf numFmtId="0" fontId="21" fillId="12" borderId="18" xfId="4" applyFill="1" applyBorder="1" applyAlignment="1">
      <alignment horizontal="center" vertical="center"/>
    </xf>
    <xf numFmtId="0" fontId="5" fillId="2" borderId="23" xfId="0" applyFont="1" applyFill="1" applyBorder="1" applyAlignment="1">
      <alignment vertical="center"/>
    </xf>
    <xf numFmtId="3" fontId="38" fillId="9" borderId="6" xfId="0" applyNumberFormat="1" applyFont="1" applyFill="1" applyBorder="1" applyAlignment="1">
      <alignment horizontal="center" vertical="center"/>
    </xf>
    <xf numFmtId="0" fontId="21" fillId="0" borderId="24" xfId="4" applyBorder="1" applyAlignment="1">
      <alignment horizontal="center" vertical="center"/>
    </xf>
    <xf numFmtId="0" fontId="21" fillId="0" borderId="24" xfId="4" applyBorder="1" applyAlignment="1">
      <alignment horizontal="center"/>
    </xf>
    <xf numFmtId="0" fontId="26" fillId="0" borderId="24" xfId="0" applyFont="1" applyBorder="1"/>
    <xf numFmtId="0" fontId="26" fillId="0" borderId="2" xfId="0" applyFont="1" applyBorder="1" applyAlignment="1">
      <alignment vertical="center" wrapText="1"/>
    </xf>
    <xf numFmtId="1" fontId="24" fillId="5" borderId="8" xfId="0" applyNumberFormat="1" applyFont="1" applyFill="1" applyBorder="1" applyAlignment="1" applyProtection="1">
      <alignment horizontal="center" vertical="center"/>
      <protection locked="0"/>
    </xf>
    <xf numFmtId="2" fontId="5" fillId="2" borderId="19" xfId="0" applyNumberFormat="1" applyFont="1" applyFill="1" applyBorder="1" applyAlignment="1">
      <alignment vertical="center"/>
    </xf>
    <xf numFmtId="2" fontId="5" fillId="2" borderId="0" xfId="0" applyNumberFormat="1" applyFont="1" applyFill="1" applyAlignment="1">
      <alignment vertical="center"/>
    </xf>
    <xf numFmtId="2" fontId="5" fillId="2" borderId="20" xfId="0" applyNumberFormat="1" applyFont="1" applyFill="1" applyBorder="1" applyAlignment="1">
      <alignment vertical="center"/>
    </xf>
    <xf numFmtId="2" fontId="24" fillId="2" borderId="10" xfId="0" applyNumberFormat="1" applyFont="1" applyFill="1" applyBorder="1" applyAlignment="1" applyProtection="1">
      <alignment horizontal="center"/>
      <protection locked="0"/>
    </xf>
    <xf numFmtId="2" fontId="4" fillId="2" borderId="0" xfId="0" applyNumberFormat="1" applyFont="1" applyFill="1"/>
    <xf numFmtId="0" fontId="0" fillId="0" borderId="24" xfId="0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 wrapText="1"/>
    </xf>
    <xf numFmtId="0" fontId="0" fillId="8" borderId="0" xfId="0" applyFill="1"/>
    <xf numFmtId="1" fontId="34" fillId="18" borderId="26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readingOrder="1"/>
    </xf>
    <xf numFmtId="165" fontId="11" fillId="0" borderId="1" xfId="0" applyNumberFormat="1" applyFont="1" applyBorder="1" applyAlignment="1">
      <alignment horizontal="center" vertical="center" readingOrder="1"/>
    </xf>
    <xf numFmtId="0" fontId="0" fillId="0" borderId="24" xfId="0" applyBorder="1" applyAlignment="1">
      <alignment vertical="center"/>
    </xf>
    <xf numFmtId="165" fontId="32" fillId="4" borderId="13" xfId="0" applyNumberFormat="1" applyFont="1" applyFill="1" applyBorder="1" applyAlignment="1">
      <alignment vertical="center"/>
    </xf>
    <xf numFmtId="1" fontId="34" fillId="18" borderId="4" xfId="0" applyNumberFormat="1" applyFont="1" applyFill="1" applyBorder="1" applyAlignment="1">
      <alignment horizontal="center" vertical="center" wrapText="1"/>
    </xf>
    <xf numFmtId="1" fontId="35" fillId="19" borderId="4" xfId="0" applyNumberFormat="1" applyFont="1" applyFill="1" applyBorder="1" applyAlignment="1">
      <alignment horizontal="center" vertical="center" wrapText="1"/>
    </xf>
    <xf numFmtId="1" fontId="34" fillId="19" borderId="4" xfId="0" applyNumberFormat="1" applyFont="1" applyFill="1" applyBorder="1" applyAlignment="1">
      <alignment horizontal="center" vertical="center" wrapText="1"/>
    </xf>
    <xf numFmtId="2" fontId="35" fillId="19" borderId="26" xfId="0" applyNumberFormat="1" applyFont="1" applyFill="1" applyBorder="1" applyAlignment="1">
      <alignment horizontal="center" vertical="center" wrapText="1"/>
    </xf>
    <xf numFmtId="1" fontId="35" fillId="19" borderId="26" xfId="0" applyNumberFormat="1" applyFont="1" applyFill="1" applyBorder="1" applyAlignment="1">
      <alignment horizontal="center" vertical="center" wrapText="1"/>
    </xf>
    <xf numFmtId="1" fontId="29" fillId="0" borderId="5" xfId="0" applyNumberFormat="1" applyFont="1" applyBorder="1" applyAlignment="1" applyProtection="1">
      <alignment horizontal="center" vertical="center"/>
      <protection locked="0"/>
    </xf>
    <xf numFmtId="1" fontId="27" fillId="0" borderId="5" xfId="0" applyNumberFormat="1" applyFont="1" applyBorder="1" applyAlignment="1">
      <alignment horizontal="center" vertical="center"/>
    </xf>
    <xf numFmtId="166" fontId="27" fillId="9" borderId="5" xfId="0" applyNumberFormat="1" applyFont="1" applyFill="1" applyBorder="1" applyAlignment="1">
      <alignment horizontal="center" vertical="center"/>
    </xf>
    <xf numFmtId="2" fontId="28" fillId="0" borderId="5" xfId="0" applyNumberFormat="1" applyFont="1" applyBorder="1" applyAlignment="1" applyProtection="1">
      <alignment vertical="center"/>
      <protection locked="0"/>
    </xf>
    <xf numFmtId="1" fontId="28" fillId="0" borderId="5" xfId="0" applyNumberFormat="1" applyFont="1" applyBorder="1" applyAlignment="1" applyProtection="1">
      <alignment horizontal="center" vertical="center"/>
      <protection locked="0"/>
    </xf>
    <xf numFmtId="0" fontId="15" fillId="0" borderId="24" xfId="0" applyFont="1" applyBorder="1" applyAlignment="1">
      <alignment horizontal="center" vertical="center"/>
    </xf>
    <xf numFmtId="165" fontId="16" fillId="0" borderId="24" xfId="0" applyNumberFormat="1" applyFont="1" applyBorder="1" applyAlignment="1" applyProtection="1">
      <alignment horizontal="center" vertical="center"/>
      <protection locked="0"/>
    </xf>
    <xf numFmtId="166" fontId="28" fillId="9" borderId="24" xfId="0" applyNumberFormat="1" applyFont="1" applyFill="1" applyBorder="1" applyAlignment="1">
      <alignment horizontal="center" vertical="center"/>
    </xf>
    <xf numFmtId="166" fontId="27" fillId="10" borderId="24" xfId="0" applyNumberFormat="1" applyFont="1" applyFill="1" applyBorder="1" applyAlignment="1">
      <alignment horizontal="center" vertical="center"/>
    </xf>
    <xf numFmtId="4" fontId="0" fillId="0" borderId="0" xfId="0" applyNumberFormat="1"/>
    <xf numFmtId="0" fontId="15" fillId="0" borderId="27" xfId="0" applyFont="1" applyBorder="1" applyAlignment="1">
      <alignment horizontal="center" vertical="center"/>
    </xf>
    <xf numFmtId="1" fontId="16" fillId="9" borderId="27" xfId="0" applyNumberFormat="1" applyFont="1" applyFill="1" applyBorder="1" applyAlignment="1">
      <alignment vertical="center"/>
    </xf>
    <xf numFmtId="1" fontId="28" fillId="9" borderId="27" xfId="0" applyNumberFormat="1" applyFont="1" applyFill="1" applyBorder="1" applyAlignment="1">
      <alignment vertical="center"/>
    </xf>
    <xf numFmtId="1" fontId="28" fillId="9" borderId="27" xfId="0" applyNumberFormat="1" applyFont="1" applyFill="1" applyBorder="1" applyAlignment="1">
      <alignment horizontal="center" vertical="center"/>
    </xf>
    <xf numFmtId="166" fontId="30" fillId="10" borderId="2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readingOrder="1"/>
    </xf>
    <xf numFmtId="0" fontId="24" fillId="2" borderId="15" xfId="0" applyFont="1" applyFill="1" applyBorder="1" applyAlignment="1" applyProtection="1">
      <alignment vertical="center" wrapText="1"/>
      <protection locked="0"/>
    </xf>
    <xf numFmtId="0" fontId="24" fillId="2" borderId="16" xfId="0" applyFont="1" applyFill="1" applyBorder="1" applyAlignment="1" applyProtection="1">
      <alignment vertical="center" wrapText="1"/>
      <protection locked="0"/>
    </xf>
    <xf numFmtId="0" fontId="24" fillId="2" borderId="17" xfId="0" applyFont="1" applyFill="1" applyBorder="1" applyAlignment="1" applyProtection="1">
      <alignment vertical="center" wrapText="1"/>
      <protection locked="0"/>
    </xf>
    <xf numFmtId="0" fontId="21" fillId="0" borderId="28" xfId="4" applyBorder="1" applyAlignment="1">
      <alignment horizontal="center" vertical="center"/>
    </xf>
    <xf numFmtId="0" fontId="21" fillId="0" borderId="28" xfId="4" applyBorder="1" applyAlignment="1">
      <alignment horizontal="center"/>
    </xf>
    <xf numFmtId="0" fontId="26" fillId="0" borderId="28" xfId="0" applyFont="1" applyBorder="1"/>
    <xf numFmtId="0" fontId="21" fillId="12" borderId="24" xfId="4" applyFill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 readingOrder="1"/>
    </xf>
    <xf numFmtId="22" fontId="0" fillId="0" borderId="0" xfId="0" applyNumberFormat="1"/>
    <xf numFmtId="169" fontId="24" fillId="5" borderId="12" xfId="1" applyNumberFormat="1" applyFont="1" applyFill="1" applyBorder="1" applyAlignment="1" applyProtection="1">
      <alignment horizontal="center" vertical="center"/>
      <protection locked="0"/>
    </xf>
    <xf numFmtId="0" fontId="37" fillId="9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readingOrder="1"/>
    </xf>
    <xf numFmtId="0" fontId="0" fillId="8" borderId="1" xfId="0" applyFill="1" applyBorder="1" applyAlignment="1">
      <alignment horizontal="center" vertical="center" readingOrder="1"/>
    </xf>
    <xf numFmtId="0" fontId="8" fillId="0" borderId="1" xfId="0" applyFont="1" applyBorder="1" applyAlignment="1">
      <alignment horizontal="center" vertical="center" readingOrder="1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 readingOrder="1"/>
      <protection locked="0"/>
    </xf>
    <xf numFmtId="0" fontId="2" fillId="0" borderId="6" xfId="5" applyBorder="1" applyAlignment="1" applyProtection="1">
      <alignment horizontal="center" vertical="center" readingOrder="1"/>
      <protection locked="0"/>
    </xf>
    <xf numFmtId="165" fontId="11" fillId="0" borderId="6" xfId="0" applyNumberFormat="1" applyFont="1" applyBorder="1" applyAlignment="1" applyProtection="1">
      <alignment horizontal="center" vertical="center" readingOrder="1"/>
      <protection locked="0"/>
    </xf>
    <xf numFmtId="0" fontId="0" fillId="11" borderId="6" xfId="0" applyFill="1" applyBorder="1" applyAlignment="1" applyProtection="1">
      <alignment horizontal="center" vertical="center" readingOrder="1"/>
      <protection locked="0"/>
    </xf>
    <xf numFmtId="0" fontId="2" fillId="11" borderId="6" xfId="5" applyFill="1" applyBorder="1" applyAlignment="1" applyProtection="1">
      <alignment horizontal="center" vertical="center" readingOrder="1"/>
      <protection locked="0"/>
    </xf>
    <xf numFmtId="0" fontId="43" fillId="22" borderId="0" xfId="0" applyFont="1" applyFill="1"/>
    <xf numFmtId="0" fontId="2" fillId="0" borderId="6" xfId="5" applyBorder="1" applyAlignment="1">
      <alignment horizontal="center" vertical="center" readingOrder="1"/>
    </xf>
    <xf numFmtId="0" fontId="0" fillId="0" borderId="6" xfId="0" applyBorder="1" applyAlignment="1">
      <alignment horizontal="center" vertical="center" readingOrder="1"/>
    </xf>
    <xf numFmtId="1" fontId="17" fillId="0" borderId="24" xfId="0" applyNumberFormat="1" applyFont="1" applyBorder="1" applyAlignment="1" applyProtection="1">
      <alignment horizontal="left" vertical="center" wrapText="1"/>
      <protection locked="0"/>
    </xf>
    <xf numFmtId="169" fontId="24" fillId="5" borderId="6" xfId="1" applyNumberFormat="1" applyFont="1" applyFill="1" applyBorder="1" applyAlignment="1" applyProtection="1">
      <alignment horizontal="center" vertical="center"/>
      <protection locked="0"/>
    </xf>
    <xf numFmtId="169" fontId="44" fillId="6" borderId="8" xfId="0" applyNumberFormat="1" applyFont="1" applyFill="1" applyBorder="1" applyAlignment="1">
      <alignment horizontal="center" vertical="center"/>
    </xf>
    <xf numFmtId="0" fontId="45" fillId="0" borderId="6" xfId="0" applyFont="1" applyBorder="1" applyAlignment="1">
      <alignment horizontal="center" vertical="center" wrapText="1"/>
    </xf>
    <xf numFmtId="0" fontId="46" fillId="0" borderId="6" xfId="0" applyFont="1" applyBorder="1" applyAlignment="1">
      <alignment horizontal="center" vertical="center"/>
    </xf>
    <xf numFmtId="1" fontId="46" fillId="0" borderId="6" xfId="0" applyNumberFormat="1" applyFont="1" applyBorder="1" applyAlignment="1">
      <alignment horizontal="center" vertical="center"/>
    </xf>
    <xf numFmtId="0" fontId="0" fillId="0" borderId="6" xfId="0" applyBorder="1" applyAlignment="1" applyProtection="1">
      <alignment horizontal="left" vertical="center"/>
      <protection locked="0"/>
    </xf>
    <xf numFmtId="0" fontId="8" fillId="0" borderId="6" xfId="0" applyFont="1" applyBorder="1" applyAlignment="1" applyProtection="1">
      <alignment horizontal="left" vertical="center"/>
      <protection locked="0"/>
    </xf>
    <xf numFmtId="168" fontId="2" fillId="0" borderId="6" xfId="5" applyNumberFormat="1" applyBorder="1" applyAlignment="1" applyProtection="1">
      <alignment horizontal="left" vertical="center" readingOrder="1"/>
      <protection locked="0"/>
    </xf>
    <xf numFmtId="0" fontId="2" fillId="0" borderId="6" xfId="5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8" fillId="11" borderId="6" xfId="0" applyFont="1" applyFill="1" applyBorder="1" applyAlignment="1" applyProtection="1">
      <alignment horizontal="left" vertical="center"/>
      <protection locked="0"/>
    </xf>
    <xf numFmtId="0" fontId="0" fillId="11" borderId="6" xfId="0" applyFill="1" applyBorder="1" applyAlignment="1" applyProtection="1">
      <alignment horizontal="left" vertical="center"/>
      <protection locked="0"/>
    </xf>
    <xf numFmtId="0" fontId="2" fillId="11" borderId="6" xfId="5" applyFill="1" applyBorder="1" applyAlignment="1" applyProtection="1">
      <alignment horizontal="left" vertical="center"/>
      <protection locked="0"/>
    </xf>
    <xf numFmtId="0" fontId="2" fillId="0" borderId="6" xfId="5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6" xfId="5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70" fontId="0" fillId="0" borderId="6" xfId="0" applyNumberFormat="1" applyBorder="1" applyAlignment="1">
      <alignment horizontal="center" vertical="center" readingOrder="1"/>
    </xf>
    <xf numFmtId="170" fontId="0" fillId="0" borderId="6" xfId="0" applyNumberFormat="1" applyBorder="1" applyAlignment="1" applyProtection="1">
      <alignment horizontal="center" vertical="center"/>
      <protection locked="0"/>
    </xf>
    <xf numFmtId="170" fontId="0" fillId="0" borderId="6" xfId="1" applyNumberFormat="1" applyFont="1" applyBorder="1" applyAlignment="1" applyProtection="1">
      <alignment horizontal="center" vertical="center" readingOrder="1"/>
      <protection locked="0"/>
    </xf>
    <xf numFmtId="170" fontId="0" fillId="0" borderId="6" xfId="1" applyNumberFormat="1" applyFont="1" applyFill="1" applyBorder="1" applyAlignment="1" applyProtection="1">
      <alignment horizontal="center" vertical="center" readingOrder="1"/>
      <protection locked="0"/>
    </xf>
    <xf numFmtId="170" fontId="0" fillId="11" borderId="6" xfId="0" applyNumberFormat="1" applyFill="1" applyBorder="1" applyAlignment="1">
      <alignment horizontal="center" vertical="center" readingOrder="1"/>
    </xf>
    <xf numFmtId="170" fontId="0" fillId="11" borderId="6" xfId="1" applyNumberFormat="1" applyFont="1" applyFill="1" applyBorder="1" applyAlignment="1" applyProtection="1">
      <alignment horizontal="center" vertical="center" readingOrder="1"/>
      <protection locked="0"/>
    </xf>
    <xf numFmtId="170" fontId="0" fillId="0" borderId="6" xfId="1" applyNumberFormat="1" applyFont="1" applyBorder="1" applyAlignment="1">
      <alignment horizontal="center" vertical="center" readingOrder="1"/>
    </xf>
    <xf numFmtId="170" fontId="2" fillId="0" borderId="6" xfId="5" applyNumberFormat="1" applyBorder="1" applyAlignment="1">
      <alignment horizontal="center" vertical="center" readingOrder="1"/>
    </xf>
    <xf numFmtId="170" fontId="0" fillId="0" borderId="0" xfId="0" applyNumberFormat="1" applyAlignment="1">
      <alignment horizontal="right" vertical="center" readingOrder="1"/>
    </xf>
    <xf numFmtId="170" fontId="0" fillId="0" borderId="0" xfId="1" applyNumberFormat="1" applyFont="1" applyAlignment="1">
      <alignment horizontal="right" vertical="center" readingOrder="1"/>
    </xf>
    <xf numFmtId="0" fontId="48" fillId="23" borderId="6" xfId="3" applyFont="1" applyFill="1" applyBorder="1" applyAlignment="1">
      <alignment horizontal="center" vertical="center" wrapText="1"/>
    </xf>
    <xf numFmtId="170" fontId="49" fillId="23" borderId="6" xfId="0" applyNumberFormat="1" applyFont="1" applyFill="1" applyBorder="1" applyAlignment="1">
      <alignment horizontal="center" vertical="center" wrapText="1" readingOrder="1"/>
    </xf>
    <xf numFmtId="170" fontId="49" fillId="23" borderId="6" xfId="0" applyNumberFormat="1" applyFont="1" applyFill="1" applyBorder="1" applyAlignment="1" applyProtection="1">
      <alignment horizontal="center" vertical="center" wrapText="1" readingOrder="1"/>
      <protection locked="0"/>
    </xf>
    <xf numFmtId="170" fontId="49" fillId="23" borderId="6" xfId="1" applyNumberFormat="1" applyFont="1" applyFill="1" applyBorder="1" applyAlignment="1">
      <alignment horizontal="center" vertical="center" wrapText="1" readingOrder="1"/>
    </xf>
    <xf numFmtId="4" fontId="0" fillId="8" borderId="6" xfId="0" applyNumberFormat="1" applyFill="1" applyBorder="1" applyAlignment="1">
      <alignment horizontal="center" vertical="center"/>
    </xf>
    <xf numFmtId="2" fontId="46" fillId="8" borderId="6" xfId="0" applyNumberFormat="1" applyFont="1" applyFill="1" applyBorder="1" applyAlignment="1">
      <alignment horizontal="center" vertical="center"/>
    </xf>
    <xf numFmtId="4" fontId="0" fillId="8" borderId="0" xfId="0" applyNumberFormat="1" applyFill="1"/>
    <xf numFmtId="0" fontId="50" fillId="23" borderId="6" xfId="0" applyFont="1" applyFill="1" applyBorder="1" applyAlignment="1">
      <alignment horizontal="center" vertical="center"/>
    </xf>
    <xf numFmtId="0" fontId="50" fillId="23" borderId="6" xfId="0" applyFont="1" applyFill="1" applyBorder="1" applyAlignment="1">
      <alignment horizontal="center" vertical="center" wrapText="1"/>
    </xf>
    <xf numFmtId="4" fontId="12" fillId="23" borderId="6" xfId="0" applyNumberFormat="1" applyFont="1" applyFill="1" applyBorder="1" applyAlignment="1">
      <alignment horizontal="center" vertical="center" wrapText="1"/>
    </xf>
    <xf numFmtId="166" fontId="20" fillId="8" borderId="6" xfId="7" applyNumberFormat="1" applyFont="1" applyFill="1" applyBorder="1" applyAlignment="1">
      <alignment horizontal="center" vertical="center" wrapText="1"/>
    </xf>
    <xf numFmtId="166" fontId="46" fillId="0" borderId="6" xfId="7" applyNumberFormat="1" applyFont="1" applyBorder="1" applyAlignment="1">
      <alignment horizontal="center" vertical="center"/>
    </xf>
    <xf numFmtId="171" fontId="0" fillId="0" borderId="6" xfId="0" applyNumberFormat="1" applyBorder="1" applyAlignment="1">
      <alignment horizontal="center" vertical="center" readingOrder="1"/>
    </xf>
    <xf numFmtId="166" fontId="27" fillId="10" borderId="27" xfId="0" applyNumberFormat="1" applyFont="1" applyFill="1" applyBorder="1" applyAlignment="1">
      <alignment horizontal="center" vertical="center"/>
    </xf>
    <xf numFmtId="1" fontId="34" fillId="18" borderId="6" xfId="0" applyNumberFormat="1" applyFont="1" applyFill="1" applyBorder="1" applyAlignment="1">
      <alignment horizontal="center" vertical="center" wrapText="1"/>
    </xf>
    <xf numFmtId="171" fontId="0" fillId="0" borderId="6" xfId="0" applyNumberFormat="1" applyBorder="1" applyAlignment="1" applyProtection="1">
      <alignment horizontal="center" vertical="center"/>
      <protection locked="0"/>
    </xf>
    <xf numFmtId="1" fontId="17" fillId="12" borderId="24" xfId="0" applyNumberFormat="1" applyFont="1" applyFill="1" applyBorder="1" applyAlignment="1" applyProtection="1">
      <alignment horizontal="left" vertical="center" wrapText="1"/>
      <protection locked="0"/>
    </xf>
    <xf numFmtId="1" fontId="17" fillId="12" borderId="24" xfId="0" applyNumberFormat="1" applyFont="1" applyFill="1" applyBorder="1" applyAlignment="1" applyProtection="1">
      <alignment horizontal="center" vertical="center" wrapText="1"/>
      <protection locked="0"/>
    </xf>
    <xf numFmtId="1" fontId="17" fillId="12" borderId="24" xfId="0" applyNumberFormat="1" applyFont="1" applyFill="1" applyBorder="1" applyAlignment="1" applyProtection="1">
      <alignment horizontal="left" vertical="center" wrapText="1" indent="6"/>
      <protection locked="0"/>
    </xf>
    <xf numFmtId="0" fontId="24" fillId="2" borderId="15" xfId="0" applyFont="1" applyFill="1" applyBorder="1" applyAlignment="1" applyProtection="1">
      <alignment horizontal="left" vertical="center"/>
      <protection locked="0"/>
    </xf>
    <xf numFmtId="0" fontId="24" fillId="2" borderId="16" xfId="0" applyFont="1" applyFill="1" applyBorder="1" applyAlignment="1" applyProtection="1">
      <alignment horizontal="left" vertical="center"/>
      <protection locked="0"/>
    </xf>
    <xf numFmtId="0" fontId="24" fillId="2" borderId="17" xfId="0" applyFont="1" applyFill="1" applyBorder="1" applyAlignment="1" applyProtection="1">
      <alignment horizontal="left" vertical="center"/>
      <protection locked="0"/>
    </xf>
    <xf numFmtId="0" fontId="24" fillId="2" borderId="15" xfId="0" applyFont="1" applyFill="1" applyBorder="1" applyAlignment="1" applyProtection="1">
      <alignment horizontal="left" vertical="center" wrapText="1"/>
      <protection locked="0"/>
    </xf>
    <xf numFmtId="0" fontId="24" fillId="2" borderId="16" xfId="0" applyFont="1" applyFill="1" applyBorder="1" applyAlignment="1" applyProtection="1">
      <alignment horizontal="left" vertical="center" wrapText="1"/>
      <protection locked="0"/>
    </xf>
    <xf numFmtId="0" fontId="24" fillId="2" borderId="17" xfId="0" applyFont="1" applyFill="1" applyBorder="1" applyAlignment="1" applyProtection="1">
      <alignment horizontal="left" vertical="center" wrapText="1"/>
      <protection locked="0"/>
    </xf>
    <xf numFmtId="1" fontId="17" fillId="0" borderId="28" xfId="0" applyNumberFormat="1" applyFont="1" applyBorder="1" applyAlignment="1" applyProtection="1">
      <alignment horizontal="left" vertical="center" wrapText="1" indent="1"/>
      <protection locked="0"/>
    </xf>
    <xf numFmtId="1" fontId="17" fillId="0" borderId="27" xfId="0" applyNumberFormat="1" applyFont="1" applyBorder="1" applyAlignment="1" applyProtection="1">
      <alignment horizontal="left" vertical="center" wrapText="1" indent="1"/>
      <protection locked="0"/>
    </xf>
    <xf numFmtId="1" fontId="17" fillId="0" borderId="28" xfId="0" applyNumberFormat="1" applyFont="1" applyBorder="1" applyAlignment="1" applyProtection="1">
      <alignment horizontal="center" vertical="center" wrapText="1"/>
      <protection locked="0"/>
    </xf>
    <xf numFmtId="1" fontId="17" fillId="0" borderId="27" xfId="0" applyNumberFormat="1" applyFont="1" applyBorder="1" applyAlignment="1" applyProtection="1">
      <alignment horizontal="center" vertical="center" wrapText="1"/>
      <protection locked="0"/>
    </xf>
    <xf numFmtId="166" fontId="39" fillId="6" borderId="22" xfId="7" applyNumberFormat="1" applyFont="1" applyFill="1" applyBorder="1" applyAlignment="1">
      <alignment horizontal="center" vertical="center"/>
    </xf>
    <xf numFmtId="166" fontId="39" fillId="6" borderId="14" xfId="7" applyNumberFormat="1" applyFont="1" applyFill="1" applyBorder="1" applyAlignment="1">
      <alignment horizontal="center" vertical="center"/>
    </xf>
    <xf numFmtId="0" fontId="36" fillId="20" borderId="6" xfId="0" applyFont="1" applyFill="1" applyBorder="1" applyAlignment="1">
      <alignment horizontal="center" vertical="center"/>
    </xf>
    <xf numFmtId="0" fontId="41" fillId="21" borderId="6" xfId="0" applyFont="1" applyFill="1" applyBorder="1" applyAlignment="1">
      <alignment horizontal="center" vertical="center"/>
    </xf>
    <xf numFmtId="164" fontId="18" fillId="21" borderId="19" xfId="1" applyFont="1" applyFill="1" applyBorder="1" applyAlignment="1">
      <alignment horizontal="center" vertical="center"/>
    </xf>
    <xf numFmtId="164" fontId="18" fillId="21" borderId="21" xfId="1" applyFont="1" applyFill="1" applyBorder="1" applyAlignment="1">
      <alignment horizontal="center" vertical="center"/>
    </xf>
    <xf numFmtId="164" fontId="18" fillId="21" borderId="20" xfId="1" applyFont="1" applyFill="1" applyBorder="1" applyAlignment="1">
      <alignment horizontal="center" vertical="center"/>
    </xf>
    <xf numFmtId="164" fontId="18" fillId="21" borderId="25" xfId="1" applyFont="1" applyFill="1" applyBorder="1" applyAlignment="1">
      <alignment horizontal="center" vertical="center"/>
    </xf>
    <xf numFmtId="167" fontId="14" fillId="0" borderId="6" xfId="0" applyNumberFormat="1" applyFont="1" applyBorder="1" applyAlignment="1" applyProtection="1">
      <alignment horizontal="center" vertical="center"/>
      <protection locked="0"/>
    </xf>
    <xf numFmtId="0" fontId="37" fillId="9" borderId="31" xfId="0" applyFont="1" applyFill="1" applyBorder="1" applyAlignment="1">
      <alignment horizontal="center" vertical="center"/>
    </xf>
    <xf numFmtId="0" fontId="37" fillId="9" borderId="21" xfId="0" applyFont="1" applyFill="1" applyBorder="1" applyAlignment="1">
      <alignment horizontal="center" vertical="center"/>
    </xf>
    <xf numFmtId="0" fontId="37" fillId="9" borderId="32" xfId="0" applyFont="1" applyFill="1" applyBorder="1" applyAlignment="1">
      <alignment horizontal="center" vertical="center"/>
    </xf>
    <xf numFmtId="0" fontId="37" fillId="9" borderId="25" xfId="0" applyFont="1" applyFill="1" applyBorder="1" applyAlignment="1">
      <alignment horizontal="center" vertical="center"/>
    </xf>
    <xf numFmtId="0" fontId="40" fillId="2" borderId="26" xfId="0" applyFont="1" applyFill="1" applyBorder="1" applyAlignment="1">
      <alignment horizontal="center" vertical="center" wrapText="1"/>
    </xf>
    <xf numFmtId="0" fontId="40" fillId="2" borderId="29" xfId="0" applyFont="1" applyFill="1" applyBorder="1" applyAlignment="1">
      <alignment horizontal="center" vertical="center" wrapText="1"/>
    </xf>
    <xf numFmtId="0" fontId="40" fillId="2" borderId="7" xfId="0" applyFont="1" applyFill="1" applyBorder="1" applyAlignment="1">
      <alignment horizontal="center" vertical="center" wrapText="1"/>
    </xf>
    <xf numFmtId="1" fontId="17" fillId="12" borderId="28" xfId="0" applyNumberFormat="1" applyFont="1" applyFill="1" applyBorder="1" applyAlignment="1" applyProtection="1">
      <alignment horizontal="center" vertical="center" wrapText="1"/>
      <protection locked="0"/>
    </xf>
    <xf numFmtId="1" fontId="17" fillId="12" borderId="27" xfId="0" applyNumberFormat="1" applyFont="1" applyFill="1" applyBorder="1" applyAlignment="1" applyProtection="1">
      <alignment horizontal="center" vertical="center" wrapText="1"/>
      <protection locked="0"/>
    </xf>
    <xf numFmtId="1" fontId="17" fillId="8" borderId="28" xfId="0" applyNumberFormat="1" applyFont="1" applyFill="1" applyBorder="1" applyAlignment="1" applyProtection="1">
      <alignment horizontal="center" vertical="center" wrapText="1"/>
      <protection locked="0"/>
    </xf>
    <xf numFmtId="1" fontId="17" fillId="8" borderId="27" xfId="0" applyNumberFormat="1" applyFont="1" applyFill="1" applyBorder="1" applyAlignment="1" applyProtection="1">
      <alignment horizontal="center" vertical="center" wrapText="1"/>
      <protection locked="0"/>
    </xf>
    <xf numFmtId="1" fontId="17" fillId="12" borderId="29" xfId="0" applyNumberFormat="1" applyFont="1" applyFill="1" applyBorder="1" applyAlignment="1" applyProtection="1">
      <alignment horizontal="center" vertical="center" wrapText="1"/>
      <protection locked="0"/>
    </xf>
    <xf numFmtId="1" fontId="17" fillId="12" borderId="26" xfId="0" applyNumberFormat="1" applyFont="1" applyFill="1" applyBorder="1" applyAlignment="1" applyProtection="1">
      <alignment horizontal="center" vertical="center" wrapText="1"/>
      <protection locked="0"/>
    </xf>
    <xf numFmtId="1" fontId="0" fillId="0" borderId="0" xfId="0" applyNumberFormat="1"/>
    <xf numFmtId="1" fontId="0" fillId="0" borderId="29" xfId="0" applyNumberFormat="1" applyFill="1" applyBorder="1" applyAlignment="1">
      <alignment horizontal="center" vertical="center" readingOrder="1"/>
    </xf>
  </cellXfs>
  <cellStyles count="8">
    <cellStyle name="Köprü" xfId="2" builtinId="8"/>
    <cellStyle name="Normal" xfId="0" builtinId="0"/>
    <cellStyle name="Normal 2" xfId="5" xr:uid="{00000000-0005-0000-0000-000002000000}"/>
    <cellStyle name="Normal 3" xfId="3" xr:uid="{00000000-0005-0000-0000-000003000000}"/>
    <cellStyle name="Normal 5" xfId="4" xr:uid="{00000000-0005-0000-0000-000004000000}"/>
    <cellStyle name="Virgül" xfId="1" builtinId="3"/>
    <cellStyle name="Virgül 2" xfId="6" xr:uid="{6D74195F-23E6-49F9-BC4E-682C393480E1}"/>
    <cellStyle name="Yüzde" xfId="7" builtinId="5"/>
  </cellStyles>
  <dxfs count="156"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ill>
        <patternFill>
          <bgColor rgb="FFEA0000"/>
        </patternFill>
      </fill>
    </dxf>
  </dxfs>
  <tableStyles count="0" defaultTableStyle="TableStyleMedium9" defaultPivotStyle="PivotStyleLight16"/>
  <colors>
    <mruColors>
      <color rgb="FFEA0000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cid:image274457.png@5F2517E7.A1053435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B4DA0092-67D0-46B9-BF56-9F7DF04BF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4525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9BD6BBD0-FFF4-4CD3-9938-D96EB9550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FC06F522-A896-4386-A97C-C658344BA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E4B9B32F-0F6F-47F3-8AB3-2B6AFEA14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F0C1B961-961D-42A9-9BA0-5C09EA9DC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E7DFB8CC-5905-47E6-8397-176CFB1C4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A370D63B-2393-4587-8617-3F71C126D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D4057E10-D7ED-4646-8AEC-C634377A6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A13C1402-9045-47D5-83BB-32A208343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35676B42-87CA-4F86-9EBF-1EE73A6B2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B6E7BD5C-ED9E-41CA-8BE2-257D3D6CD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E29C5AD7-DF85-4D6A-BFD5-BA89718B2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C7AC87AA-4E3D-48F7-B460-6FED1C082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EEAE6E3A-C307-4D8F-B6C3-5891274C2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B86173EF-9498-4986-9A8D-1CDCD8B36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6FB8A8F-CCE3-4726-968F-64F8C9354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DD563356-69D4-49FC-9D75-9C721F733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4708F5C9-C23D-4925-AE87-3CBD6689A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5D4211AF-8532-4718-9017-976B24907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DFECC5A9-3F11-4F30-8D61-84EA2D212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D09A1536-E422-4281-9A0E-4306B1A6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A67A4D2F-BB7A-4905-AA87-268E97F5D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4EFE9786-E1A8-4122-9593-733FC62A5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C143AD24-900F-4D71-A28A-B102664DF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4B91981E-F2F2-4938-A8A4-DBB430069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D62A6E2D-C62F-4024-958E-2AEB35180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B8A3A8C3-B4F2-4D2C-B507-CA23A6C0B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FB42B7D4-212D-4F77-8DB7-5530938D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8BCD7318-2065-49D6-98CC-4C3E2265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45FB2D6-2E94-4D59-9FD8-3C723FA66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0</xdr:row>
      <xdr:rowOff>38100</xdr:rowOff>
    </xdr:from>
    <xdr:to>
      <xdr:col>2</xdr:col>
      <xdr:colOff>2343150</xdr:colOff>
      <xdr:row>1</xdr:row>
      <xdr:rowOff>133350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4C80AEC6-1C3A-4476-93EA-8C0F2E8F0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350" y="38100"/>
          <a:ext cx="1714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6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18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1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0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4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6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2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28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29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30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ayfa33"/>
  <dimension ref="A1:G1619"/>
  <sheetViews>
    <sheetView topLeftCell="A1212" workbookViewId="0">
      <selection activeCell="A1213" sqref="A1213"/>
    </sheetView>
  </sheetViews>
  <sheetFormatPr defaultRowHeight="12.5" x14ac:dyDescent="0.25"/>
  <cols>
    <col min="1" max="1" width="28.1796875" style="42" customWidth="1"/>
    <col min="2" max="2" width="51.54296875" style="7" bestFit="1" customWidth="1"/>
    <col min="3" max="3" width="11.54296875" style="42" customWidth="1"/>
    <col min="4" max="4" width="11.54296875" customWidth="1"/>
    <col min="5" max="5" width="28.1796875" customWidth="1"/>
    <col min="7" max="7" width="13.453125" customWidth="1"/>
    <col min="9" max="9" width="11.1796875" bestFit="1" customWidth="1"/>
  </cols>
  <sheetData>
    <row r="1" spans="1:7" s="6" customFormat="1" ht="33.75" customHeight="1" x14ac:dyDescent="0.35">
      <c r="A1" s="30" t="s">
        <v>0</v>
      </c>
      <c r="B1" s="30" t="s">
        <v>14</v>
      </c>
      <c r="C1" s="40" t="s">
        <v>300</v>
      </c>
      <c r="D1" s="31"/>
      <c r="E1" s="32" t="s">
        <v>6</v>
      </c>
    </row>
    <row r="2" spans="1:7" ht="14.5" x14ac:dyDescent="0.35">
      <c r="A2" s="107" t="s">
        <v>3439</v>
      </c>
      <c r="B2" s="73" t="e">
        <f>VLOOKUP(A2,SÜRELER!A:B,2,0)</f>
        <v>#N/A</v>
      </c>
      <c r="C2" s="57">
        <v>10</v>
      </c>
      <c r="D2" s="58"/>
      <c r="E2" s="59"/>
      <c r="F2">
        <v>1500600</v>
      </c>
      <c r="G2" t="str">
        <f>CONCATENATE($F$2,A2,)</f>
        <v>1500600150060073</v>
      </c>
    </row>
    <row r="3" spans="1:7" ht="14.5" x14ac:dyDescent="0.35">
      <c r="A3" s="107" t="s">
        <v>3440</v>
      </c>
      <c r="B3" s="73" t="e">
        <f>VLOOKUP(A3,SÜRELER!A:B,2,0)</f>
        <v>#N/A</v>
      </c>
      <c r="C3" s="57">
        <v>10</v>
      </c>
      <c r="D3" s="58"/>
      <c r="E3" s="59"/>
      <c r="G3" t="str">
        <f t="shared" ref="G3:G21" si="0">CONCATENATE($F$2,A3,)</f>
        <v>1500600150060074</v>
      </c>
    </row>
    <row r="4" spans="1:7" ht="14.5" x14ac:dyDescent="0.35">
      <c r="A4" s="107" t="s">
        <v>3441</v>
      </c>
      <c r="B4" s="73" t="e">
        <f>VLOOKUP(A4,SÜRELER!A:B,2,0)</f>
        <v>#N/A</v>
      </c>
      <c r="C4" s="57">
        <v>10</v>
      </c>
      <c r="D4" s="58"/>
      <c r="E4" s="59"/>
      <c r="G4" t="str">
        <f t="shared" si="0"/>
        <v>1500600150060075</v>
      </c>
    </row>
    <row r="5" spans="1:7" ht="14.5" x14ac:dyDescent="0.35">
      <c r="A5" s="107" t="s">
        <v>3442</v>
      </c>
      <c r="B5" s="73" t="e">
        <f>VLOOKUP(A5,SÜRELER!A:B,2,0)</f>
        <v>#N/A</v>
      </c>
      <c r="C5" s="57">
        <v>10</v>
      </c>
      <c r="D5" s="58"/>
      <c r="E5" s="59"/>
      <c r="G5" t="str">
        <f t="shared" si="0"/>
        <v>1500600150060076</v>
      </c>
    </row>
    <row r="6" spans="1:7" ht="14.5" x14ac:dyDescent="0.35">
      <c r="A6" s="107" t="s">
        <v>3443</v>
      </c>
      <c r="B6" s="73" t="e">
        <f>VLOOKUP(A6,SÜRELER!A:B,2,0)</f>
        <v>#N/A</v>
      </c>
      <c r="C6" s="57">
        <v>10</v>
      </c>
      <c r="D6" s="58"/>
      <c r="E6" s="59"/>
      <c r="G6" t="str">
        <f t="shared" si="0"/>
        <v>1500600150060077</v>
      </c>
    </row>
    <row r="7" spans="1:7" ht="14.5" x14ac:dyDescent="0.35">
      <c r="A7" s="107" t="s">
        <v>3444</v>
      </c>
      <c r="B7" s="73" t="e">
        <f>VLOOKUP(A7,SÜRELER!A:B,2,0)</f>
        <v>#N/A</v>
      </c>
      <c r="C7" s="57">
        <v>10</v>
      </c>
      <c r="D7" s="58"/>
      <c r="E7" s="59"/>
      <c r="G7" t="str">
        <f t="shared" si="0"/>
        <v>1500600150060078</v>
      </c>
    </row>
    <row r="8" spans="1:7" ht="14.5" x14ac:dyDescent="0.35">
      <c r="A8" s="107" t="s">
        <v>3445</v>
      </c>
      <c r="B8" s="73" t="e">
        <f>VLOOKUP(A8,SÜRELER!A:B,2,0)</f>
        <v>#N/A</v>
      </c>
      <c r="C8" s="57">
        <v>10</v>
      </c>
      <c r="D8" s="58"/>
      <c r="E8" s="59"/>
      <c r="G8" t="str">
        <f t="shared" si="0"/>
        <v>1500600150060079</v>
      </c>
    </row>
    <row r="9" spans="1:7" ht="14.5" x14ac:dyDescent="0.35">
      <c r="A9" s="107" t="s">
        <v>3446</v>
      </c>
      <c r="B9" s="73" t="e">
        <f>VLOOKUP(A9,SÜRELER!A:B,2,0)</f>
        <v>#N/A</v>
      </c>
      <c r="C9" s="57">
        <v>10</v>
      </c>
      <c r="D9" s="58"/>
      <c r="E9" s="59"/>
      <c r="G9" t="str">
        <f t="shared" si="0"/>
        <v>1500600150060080</v>
      </c>
    </row>
    <row r="10" spans="1:7" ht="14.5" x14ac:dyDescent="0.35">
      <c r="A10" s="107" t="s">
        <v>3447</v>
      </c>
      <c r="B10" s="73" t="e">
        <f>VLOOKUP(A10,SÜRELER!A:B,2,0)</f>
        <v>#N/A</v>
      </c>
      <c r="C10" s="57">
        <v>10</v>
      </c>
      <c r="D10" s="58"/>
      <c r="E10" s="59"/>
      <c r="G10" t="str">
        <f t="shared" si="0"/>
        <v>1500600150060081</v>
      </c>
    </row>
    <row r="11" spans="1:7" ht="14.5" x14ac:dyDescent="0.35">
      <c r="A11" s="107" t="s">
        <v>3448</v>
      </c>
      <c r="B11" s="73" t="e">
        <f>VLOOKUP(A11,SÜRELER!A:B,2,0)</f>
        <v>#N/A</v>
      </c>
      <c r="C11" s="57">
        <v>10</v>
      </c>
      <c r="D11" s="58"/>
      <c r="E11" s="59"/>
      <c r="G11" t="str">
        <f t="shared" si="0"/>
        <v>1500600150060082</v>
      </c>
    </row>
    <row r="12" spans="1:7" ht="14.5" x14ac:dyDescent="0.35">
      <c r="A12" s="107" t="s">
        <v>3449</v>
      </c>
      <c r="B12" s="73" t="e">
        <f>VLOOKUP(A12,SÜRELER!A:B,2,0)</f>
        <v>#N/A</v>
      </c>
      <c r="C12" s="57">
        <v>10</v>
      </c>
      <c r="D12" s="58"/>
      <c r="E12" s="59"/>
      <c r="G12" t="str">
        <f t="shared" si="0"/>
        <v>1500600150060083</v>
      </c>
    </row>
    <row r="13" spans="1:7" ht="14.5" x14ac:dyDescent="0.35">
      <c r="A13" s="107" t="s">
        <v>3450</v>
      </c>
      <c r="B13" s="73" t="e">
        <f>VLOOKUP(A13,SÜRELER!A:B,2,0)</f>
        <v>#N/A</v>
      </c>
      <c r="C13" s="57">
        <v>10</v>
      </c>
      <c r="D13" s="58"/>
      <c r="E13" s="59"/>
      <c r="G13" t="str">
        <f t="shared" si="0"/>
        <v>1500600150060084</v>
      </c>
    </row>
    <row r="14" spans="1:7" ht="14.5" x14ac:dyDescent="0.35">
      <c r="A14" s="107" t="s">
        <v>3451</v>
      </c>
      <c r="B14" s="73" t="e">
        <f>VLOOKUP(A14,SÜRELER!A:B,2,0)</f>
        <v>#N/A</v>
      </c>
      <c r="C14" s="57">
        <v>10</v>
      </c>
      <c r="D14" s="58"/>
      <c r="E14" s="59"/>
      <c r="G14" t="str">
        <f t="shared" si="0"/>
        <v>1500600150060085</v>
      </c>
    </row>
    <row r="15" spans="1:7" ht="14.5" x14ac:dyDescent="0.35">
      <c r="A15" s="107" t="s">
        <v>3452</v>
      </c>
      <c r="B15" s="73" t="e">
        <f>VLOOKUP(A15,SÜRELER!A:B,2,0)</f>
        <v>#N/A</v>
      </c>
      <c r="C15" s="57">
        <v>10</v>
      </c>
      <c r="D15" s="58"/>
      <c r="E15" s="59"/>
      <c r="G15" t="str">
        <f t="shared" si="0"/>
        <v>1500600150060086</v>
      </c>
    </row>
    <row r="16" spans="1:7" ht="14.5" x14ac:dyDescent="0.35">
      <c r="A16" s="107" t="s">
        <v>3453</v>
      </c>
      <c r="B16" s="73" t="e">
        <f>VLOOKUP(A16,SÜRELER!A:B,2,0)</f>
        <v>#N/A</v>
      </c>
      <c r="C16" s="57">
        <v>10</v>
      </c>
      <c r="D16" s="58"/>
      <c r="E16" s="59"/>
      <c r="G16" t="str">
        <f t="shared" si="0"/>
        <v>1500600150060087</v>
      </c>
    </row>
    <row r="17" spans="1:7" ht="14.5" x14ac:dyDescent="0.35">
      <c r="A17" s="107" t="s">
        <v>3454</v>
      </c>
      <c r="B17" s="73" t="e">
        <f>VLOOKUP(A17,SÜRELER!A:B,2,0)</f>
        <v>#N/A</v>
      </c>
      <c r="C17" s="57">
        <v>10</v>
      </c>
      <c r="D17" s="58"/>
      <c r="E17" s="59"/>
      <c r="G17" t="str">
        <f t="shared" si="0"/>
        <v>1500600150060088</v>
      </c>
    </row>
    <row r="18" spans="1:7" ht="14.5" x14ac:dyDescent="0.35">
      <c r="A18" s="107" t="s">
        <v>3455</v>
      </c>
      <c r="B18" s="73" t="e">
        <f>VLOOKUP(A18,SÜRELER!A:B,2,0)</f>
        <v>#N/A</v>
      </c>
      <c r="C18" s="57">
        <v>10</v>
      </c>
      <c r="D18" s="58"/>
      <c r="E18" s="59"/>
      <c r="G18" t="str">
        <f t="shared" si="0"/>
        <v>1500600150060089</v>
      </c>
    </row>
    <row r="19" spans="1:7" ht="14.5" x14ac:dyDescent="0.35">
      <c r="A19" s="107" t="s">
        <v>3456</v>
      </c>
      <c r="B19" s="73" t="e">
        <f>VLOOKUP(A19,SÜRELER!A:B,2,0)</f>
        <v>#N/A</v>
      </c>
      <c r="C19" s="57">
        <v>10</v>
      </c>
      <c r="D19" s="58"/>
      <c r="E19" s="59"/>
      <c r="G19" t="str">
        <f t="shared" si="0"/>
        <v>1500600150060090</v>
      </c>
    </row>
    <row r="20" spans="1:7" ht="14.5" x14ac:dyDescent="0.35">
      <c r="A20" s="107" t="s">
        <v>3457</v>
      </c>
      <c r="B20" s="73" t="e">
        <f>VLOOKUP(A20,SÜRELER!A:B,2,0)</f>
        <v>#N/A</v>
      </c>
      <c r="C20" s="57">
        <v>10</v>
      </c>
      <c r="D20" s="58"/>
      <c r="E20" s="59"/>
      <c r="G20" t="str">
        <f t="shared" si="0"/>
        <v>1500600150060091</v>
      </c>
    </row>
    <row r="21" spans="1:7" ht="14.5" x14ac:dyDescent="0.35">
      <c r="A21" s="107" t="s">
        <v>3458</v>
      </c>
      <c r="B21" s="73" t="e">
        <f>VLOOKUP(A21,SÜRELER!A:B,2,0)</f>
        <v>#N/A</v>
      </c>
      <c r="C21" s="57">
        <v>10</v>
      </c>
      <c r="D21" s="58"/>
      <c r="E21" s="59"/>
      <c r="G21" t="str">
        <f t="shared" si="0"/>
        <v>1500600150060092</v>
      </c>
    </row>
    <row r="22" spans="1:7" ht="14.5" x14ac:dyDescent="0.35">
      <c r="A22" s="107" t="s">
        <v>3459</v>
      </c>
      <c r="B22" s="73" t="e">
        <f>VLOOKUP(A22,SÜRELER!A:B,2,0)</f>
        <v>#N/A</v>
      </c>
      <c r="C22" s="57">
        <v>10</v>
      </c>
      <c r="D22" s="58"/>
      <c r="E22" s="59"/>
      <c r="G22" t="str">
        <f>CONCATENATE($F$2,A22,)</f>
        <v>1500600150060093</v>
      </c>
    </row>
    <row r="23" spans="1:7" ht="14.5" x14ac:dyDescent="0.35">
      <c r="A23" s="107" t="s">
        <v>3460</v>
      </c>
      <c r="B23" s="73" t="e">
        <f>VLOOKUP(A23,SÜRELER!A:B,2,0)</f>
        <v>#N/A</v>
      </c>
      <c r="C23" s="43">
        <v>10</v>
      </c>
      <c r="D23" s="44"/>
      <c r="E23" s="45"/>
      <c r="F23">
        <v>150060</v>
      </c>
      <c r="G23" t="str">
        <f>CONCATENATE($F$23,A23,)</f>
        <v>150060150060140</v>
      </c>
    </row>
    <row r="24" spans="1:7" ht="14.5" x14ac:dyDescent="0.35">
      <c r="A24" s="107" t="s">
        <v>3461</v>
      </c>
      <c r="B24" s="73" t="e">
        <f>VLOOKUP(A24,SÜRELER!A:B,2,0)</f>
        <v>#N/A</v>
      </c>
      <c r="C24" s="33">
        <v>10</v>
      </c>
      <c r="D24" s="34"/>
      <c r="E24" s="35"/>
      <c r="G24" t="str">
        <f t="shared" ref="G24:G87" si="1">CONCATENATE($F$23,A24,)</f>
        <v>150060150060150</v>
      </c>
    </row>
    <row r="25" spans="1:7" ht="14.5" x14ac:dyDescent="0.35">
      <c r="A25" s="107" t="s">
        <v>3462</v>
      </c>
      <c r="B25" s="73" t="e">
        <f>VLOOKUP(A25,SÜRELER!A:B,2,0)</f>
        <v>#N/A</v>
      </c>
      <c r="C25" s="43">
        <v>10</v>
      </c>
      <c r="D25" s="44"/>
      <c r="E25" s="45"/>
      <c r="G25" t="str">
        <f t="shared" si="1"/>
        <v>150060150060162</v>
      </c>
    </row>
    <row r="26" spans="1:7" ht="14.5" x14ac:dyDescent="0.35">
      <c r="A26" s="107" t="s">
        <v>3463</v>
      </c>
      <c r="B26" s="73" t="e">
        <f>VLOOKUP(A26,SÜRELER!A:B,2,0)</f>
        <v>#N/A</v>
      </c>
      <c r="C26" s="33">
        <v>8</v>
      </c>
      <c r="D26" s="34"/>
      <c r="E26" s="35"/>
      <c r="G26" t="str">
        <f t="shared" si="1"/>
        <v>150060150060163</v>
      </c>
    </row>
    <row r="27" spans="1:7" ht="14.5" x14ac:dyDescent="0.35">
      <c r="A27" s="107" t="s">
        <v>3464</v>
      </c>
      <c r="B27" s="73" t="e">
        <f>VLOOKUP(A27,SÜRELER!A:B,2,0)</f>
        <v>#N/A</v>
      </c>
      <c r="C27" s="33">
        <v>8</v>
      </c>
      <c r="D27" s="34"/>
      <c r="E27" s="35"/>
      <c r="G27" t="str">
        <f t="shared" si="1"/>
        <v>150060150060166</v>
      </c>
    </row>
    <row r="28" spans="1:7" ht="14.5" x14ac:dyDescent="0.35">
      <c r="A28" s="107" t="s">
        <v>3465</v>
      </c>
      <c r="B28" s="73" t="e">
        <f>VLOOKUP(A28,SÜRELER!A:B,2,0)</f>
        <v>#N/A</v>
      </c>
      <c r="C28" s="43">
        <v>8</v>
      </c>
      <c r="D28" s="44"/>
      <c r="E28" s="45"/>
      <c r="G28" t="str">
        <f t="shared" si="1"/>
        <v>150060150060170</v>
      </c>
    </row>
    <row r="29" spans="1:7" ht="14.5" x14ac:dyDescent="0.35">
      <c r="A29" s="107" t="s">
        <v>3466</v>
      </c>
      <c r="B29" s="73" t="e">
        <f>VLOOKUP(A29,SÜRELER!A:B,2,0)</f>
        <v>#N/A</v>
      </c>
      <c r="C29" s="33">
        <v>10</v>
      </c>
      <c r="D29" s="34"/>
      <c r="E29" s="35"/>
      <c r="G29" t="str">
        <f t="shared" si="1"/>
        <v>150060150060175</v>
      </c>
    </row>
    <row r="30" spans="1:7" ht="14.5" x14ac:dyDescent="0.35">
      <c r="A30" s="107">
        <v>150160175</v>
      </c>
      <c r="B30" s="73" t="e">
        <f>VLOOKUP(A30,SÜRELER!A:B,2,0)</f>
        <v>#N/A</v>
      </c>
      <c r="C30" s="33">
        <v>0</v>
      </c>
      <c r="D30" s="34"/>
      <c r="E30" s="35"/>
      <c r="G30" t="str">
        <f t="shared" si="1"/>
        <v>150060150160175</v>
      </c>
    </row>
    <row r="31" spans="1:7" ht="14.5" x14ac:dyDescent="0.35">
      <c r="A31" s="107" t="s">
        <v>3467</v>
      </c>
      <c r="B31" s="73" t="e">
        <f>VLOOKUP(A31,SÜRELER!A:B,2,0)</f>
        <v>#N/A</v>
      </c>
      <c r="C31" s="43">
        <v>10</v>
      </c>
      <c r="D31" s="44"/>
      <c r="E31" s="45"/>
      <c r="G31" t="str">
        <f t="shared" si="1"/>
        <v>150060150060176</v>
      </c>
    </row>
    <row r="32" spans="1:7" ht="14.5" x14ac:dyDescent="0.35">
      <c r="A32" s="107" t="s">
        <v>3468</v>
      </c>
      <c r="B32" s="73" t="e">
        <f>VLOOKUP(A32,SÜRELER!A:B,2,0)</f>
        <v>#N/A</v>
      </c>
      <c r="C32" s="43">
        <v>10</v>
      </c>
      <c r="D32" s="44"/>
      <c r="E32" s="45"/>
      <c r="G32" t="str">
        <f t="shared" si="1"/>
        <v>150060150060200</v>
      </c>
    </row>
    <row r="33" spans="1:7" ht="14.5" x14ac:dyDescent="0.35">
      <c r="A33" s="107" t="s">
        <v>3469</v>
      </c>
      <c r="B33" s="73" t="e">
        <f>VLOOKUP(A33,SÜRELER!A:B,2,0)</f>
        <v>#N/A</v>
      </c>
      <c r="C33" s="43">
        <v>10</v>
      </c>
      <c r="D33" s="44"/>
      <c r="E33" s="45"/>
      <c r="G33" t="str">
        <f t="shared" si="1"/>
        <v>150060150060201</v>
      </c>
    </row>
    <row r="34" spans="1:7" ht="14.5" x14ac:dyDescent="0.35">
      <c r="A34" s="107" t="s">
        <v>3470</v>
      </c>
      <c r="B34" s="73" t="e">
        <f>VLOOKUP(A34,SÜRELER!A:B,2,0)</f>
        <v>#N/A</v>
      </c>
      <c r="C34" s="43">
        <v>10</v>
      </c>
      <c r="D34" s="44"/>
      <c r="E34" s="45"/>
      <c r="G34" t="str">
        <f t="shared" si="1"/>
        <v>150060150060202</v>
      </c>
    </row>
    <row r="35" spans="1:7" ht="14.5" x14ac:dyDescent="0.35">
      <c r="A35" s="107" t="s">
        <v>3471</v>
      </c>
      <c r="B35" s="73" t="e">
        <f>VLOOKUP(A35,SÜRELER!A:B,2,0)</f>
        <v>#N/A</v>
      </c>
      <c r="C35" s="43">
        <v>10</v>
      </c>
      <c r="D35" s="44"/>
      <c r="E35" s="45"/>
      <c r="G35" t="str">
        <f t="shared" si="1"/>
        <v>150060150060203</v>
      </c>
    </row>
    <row r="36" spans="1:7" ht="14.5" x14ac:dyDescent="0.35">
      <c r="A36" s="107" t="s">
        <v>3472</v>
      </c>
      <c r="B36" s="73" t="e">
        <f>VLOOKUP(A36,SÜRELER!A:B,2,0)</f>
        <v>#N/A</v>
      </c>
      <c r="C36" s="43">
        <v>10</v>
      </c>
      <c r="D36" s="44"/>
      <c r="E36" s="45"/>
      <c r="G36" t="str">
        <f t="shared" si="1"/>
        <v>150060150060204</v>
      </c>
    </row>
    <row r="37" spans="1:7" ht="14.5" x14ac:dyDescent="0.35">
      <c r="A37" s="107" t="s">
        <v>3473</v>
      </c>
      <c r="B37" s="73" t="e">
        <f>VLOOKUP(A37,SÜRELER!A:B,2,0)</f>
        <v>#N/A</v>
      </c>
      <c r="C37" s="43">
        <v>10</v>
      </c>
      <c r="D37" s="44"/>
      <c r="E37" s="45"/>
      <c r="G37" t="str">
        <f t="shared" si="1"/>
        <v>150060150060205</v>
      </c>
    </row>
    <row r="38" spans="1:7" ht="14.5" x14ac:dyDescent="0.35">
      <c r="A38" s="107" t="s">
        <v>3474</v>
      </c>
      <c r="B38" s="73" t="e">
        <f>VLOOKUP(A38,SÜRELER!A:B,2,0)</f>
        <v>#N/A</v>
      </c>
      <c r="C38" s="43">
        <v>10</v>
      </c>
      <c r="D38" s="44"/>
      <c r="E38" s="45"/>
      <c r="G38" t="str">
        <f t="shared" si="1"/>
        <v>150060150060206</v>
      </c>
    </row>
    <row r="39" spans="1:7" ht="14.5" x14ac:dyDescent="0.35">
      <c r="A39" s="107" t="s">
        <v>3475</v>
      </c>
      <c r="B39" s="73" t="e">
        <f>VLOOKUP(A39,SÜRELER!A:B,2,0)</f>
        <v>#N/A</v>
      </c>
      <c r="C39" s="43">
        <v>10</v>
      </c>
      <c r="D39" s="44"/>
      <c r="E39" s="45"/>
      <c r="G39" t="str">
        <f t="shared" si="1"/>
        <v>150060150060246</v>
      </c>
    </row>
    <row r="40" spans="1:7" ht="14.5" x14ac:dyDescent="0.35">
      <c r="A40" s="107" t="s">
        <v>3476</v>
      </c>
      <c r="B40" s="73" t="e">
        <f>VLOOKUP(A40,SÜRELER!A:B,2,0)</f>
        <v>#N/A</v>
      </c>
      <c r="C40" s="43">
        <v>10</v>
      </c>
      <c r="D40" s="44"/>
      <c r="E40" s="45"/>
      <c r="G40" t="str">
        <f t="shared" si="1"/>
        <v>150060150060247</v>
      </c>
    </row>
    <row r="41" spans="1:7" ht="14.5" x14ac:dyDescent="0.35">
      <c r="A41" s="107" t="s">
        <v>3477</v>
      </c>
      <c r="B41" s="73" t="e">
        <f>VLOOKUP(A41,SÜRELER!A:B,2,0)</f>
        <v>#N/A</v>
      </c>
      <c r="C41" s="43">
        <v>10</v>
      </c>
      <c r="D41" s="44"/>
      <c r="E41" s="45"/>
      <c r="G41" t="str">
        <f t="shared" si="1"/>
        <v>150060150060248</v>
      </c>
    </row>
    <row r="42" spans="1:7" ht="14.5" x14ac:dyDescent="0.35">
      <c r="A42" s="107" t="s">
        <v>3478</v>
      </c>
      <c r="B42" s="73" t="e">
        <f>VLOOKUP(A42,SÜRELER!A:B,2,0)</f>
        <v>#N/A</v>
      </c>
      <c r="C42" s="43">
        <v>10</v>
      </c>
      <c r="D42" s="44"/>
      <c r="E42" s="45"/>
      <c r="G42" t="str">
        <f t="shared" si="1"/>
        <v>150060150060249</v>
      </c>
    </row>
    <row r="43" spans="1:7" ht="14.5" x14ac:dyDescent="0.35">
      <c r="A43" s="107" t="s">
        <v>3479</v>
      </c>
      <c r="B43" s="73" t="e">
        <f>VLOOKUP(A43,SÜRELER!A:B,2,0)</f>
        <v>#N/A</v>
      </c>
      <c r="C43" s="33">
        <v>10</v>
      </c>
      <c r="D43" s="34"/>
      <c r="E43" s="35" t="s">
        <v>303</v>
      </c>
      <c r="G43" t="str">
        <f t="shared" si="1"/>
        <v>150060150060250</v>
      </c>
    </row>
    <row r="44" spans="1:7" ht="14.5" x14ac:dyDescent="0.35">
      <c r="A44" s="107" t="s">
        <v>3480</v>
      </c>
      <c r="B44" s="73" t="e">
        <f>VLOOKUP(A44,SÜRELER!A:B,2,0)</f>
        <v>#N/A</v>
      </c>
      <c r="C44" s="43">
        <v>10</v>
      </c>
      <c r="D44" s="44"/>
      <c r="E44" s="45"/>
      <c r="G44" t="str">
        <f t="shared" si="1"/>
        <v>150060150060251</v>
      </c>
    </row>
    <row r="45" spans="1:7" ht="14.5" x14ac:dyDescent="0.35">
      <c r="A45" s="107" t="s">
        <v>3481</v>
      </c>
      <c r="B45" s="73" t="e">
        <f>VLOOKUP(A45,SÜRELER!A:B,2,0)</f>
        <v>#N/A</v>
      </c>
      <c r="C45" s="43">
        <v>10</v>
      </c>
      <c r="D45" s="44"/>
      <c r="E45" s="45"/>
      <c r="G45" t="str">
        <f t="shared" si="1"/>
        <v>150060150060252</v>
      </c>
    </row>
    <row r="46" spans="1:7" ht="14.5" x14ac:dyDescent="0.35">
      <c r="A46" s="107" t="s">
        <v>3482</v>
      </c>
      <c r="B46" s="73" t="e">
        <f>VLOOKUP(A46,SÜRELER!A:B,2,0)</f>
        <v>#N/A</v>
      </c>
      <c r="C46" s="57">
        <v>10</v>
      </c>
      <c r="D46" s="58"/>
      <c r="E46" s="59"/>
      <c r="G46" t="str">
        <f t="shared" si="1"/>
        <v>150060150060253</v>
      </c>
    </row>
    <row r="47" spans="1:7" ht="14.5" x14ac:dyDescent="0.35">
      <c r="A47" s="107" t="s">
        <v>3483</v>
      </c>
      <c r="B47" s="73" t="e">
        <f>VLOOKUP(A47,SÜRELER!A:B,2,0)</f>
        <v>#N/A</v>
      </c>
      <c r="C47" s="57">
        <v>10</v>
      </c>
      <c r="D47" s="58"/>
      <c r="E47" s="59"/>
      <c r="G47" t="str">
        <f t="shared" si="1"/>
        <v>150060150060254</v>
      </c>
    </row>
    <row r="48" spans="1:7" ht="14.5" x14ac:dyDescent="0.35">
      <c r="A48" s="107" t="s">
        <v>3484</v>
      </c>
      <c r="B48" s="73" t="e">
        <f>VLOOKUP(A48,SÜRELER!A:B,2,0)</f>
        <v>#N/A</v>
      </c>
      <c r="C48" s="33">
        <v>10</v>
      </c>
      <c r="D48" s="34"/>
      <c r="E48" s="35"/>
      <c r="G48" t="str">
        <f t="shared" si="1"/>
        <v>150060150060255</v>
      </c>
    </row>
    <row r="49" spans="1:7" ht="14.5" x14ac:dyDescent="0.35">
      <c r="A49" s="107" t="s">
        <v>3485</v>
      </c>
      <c r="B49" s="73" t="e">
        <f>VLOOKUP(A49,SÜRELER!A:B,2,0)</f>
        <v>#N/A</v>
      </c>
      <c r="C49" s="33">
        <v>10</v>
      </c>
      <c r="D49" s="34"/>
      <c r="E49" s="35" t="s">
        <v>303</v>
      </c>
      <c r="G49" t="str">
        <f t="shared" si="1"/>
        <v>150060150060260</v>
      </c>
    </row>
    <row r="50" spans="1:7" ht="14.5" x14ac:dyDescent="0.35">
      <c r="A50" s="107" t="s">
        <v>3486</v>
      </c>
      <c r="B50" s="73" t="e">
        <f>VLOOKUP(A50,SÜRELER!A:B,2,0)</f>
        <v>#N/A</v>
      </c>
      <c r="C50" s="33">
        <v>10</v>
      </c>
      <c r="D50" s="34"/>
      <c r="E50" s="35"/>
      <c r="G50" t="str">
        <f t="shared" si="1"/>
        <v>150060150060265</v>
      </c>
    </row>
    <row r="51" spans="1:7" ht="14.5" x14ac:dyDescent="0.35">
      <c r="A51" s="107" t="s">
        <v>3487</v>
      </c>
      <c r="B51" s="73" t="e">
        <f>VLOOKUP(A51,SÜRELER!A:B,2,0)</f>
        <v>#N/A</v>
      </c>
      <c r="C51" s="43">
        <v>5</v>
      </c>
      <c r="D51" s="44"/>
      <c r="E51" s="45"/>
      <c r="G51" t="str">
        <f t="shared" si="1"/>
        <v>150060150060281</v>
      </c>
    </row>
    <row r="52" spans="1:7" ht="14.5" x14ac:dyDescent="0.35">
      <c r="A52" s="107" t="s">
        <v>3488</v>
      </c>
      <c r="B52" s="73" t="e">
        <f>VLOOKUP(A52,SÜRELER!A:B,2,0)</f>
        <v>#N/A</v>
      </c>
      <c r="C52" s="43">
        <v>5</v>
      </c>
      <c r="D52" s="44"/>
      <c r="E52" s="45"/>
      <c r="G52" t="str">
        <f t="shared" si="1"/>
        <v>150060150060282</v>
      </c>
    </row>
    <row r="53" spans="1:7" ht="14.5" x14ac:dyDescent="0.35">
      <c r="A53" s="107" t="s">
        <v>3489</v>
      </c>
      <c r="B53" s="73" t="e">
        <f>VLOOKUP(A53,SÜRELER!A:B,2,0)</f>
        <v>#N/A</v>
      </c>
      <c r="C53" s="43">
        <v>5</v>
      </c>
      <c r="D53" s="44"/>
      <c r="E53" s="45"/>
      <c r="G53" t="str">
        <f t="shared" si="1"/>
        <v>150060150060283</v>
      </c>
    </row>
    <row r="54" spans="1:7" ht="14.5" x14ac:dyDescent="0.35">
      <c r="A54" s="107" t="s">
        <v>3490</v>
      </c>
      <c r="B54" s="73" t="e">
        <f>VLOOKUP(A54,SÜRELER!A:B,2,0)</f>
        <v>#N/A</v>
      </c>
      <c r="C54" s="43">
        <v>5</v>
      </c>
      <c r="D54" s="44"/>
      <c r="E54" s="45"/>
      <c r="G54" t="str">
        <f t="shared" si="1"/>
        <v>150060150060284</v>
      </c>
    </row>
    <row r="55" spans="1:7" ht="14.5" x14ac:dyDescent="0.35">
      <c r="A55" s="107" t="s">
        <v>3491</v>
      </c>
      <c r="B55" s="73" t="e">
        <f>VLOOKUP(A55,SÜRELER!A:B,2,0)</f>
        <v>#N/A</v>
      </c>
      <c r="C55" s="43">
        <v>5</v>
      </c>
      <c r="D55" s="44"/>
      <c r="E55" s="45"/>
      <c r="G55" t="str">
        <f t="shared" si="1"/>
        <v>150060150060285</v>
      </c>
    </row>
    <row r="56" spans="1:7" ht="14.5" x14ac:dyDescent="0.35">
      <c r="A56" s="107" t="s">
        <v>3492</v>
      </c>
      <c r="B56" s="73" t="e">
        <f>VLOOKUP(A56,SÜRELER!A:B,2,0)</f>
        <v>#N/A</v>
      </c>
      <c r="C56" s="43">
        <v>5</v>
      </c>
      <c r="D56" s="44"/>
      <c r="E56" s="45"/>
      <c r="G56" t="str">
        <f t="shared" si="1"/>
        <v>150060150060286</v>
      </c>
    </row>
    <row r="57" spans="1:7" ht="14.5" x14ac:dyDescent="0.35">
      <c r="A57" s="107" t="s">
        <v>3493</v>
      </c>
      <c r="B57" s="73" t="e">
        <f>VLOOKUP(A57,SÜRELER!A:B,2,0)</f>
        <v>#N/A</v>
      </c>
      <c r="C57" s="43">
        <v>5</v>
      </c>
      <c r="D57" s="44"/>
      <c r="E57" s="45"/>
      <c r="G57" t="str">
        <f t="shared" si="1"/>
        <v>150060150060287</v>
      </c>
    </row>
    <row r="58" spans="1:7" ht="14.5" x14ac:dyDescent="0.35">
      <c r="A58" s="107" t="s">
        <v>3494</v>
      </c>
      <c r="B58" s="73" t="e">
        <f>VLOOKUP(A58,SÜRELER!A:B,2,0)</f>
        <v>#N/A</v>
      </c>
      <c r="C58" s="43">
        <v>5</v>
      </c>
      <c r="D58" s="44"/>
      <c r="E58" s="45"/>
      <c r="G58" t="str">
        <f t="shared" si="1"/>
        <v>150060150060288</v>
      </c>
    </row>
    <row r="59" spans="1:7" ht="14.5" x14ac:dyDescent="0.35">
      <c r="A59" s="107" t="s">
        <v>3495</v>
      </c>
      <c r="B59" s="73" t="e">
        <f>VLOOKUP(A59,SÜRELER!A:B,2,0)</f>
        <v>#N/A</v>
      </c>
      <c r="C59" s="43">
        <v>5</v>
      </c>
      <c r="D59" s="44"/>
      <c r="E59" s="45"/>
      <c r="G59" t="str">
        <f t="shared" si="1"/>
        <v>150060150060289</v>
      </c>
    </row>
    <row r="60" spans="1:7" ht="14.5" x14ac:dyDescent="0.35">
      <c r="A60" s="107" t="s">
        <v>3496</v>
      </c>
      <c r="B60" s="73" t="e">
        <f>VLOOKUP(A60,SÜRELER!A:B,2,0)</f>
        <v>#N/A</v>
      </c>
      <c r="C60" s="43">
        <v>5</v>
      </c>
      <c r="D60" s="44"/>
      <c r="E60" s="45"/>
      <c r="G60" t="str">
        <f t="shared" si="1"/>
        <v>150060150060290</v>
      </c>
    </row>
    <row r="61" spans="1:7" ht="14.5" x14ac:dyDescent="0.35">
      <c r="A61" s="107" t="s">
        <v>3497</v>
      </c>
      <c r="B61" s="73" t="e">
        <f>VLOOKUP(A61,SÜRELER!A:B,2,0)</f>
        <v>#N/A</v>
      </c>
      <c r="C61" s="43">
        <v>5</v>
      </c>
      <c r="D61" s="44"/>
      <c r="E61" s="45"/>
      <c r="G61" t="str">
        <f t="shared" si="1"/>
        <v>150060150060291</v>
      </c>
    </row>
    <row r="62" spans="1:7" ht="14.5" x14ac:dyDescent="0.35">
      <c r="A62" s="107" t="s">
        <v>3498</v>
      </c>
      <c r="B62" s="73" t="e">
        <f>VLOOKUP(A62,SÜRELER!A:B,2,0)</f>
        <v>#N/A</v>
      </c>
      <c r="C62" s="43">
        <v>5</v>
      </c>
      <c r="D62" s="44"/>
      <c r="E62" s="45"/>
      <c r="G62" t="str">
        <f t="shared" si="1"/>
        <v>150060150060292</v>
      </c>
    </row>
    <row r="63" spans="1:7" ht="14.5" x14ac:dyDescent="0.35">
      <c r="A63" s="107" t="s">
        <v>3499</v>
      </c>
      <c r="B63" s="73" t="e">
        <f>VLOOKUP(A63,SÜRELER!A:B,2,0)</f>
        <v>#N/A</v>
      </c>
      <c r="C63" s="43">
        <v>5</v>
      </c>
      <c r="D63" s="44"/>
      <c r="E63" s="45"/>
      <c r="G63" t="str">
        <f t="shared" si="1"/>
        <v>150060150060293</v>
      </c>
    </row>
    <row r="64" spans="1:7" ht="14.5" x14ac:dyDescent="0.35">
      <c r="A64" s="107" t="s">
        <v>3500</v>
      </c>
      <c r="B64" s="73" t="e">
        <f>VLOOKUP(A64,SÜRELER!A:B,2,0)</f>
        <v>#N/A</v>
      </c>
      <c r="C64" s="43">
        <v>5</v>
      </c>
      <c r="D64" s="44"/>
      <c r="E64" s="45"/>
      <c r="G64" t="str">
        <f t="shared" si="1"/>
        <v>150060150060294</v>
      </c>
    </row>
    <row r="65" spans="1:7" ht="14.5" x14ac:dyDescent="0.35">
      <c r="A65" s="107" t="s">
        <v>3501</v>
      </c>
      <c r="B65" s="73" t="e">
        <f>VLOOKUP(A65,SÜRELER!A:B,2,0)</f>
        <v>#N/A</v>
      </c>
      <c r="C65" s="43">
        <v>5</v>
      </c>
      <c r="D65" s="44"/>
      <c r="E65" s="45"/>
      <c r="G65" t="str">
        <f t="shared" si="1"/>
        <v>150060150060295</v>
      </c>
    </row>
    <row r="66" spans="1:7" ht="14.5" x14ac:dyDescent="0.35">
      <c r="A66" s="107" t="s">
        <v>3502</v>
      </c>
      <c r="B66" s="73" t="e">
        <f>VLOOKUP(A66,SÜRELER!A:B,2,0)</f>
        <v>#N/A</v>
      </c>
      <c r="C66" s="43">
        <v>5</v>
      </c>
      <c r="D66" s="44"/>
      <c r="E66" s="45"/>
      <c r="G66" t="str">
        <f t="shared" si="1"/>
        <v>150060150060296</v>
      </c>
    </row>
    <row r="67" spans="1:7" ht="14.5" x14ac:dyDescent="0.35">
      <c r="A67" s="107" t="s">
        <v>3503</v>
      </c>
      <c r="B67" s="73" t="e">
        <f>VLOOKUP(A67,SÜRELER!A:B,2,0)</f>
        <v>#N/A</v>
      </c>
      <c r="C67" s="43">
        <v>5</v>
      </c>
      <c r="D67" s="44"/>
      <c r="E67" s="45"/>
      <c r="G67" t="str">
        <f t="shared" si="1"/>
        <v>150060150060297</v>
      </c>
    </row>
    <row r="68" spans="1:7" ht="14.5" x14ac:dyDescent="0.35">
      <c r="A68" s="107" t="s">
        <v>3504</v>
      </c>
      <c r="B68" s="73" t="e">
        <f>VLOOKUP(A68,SÜRELER!A:B,2,0)</f>
        <v>#N/A</v>
      </c>
      <c r="C68" s="43">
        <v>5</v>
      </c>
      <c r="D68" s="44"/>
      <c r="E68" s="45"/>
      <c r="G68" t="str">
        <f t="shared" si="1"/>
        <v>150060150060298</v>
      </c>
    </row>
    <row r="69" spans="1:7" ht="14.5" x14ac:dyDescent="0.35">
      <c r="A69" s="107" t="s">
        <v>3505</v>
      </c>
      <c r="B69" s="73" t="e">
        <f>VLOOKUP(A69,SÜRELER!A:B,2,0)</f>
        <v>#N/A</v>
      </c>
      <c r="C69" s="43">
        <v>5</v>
      </c>
      <c r="D69" s="44"/>
      <c r="E69" s="45"/>
      <c r="G69" t="str">
        <f t="shared" si="1"/>
        <v>150060150060299</v>
      </c>
    </row>
    <row r="70" spans="1:7" ht="14.5" x14ac:dyDescent="0.35">
      <c r="A70" s="107" t="s">
        <v>3506</v>
      </c>
      <c r="B70" s="73" t="e">
        <f>VLOOKUP(A70,SÜRELER!A:B,2,0)</f>
        <v>#N/A</v>
      </c>
      <c r="C70" s="43">
        <v>5</v>
      </c>
      <c r="D70" s="44"/>
      <c r="E70" s="45"/>
      <c r="G70" t="str">
        <f t="shared" si="1"/>
        <v>150060150060300</v>
      </c>
    </row>
    <row r="71" spans="1:7" ht="14.5" x14ac:dyDescent="0.35">
      <c r="A71" s="107" t="s">
        <v>3507</v>
      </c>
      <c r="B71" s="73" t="e">
        <f>VLOOKUP(A71,SÜRELER!A:B,2,0)</f>
        <v>#N/A</v>
      </c>
      <c r="C71" s="43">
        <v>5</v>
      </c>
      <c r="D71" s="34"/>
      <c r="E71" s="35"/>
      <c r="G71" t="str">
        <f t="shared" si="1"/>
        <v>150060150060301</v>
      </c>
    </row>
    <row r="72" spans="1:7" ht="14.5" x14ac:dyDescent="0.35">
      <c r="A72" s="107" t="s">
        <v>3508</v>
      </c>
      <c r="B72" s="73" t="e">
        <f>VLOOKUP(A72,SÜRELER!A:B,2,0)</f>
        <v>#N/A</v>
      </c>
      <c r="C72" s="43">
        <v>5</v>
      </c>
      <c r="D72" s="34"/>
      <c r="E72" s="35"/>
      <c r="G72" t="str">
        <f t="shared" si="1"/>
        <v>150060150060302</v>
      </c>
    </row>
    <row r="73" spans="1:7" ht="14.5" x14ac:dyDescent="0.35">
      <c r="A73" s="107" t="s">
        <v>3509</v>
      </c>
      <c r="B73" s="73" t="e">
        <f>VLOOKUP(A73,SÜRELER!A:B,2,0)</f>
        <v>#N/A</v>
      </c>
      <c r="C73" s="43">
        <v>5</v>
      </c>
      <c r="D73" s="34"/>
      <c r="E73" s="35"/>
      <c r="G73" t="str">
        <f t="shared" si="1"/>
        <v>150060150060303</v>
      </c>
    </row>
    <row r="74" spans="1:7" ht="14.5" x14ac:dyDescent="0.35">
      <c r="A74" s="107" t="s">
        <v>3510</v>
      </c>
      <c r="B74" s="73" t="e">
        <f>VLOOKUP(A74,SÜRELER!A:B,2,0)</f>
        <v>#N/A</v>
      </c>
      <c r="C74" s="43">
        <v>5</v>
      </c>
      <c r="D74" s="58"/>
      <c r="E74" s="59"/>
      <c r="G74" t="str">
        <f t="shared" si="1"/>
        <v>150060150060304</v>
      </c>
    </row>
    <row r="75" spans="1:7" ht="14.5" x14ac:dyDescent="0.35">
      <c r="A75" s="107" t="s">
        <v>3511</v>
      </c>
      <c r="B75" s="73" t="e">
        <f>VLOOKUP(A75,SÜRELER!A:B,2,0)</f>
        <v>#N/A</v>
      </c>
      <c r="C75" s="43">
        <v>5</v>
      </c>
      <c r="D75" s="58"/>
      <c r="E75" s="59"/>
      <c r="G75" t="str">
        <f t="shared" si="1"/>
        <v>150060150060305</v>
      </c>
    </row>
    <row r="76" spans="1:7" ht="14.5" x14ac:dyDescent="0.35">
      <c r="A76" s="107" t="s">
        <v>3512</v>
      </c>
      <c r="B76" s="73" t="e">
        <f>VLOOKUP(A76,SÜRELER!A:B,2,0)</f>
        <v>#N/A</v>
      </c>
      <c r="C76" s="43">
        <v>5</v>
      </c>
      <c r="D76" s="58"/>
      <c r="E76" s="59"/>
      <c r="G76" t="str">
        <f t="shared" si="1"/>
        <v>150060150060306</v>
      </c>
    </row>
    <row r="77" spans="1:7" ht="14.5" x14ac:dyDescent="0.35">
      <c r="A77" s="107" t="s">
        <v>3513</v>
      </c>
      <c r="B77" s="73" t="e">
        <f>VLOOKUP(A77,SÜRELER!A:B,2,0)</f>
        <v>#N/A</v>
      </c>
      <c r="C77" s="43">
        <v>5</v>
      </c>
      <c r="D77" s="58"/>
      <c r="E77" s="59"/>
      <c r="G77" t="str">
        <f t="shared" si="1"/>
        <v>150060150060307</v>
      </c>
    </row>
    <row r="78" spans="1:7" ht="14.5" x14ac:dyDescent="0.35">
      <c r="A78" s="107" t="s">
        <v>3514</v>
      </c>
      <c r="B78" s="73" t="e">
        <f>VLOOKUP(A78,SÜRELER!A:B,2,0)</f>
        <v>#N/A</v>
      </c>
      <c r="C78" s="43">
        <v>5</v>
      </c>
      <c r="D78" s="58"/>
      <c r="E78" s="59"/>
      <c r="G78" t="str">
        <f t="shared" si="1"/>
        <v>150060150060308</v>
      </c>
    </row>
    <row r="79" spans="1:7" ht="14.5" x14ac:dyDescent="0.35">
      <c r="A79" s="107" t="s">
        <v>3515</v>
      </c>
      <c r="B79" s="73" t="e">
        <f>VLOOKUP(A79,SÜRELER!A:B,2,0)</f>
        <v>#N/A</v>
      </c>
      <c r="C79" s="33">
        <v>4</v>
      </c>
      <c r="D79" s="34"/>
      <c r="E79" s="35"/>
      <c r="G79" t="str">
        <f t="shared" si="1"/>
        <v>150060150060309</v>
      </c>
    </row>
    <row r="80" spans="1:7" ht="14.5" x14ac:dyDescent="0.35">
      <c r="A80" s="107" t="s">
        <v>3516</v>
      </c>
      <c r="B80" s="73" t="e">
        <f>VLOOKUP(A80,SÜRELER!A:B,2,0)</f>
        <v>#N/A</v>
      </c>
      <c r="C80" s="33">
        <v>5</v>
      </c>
      <c r="D80" s="34"/>
      <c r="E80" s="35"/>
      <c r="G80" t="str">
        <f t="shared" si="1"/>
        <v>150060150060310</v>
      </c>
    </row>
    <row r="81" spans="1:7" ht="14.5" x14ac:dyDescent="0.35">
      <c r="A81" s="107" t="s">
        <v>3517</v>
      </c>
      <c r="B81" s="73" t="e">
        <f>VLOOKUP(A81,SÜRELER!A:B,2,0)</f>
        <v>#N/A</v>
      </c>
      <c r="C81" s="33">
        <v>10</v>
      </c>
      <c r="D81" s="34"/>
      <c r="E81" s="35"/>
      <c r="G81" t="str">
        <f t="shared" si="1"/>
        <v>150060150060311</v>
      </c>
    </row>
    <row r="82" spans="1:7" ht="14.5" x14ac:dyDescent="0.35">
      <c r="A82" s="107" t="s">
        <v>3518</v>
      </c>
      <c r="B82" s="73" t="e">
        <f>VLOOKUP(A82,SÜRELER!A:B,2,0)</f>
        <v>#N/A</v>
      </c>
      <c r="C82" s="33">
        <v>10</v>
      </c>
      <c r="D82" s="34"/>
      <c r="E82" s="35"/>
      <c r="G82" t="str">
        <f t="shared" si="1"/>
        <v>150060150060312</v>
      </c>
    </row>
    <row r="83" spans="1:7" ht="14.5" x14ac:dyDescent="0.35">
      <c r="A83" s="107" t="s">
        <v>3519</v>
      </c>
      <c r="B83" s="73" t="e">
        <f>VLOOKUP(A83,SÜRELER!A:B,2,0)</f>
        <v>#N/A</v>
      </c>
      <c r="C83" s="33">
        <v>5</v>
      </c>
      <c r="D83" s="34"/>
      <c r="E83" s="35"/>
      <c r="G83" t="str">
        <f t="shared" si="1"/>
        <v>150060150060313</v>
      </c>
    </row>
    <row r="84" spans="1:7" ht="14.5" x14ac:dyDescent="0.35">
      <c r="A84" s="107" t="s">
        <v>3520</v>
      </c>
      <c r="B84" s="73" t="e">
        <f>VLOOKUP(A84,SÜRELER!A:B,2,0)</f>
        <v>#N/A</v>
      </c>
      <c r="C84" s="33">
        <v>5</v>
      </c>
      <c r="D84" s="34"/>
      <c r="E84" s="35"/>
      <c r="G84" t="str">
        <f t="shared" si="1"/>
        <v>150060150060314</v>
      </c>
    </row>
    <row r="85" spans="1:7" ht="14.5" x14ac:dyDescent="0.35">
      <c r="A85" s="107" t="s">
        <v>3521</v>
      </c>
      <c r="B85" s="73" t="e">
        <f>VLOOKUP(A85,SÜRELER!A:B,2,0)</f>
        <v>#N/A</v>
      </c>
      <c r="C85" s="33">
        <v>5</v>
      </c>
      <c r="D85" s="34"/>
      <c r="E85" s="35"/>
      <c r="G85" t="str">
        <f t="shared" si="1"/>
        <v>150060150060323</v>
      </c>
    </row>
    <row r="86" spans="1:7" ht="14.5" x14ac:dyDescent="0.35">
      <c r="A86" s="107" t="s">
        <v>3522</v>
      </c>
      <c r="B86" s="73" t="e">
        <f>VLOOKUP(A86,SÜRELER!A:B,2,0)</f>
        <v>#N/A</v>
      </c>
      <c r="C86" s="33">
        <v>5</v>
      </c>
      <c r="D86" s="34"/>
      <c r="E86" s="35"/>
      <c r="G86" t="str">
        <f t="shared" si="1"/>
        <v>150060150060324</v>
      </c>
    </row>
    <row r="87" spans="1:7" ht="14.5" x14ac:dyDescent="0.35">
      <c r="A87" s="107" t="s">
        <v>3523</v>
      </c>
      <c r="B87" s="73" t="e">
        <f>VLOOKUP(A87,SÜRELER!A:B,2,0)</f>
        <v>#N/A</v>
      </c>
      <c r="C87" s="33">
        <v>5</v>
      </c>
      <c r="D87" s="34"/>
      <c r="E87" s="35"/>
      <c r="G87" t="str">
        <f t="shared" si="1"/>
        <v>150060150060325</v>
      </c>
    </row>
    <row r="88" spans="1:7" ht="14.5" x14ac:dyDescent="0.35">
      <c r="A88" s="107" t="s">
        <v>3524</v>
      </c>
      <c r="B88" s="73" t="e">
        <f>VLOOKUP(A88,SÜRELER!A:B,2,0)</f>
        <v>#N/A</v>
      </c>
      <c r="C88" s="33">
        <v>5</v>
      </c>
      <c r="D88" s="34"/>
      <c r="E88" s="35"/>
      <c r="G88" t="str">
        <f t="shared" ref="G88:G151" si="2">CONCATENATE($F$23,A88,)</f>
        <v>150060150060326</v>
      </c>
    </row>
    <row r="89" spans="1:7" ht="14.5" x14ac:dyDescent="0.35">
      <c r="A89" s="107" t="s">
        <v>3525</v>
      </c>
      <c r="B89" s="73" t="e">
        <f>VLOOKUP(A89,SÜRELER!A:B,2,0)</f>
        <v>#N/A</v>
      </c>
      <c r="C89" s="33">
        <v>5</v>
      </c>
      <c r="D89" s="34"/>
      <c r="E89" s="35"/>
      <c r="G89" t="str">
        <f t="shared" si="2"/>
        <v>150060150060331</v>
      </c>
    </row>
    <row r="90" spans="1:7" ht="14.5" x14ac:dyDescent="0.35">
      <c r="A90" s="107" t="s">
        <v>3526</v>
      </c>
      <c r="B90" s="73" t="e">
        <f>VLOOKUP(A90,SÜRELER!A:B,2,0)</f>
        <v>#N/A</v>
      </c>
      <c r="C90" s="33">
        <v>5</v>
      </c>
      <c r="D90" s="34"/>
      <c r="E90" s="35"/>
      <c r="G90" t="str">
        <f t="shared" si="2"/>
        <v>150060150060332</v>
      </c>
    </row>
    <row r="91" spans="1:7" ht="14.5" x14ac:dyDescent="0.35">
      <c r="A91" s="107" t="s">
        <v>3527</v>
      </c>
      <c r="B91" s="73" t="e">
        <f>VLOOKUP(A91,SÜRELER!A:B,2,0)</f>
        <v>#N/A</v>
      </c>
      <c r="C91" s="33">
        <v>5</v>
      </c>
      <c r="D91" s="34"/>
      <c r="E91" s="35"/>
      <c r="G91" t="str">
        <f t="shared" si="2"/>
        <v>150060150060333</v>
      </c>
    </row>
    <row r="92" spans="1:7" ht="14.5" x14ac:dyDescent="0.35">
      <c r="A92" s="107" t="s">
        <v>3528</v>
      </c>
      <c r="B92" s="73" t="e">
        <f>VLOOKUP(A92,SÜRELER!A:B,2,0)</f>
        <v>#N/A</v>
      </c>
      <c r="C92" s="33">
        <v>5</v>
      </c>
      <c r="D92" s="34"/>
      <c r="E92" s="35"/>
      <c r="G92" t="str">
        <f t="shared" si="2"/>
        <v>150060150060334</v>
      </c>
    </row>
    <row r="93" spans="1:7" ht="14.5" x14ac:dyDescent="0.35">
      <c r="A93" s="107" t="s">
        <v>3529</v>
      </c>
      <c r="B93" s="73" t="e">
        <f>VLOOKUP(A93,SÜRELER!A:B,2,0)</f>
        <v>#N/A</v>
      </c>
      <c r="C93" s="33">
        <v>5</v>
      </c>
      <c r="D93" s="34"/>
      <c r="E93" s="35"/>
      <c r="G93" t="str">
        <f t="shared" si="2"/>
        <v>150060150060336</v>
      </c>
    </row>
    <row r="94" spans="1:7" ht="14.5" x14ac:dyDescent="0.35">
      <c r="A94" s="107" t="s">
        <v>3530</v>
      </c>
      <c r="B94" s="73" t="e">
        <f>VLOOKUP(A94,SÜRELER!A:B,2,0)</f>
        <v>#N/A</v>
      </c>
      <c r="C94" s="33">
        <v>5</v>
      </c>
      <c r="D94" s="34"/>
      <c r="E94" s="35"/>
      <c r="G94" t="str">
        <f t="shared" si="2"/>
        <v>150060150060337</v>
      </c>
    </row>
    <row r="95" spans="1:7" ht="14.5" x14ac:dyDescent="0.35">
      <c r="A95" s="107" t="s">
        <v>3531</v>
      </c>
      <c r="B95" s="73" t="e">
        <f>VLOOKUP(A95,SÜRELER!A:B,2,0)</f>
        <v>#N/A</v>
      </c>
      <c r="C95" s="33">
        <v>8</v>
      </c>
      <c r="D95" s="34"/>
      <c r="E95" s="35"/>
      <c r="G95" t="str">
        <f t="shared" si="2"/>
        <v>150060150060340</v>
      </c>
    </row>
    <row r="96" spans="1:7" ht="14.5" x14ac:dyDescent="0.35">
      <c r="A96" s="107" t="s">
        <v>3532</v>
      </c>
      <c r="B96" s="73" t="e">
        <f>VLOOKUP(A96,SÜRELER!A:B,2,0)</f>
        <v>#N/A</v>
      </c>
      <c r="C96" s="33">
        <v>8</v>
      </c>
      <c r="D96" s="34"/>
      <c r="E96" s="35"/>
      <c r="G96" t="str">
        <f t="shared" si="2"/>
        <v>150060150060341</v>
      </c>
    </row>
    <row r="97" spans="1:7" ht="14.5" x14ac:dyDescent="0.35">
      <c r="A97" s="107" t="s">
        <v>3533</v>
      </c>
      <c r="B97" s="73" t="e">
        <f>VLOOKUP(A97,SÜRELER!A:B,2,0)</f>
        <v>#N/A</v>
      </c>
      <c r="C97" s="33">
        <v>5</v>
      </c>
      <c r="D97" s="34"/>
      <c r="E97" s="35"/>
      <c r="G97" t="str">
        <f t="shared" si="2"/>
        <v>150060150060342</v>
      </c>
    </row>
    <row r="98" spans="1:7" ht="14.5" x14ac:dyDescent="0.35">
      <c r="A98" s="107" t="s">
        <v>3534</v>
      </c>
      <c r="B98" s="73" t="e">
        <f>VLOOKUP(A98,SÜRELER!A:B,2,0)</f>
        <v>#N/A</v>
      </c>
      <c r="C98" s="33">
        <v>5</v>
      </c>
      <c r="D98" s="34"/>
      <c r="E98" s="35"/>
      <c r="G98" t="str">
        <f t="shared" si="2"/>
        <v>150060150060343</v>
      </c>
    </row>
    <row r="99" spans="1:7" ht="15" customHeight="1" x14ac:dyDescent="0.35">
      <c r="A99" s="107" t="s">
        <v>3535</v>
      </c>
      <c r="B99" s="73" t="e">
        <f>VLOOKUP(A99,SÜRELER!A:B,2,0)</f>
        <v>#N/A</v>
      </c>
      <c r="C99" s="33">
        <v>5</v>
      </c>
      <c r="D99" s="34"/>
      <c r="E99" s="36" t="s">
        <v>310</v>
      </c>
      <c r="G99" t="str">
        <f t="shared" si="2"/>
        <v>150060150060344</v>
      </c>
    </row>
    <row r="100" spans="1:7" ht="14.5" x14ac:dyDescent="0.35">
      <c r="A100" s="107" t="s">
        <v>3536</v>
      </c>
      <c r="B100" s="73" t="e">
        <f>VLOOKUP(A100,SÜRELER!A:B,2,0)</f>
        <v>#N/A</v>
      </c>
      <c r="C100" s="33">
        <v>5</v>
      </c>
      <c r="D100" s="34"/>
      <c r="E100" s="36"/>
      <c r="G100" t="str">
        <f t="shared" si="2"/>
        <v>150060150060345</v>
      </c>
    </row>
    <row r="101" spans="1:7" ht="14.5" x14ac:dyDescent="0.35">
      <c r="A101" s="107" t="s">
        <v>3537</v>
      </c>
      <c r="B101" s="73" t="e">
        <f>VLOOKUP(A101,SÜRELER!A:B,2,0)</f>
        <v>#N/A</v>
      </c>
      <c r="C101" s="33">
        <v>10</v>
      </c>
      <c r="D101" s="34"/>
      <c r="E101" s="36"/>
      <c r="G101" t="str">
        <f t="shared" si="2"/>
        <v>150060150060350</v>
      </c>
    </row>
    <row r="102" spans="1:7" ht="14.5" x14ac:dyDescent="0.35">
      <c r="A102" s="107" t="s">
        <v>3538</v>
      </c>
      <c r="B102" s="73" t="e">
        <f>VLOOKUP(A102,SÜRELER!A:B,2,0)</f>
        <v>#N/A</v>
      </c>
      <c r="C102" s="33">
        <v>10</v>
      </c>
      <c r="D102" s="34"/>
      <c r="E102" s="36"/>
      <c r="G102" t="str">
        <f t="shared" si="2"/>
        <v>150060150060351</v>
      </c>
    </row>
    <row r="103" spans="1:7" ht="14.5" x14ac:dyDescent="0.35">
      <c r="A103" s="107" t="s">
        <v>3539</v>
      </c>
      <c r="B103" s="73" t="e">
        <f>VLOOKUP(A103,SÜRELER!A:B,2,0)</f>
        <v>#N/A</v>
      </c>
      <c r="C103" s="33">
        <v>10</v>
      </c>
      <c r="D103" s="34"/>
      <c r="E103" s="36"/>
      <c r="G103" t="str">
        <f t="shared" si="2"/>
        <v>150060150060352</v>
      </c>
    </row>
    <row r="104" spans="1:7" ht="14.5" x14ac:dyDescent="0.35">
      <c r="A104" s="107" t="s">
        <v>3540</v>
      </c>
      <c r="B104" s="73" t="e">
        <f>VLOOKUP(A104,SÜRELER!A:B,2,0)</f>
        <v>#N/A</v>
      </c>
      <c r="C104" s="33">
        <v>10</v>
      </c>
      <c r="D104" s="34"/>
      <c r="E104" s="36"/>
      <c r="G104" t="str">
        <f t="shared" si="2"/>
        <v>150060150060353</v>
      </c>
    </row>
    <row r="105" spans="1:7" ht="14.5" x14ac:dyDescent="0.35">
      <c r="A105" s="107" t="s">
        <v>3541</v>
      </c>
      <c r="B105" s="73" t="e">
        <f>VLOOKUP(A105,SÜRELER!A:B,2,0)</f>
        <v>#N/A</v>
      </c>
      <c r="C105" s="33">
        <v>10</v>
      </c>
      <c r="D105" s="34"/>
      <c r="E105" s="36"/>
      <c r="G105" t="str">
        <f t="shared" si="2"/>
        <v>150060150060360</v>
      </c>
    </row>
    <row r="106" spans="1:7" ht="14.5" x14ac:dyDescent="0.35">
      <c r="A106" s="107" t="s">
        <v>3542</v>
      </c>
      <c r="B106" s="73" t="e">
        <f>VLOOKUP(A106,SÜRELER!A:B,2,0)</f>
        <v>#N/A</v>
      </c>
      <c r="C106" s="33">
        <v>10</v>
      </c>
      <c r="D106" s="34"/>
      <c r="E106" s="36"/>
      <c r="G106" t="str">
        <f t="shared" si="2"/>
        <v>150060150060361</v>
      </c>
    </row>
    <row r="107" spans="1:7" ht="14.5" x14ac:dyDescent="0.35">
      <c r="A107" s="107" t="s">
        <v>3543</v>
      </c>
      <c r="B107" s="73" t="e">
        <f>VLOOKUP(A107,SÜRELER!A:B,2,0)</f>
        <v>#N/A</v>
      </c>
      <c r="C107" s="33">
        <v>10</v>
      </c>
      <c r="D107" s="34"/>
      <c r="E107" s="36"/>
      <c r="G107" t="str">
        <f t="shared" si="2"/>
        <v>150060150060364</v>
      </c>
    </row>
    <row r="108" spans="1:7" ht="14.5" x14ac:dyDescent="0.35">
      <c r="A108" s="107" t="s">
        <v>3544</v>
      </c>
      <c r="B108" s="73" t="e">
        <f>VLOOKUP(A108,SÜRELER!A:B,2,0)</f>
        <v>#N/A</v>
      </c>
      <c r="C108" s="33">
        <v>10</v>
      </c>
      <c r="D108" s="34"/>
      <c r="E108" s="36"/>
      <c r="G108" t="str">
        <f t="shared" si="2"/>
        <v>150060150060365</v>
      </c>
    </row>
    <row r="109" spans="1:7" ht="15" customHeight="1" x14ac:dyDescent="0.35">
      <c r="A109" s="107" t="s">
        <v>3545</v>
      </c>
      <c r="B109" s="73" t="e">
        <f>VLOOKUP(A109,SÜRELER!A:B,2,0)</f>
        <v>#N/A</v>
      </c>
      <c r="C109" s="33">
        <v>10</v>
      </c>
      <c r="D109" s="34"/>
      <c r="E109" s="36" t="s">
        <v>311</v>
      </c>
      <c r="G109" t="str">
        <f t="shared" si="2"/>
        <v>150060150060366</v>
      </c>
    </row>
    <row r="110" spans="1:7" ht="14.5" x14ac:dyDescent="0.35">
      <c r="A110" s="107" t="s">
        <v>3546</v>
      </c>
      <c r="B110" s="73" t="e">
        <f>VLOOKUP(A110,SÜRELER!A:B,2,0)</f>
        <v>#N/A</v>
      </c>
      <c r="C110" s="33">
        <v>10</v>
      </c>
      <c r="D110" s="34"/>
      <c r="E110" s="36"/>
      <c r="G110" t="str">
        <f t="shared" si="2"/>
        <v>150060150060367</v>
      </c>
    </row>
    <row r="111" spans="1:7" ht="14.5" x14ac:dyDescent="0.35">
      <c r="A111" s="107" t="s">
        <v>3547</v>
      </c>
      <c r="B111" s="73" t="e">
        <f>VLOOKUP(A111,SÜRELER!A:B,2,0)</f>
        <v>#N/A</v>
      </c>
      <c r="C111" s="33">
        <v>10</v>
      </c>
      <c r="D111" s="34"/>
      <c r="E111" s="37" t="s">
        <v>312</v>
      </c>
      <c r="G111" t="str">
        <f t="shared" si="2"/>
        <v>150060150060370</v>
      </c>
    </row>
    <row r="112" spans="1:7" ht="14.5" x14ac:dyDescent="0.35">
      <c r="A112" s="107" t="s">
        <v>3548</v>
      </c>
      <c r="B112" s="73" t="e">
        <f>VLOOKUP(A112,SÜRELER!A:B,2,0)</f>
        <v>#N/A</v>
      </c>
      <c r="C112" s="33">
        <v>10</v>
      </c>
      <c r="D112" s="34"/>
      <c r="E112" s="37"/>
      <c r="G112" t="str">
        <f t="shared" si="2"/>
        <v>150060150060371</v>
      </c>
    </row>
    <row r="113" spans="1:7" ht="14.5" x14ac:dyDescent="0.35">
      <c r="A113" s="107" t="s">
        <v>3549</v>
      </c>
      <c r="B113" s="73" t="e">
        <f>VLOOKUP(A113,SÜRELER!A:B,2,0)</f>
        <v>#N/A</v>
      </c>
      <c r="C113" s="33">
        <v>10</v>
      </c>
      <c r="D113" s="34"/>
      <c r="E113" s="35"/>
      <c r="G113" t="str">
        <f t="shared" si="2"/>
        <v>150060150060372</v>
      </c>
    </row>
    <row r="114" spans="1:7" ht="14.5" x14ac:dyDescent="0.35">
      <c r="A114" s="107" t="s">
        <v>3550</v>
      </c>
      <c r="B114" s="73" t="e">
        <f>VLOOKUP(A114,SÜRELER!A:B,2,0)</f>
        <v>#N/A</v>
      </c>
      <c r="C114" s="33">
        <v>10</v>
      </c>
      <c r="D114" s="34"/>
      <c r="E114" s="35"/>
      <c r="G114" t="str">
        <f t="shared" si="2"/>
        <v>150060150060373</v>
      </c>
    </row>
    <row r="115" spans="1:7" ht="14.5" x14ac:dyDescent="0.35">
      <c r="A115" s="107" t="s">
        <v>3551</v>
      </c>
      <c r="B115" s="73" t="e">
        <f>VLOOKUP(A115,SÜRELER!A:B,2,0)</f>
        <v>#N/A</v>
      </c>
      <c r="C115" s="33">
        <v>10</v>
      </c>
      <c r="D115" s="34"/>
      <c r="E115" s="35"/>
      <c r="G115" t="str">
        <f t="shared" si="2"/>
        <v>150060150060380</v>
      </c>
    </row>
    <row r="116" spans="1:7" ht="14.5" x14ac:dyDescent="0.35">
      <c r="A116" s="107" t="s">
        <v>3552</v>
      </c>
      <c r="B116" s="73" t="e">
        <f>VLOOKUP(A116,SÜRELER!A:B,2,0)</f>
        <v>#N/A</v>
      </c>
      <c r="C116" s="33">
        <v>10</v>
      </c>
      <c r="D116" s="34"/>
      <c r="E116" s="35"/>
      <c r="G116" t="str">
        <f t="shared" si="2"/>
        <v>150060150060381</v>
      </c>
    </row>
    <row r="117" spans="1:7" ht="14.5" x14ac:dyDescent="0.35">
      <c r="A117" s="107" t="s">
        <v>3553</v>
      </c>
      <c r="B117" s="73" t="e">
        <f>VLOOKUP(A117,SÜRELER!A:B,2,0)</f>
        <v>#N/A</v>
      </c>
      <c r="C117" s="33">
        <v>10</v>
      </c>
      <c r="D117" s="34"/>
      <c r="E117" s="35"/>
      <c r="G117" t="str">
        <f t="shared" si="2"/>
        <v>150060150060382</v>
      </c>
    </row>
    <row r="118" spans="1:7" ht="14.5" x14ac:dyDescent="0.35">
      <c r="A118" s="107" t="s">
        <v>3554</v>
      </c>
      <c r="B118" s="73" t="e">
        <f>VLOOKUP(A118,SÜRELER!A:B,2,0)</f>
        <v>#N/A</v>
      </c>
      <c r="C118" s="33">
        <v>10</v>
      </c>
      <c r="D118" s="34"/>
      <c r="E118" s="35"/>
      <c r="G118" t="str">
        <f t="shared" si="2"/>
        <v>150060150060383</v>
      </c>
    </row>
    <row r="119" spans="1:7" ht="14.5" x14ac:dyDescent="0.35">
      <c r="A119" s="107" t="s">
        <v>3555</v>
      </c>
      <c r="B119" s="73" t="e">
        <f>VLOOKUP(A119,SÜRELER!A:B,2,0)</f>
        <v>#N/A</v>
      </c>
      <c r="C119" s="33">
        <v>10</v>
      </c>
      <c r="D119" s="34"/>
      <c r="E119" s="35"/>
      <c r="G119" t="str">
        <f t="shared" si="2"/>
        <v>150060150060384</v>
      </c>
    </row>
    <row r="120" spans="1:7" ht="14.5" x14ac:dyDescent="0.35">
      <c r="A120" s="107" t="s">
        <v>3556</v>
      </c>
      <c r="B120" s="73" t="e">
        <f>VLOOKUP(A120,SÜRELER!A:B,2,0)</f>
        <v>#N/A</v>
      </c>
      <c r="C120" s="33">
        <v>10</v>
      </c>
      <c r="D120" s="34"/>
      <c r="E120" s="35"/>
      <c r="G120" t="str">
        <f t="shared" si="2"/>
        <v>150060150060385</v>
      </c>
    </row>
    <row r="121" spans="1:7" ht="14.5" x14ac:dyDescent="0.35">
      <c r="A121" s="107" t="s">
        <v>3557</v>
      </c>
      <c r="B121" s="73" t="e">
        <f>VLOOKUP(A121,SÜRELER!A:B,2,0)</f>
        <v>#N/A</v>
      </c>
      <c r="C121" s="57">
        <v>10</v>
      </c>
      <c r="D121" s="58"/>
      <c r="E121" s="59"/>
      <c r="G121" t="str">
        <f t="shared" si="2"/>
        <v>150060150060386</v>
      </c>
    </row>
    <row r="122" spans="1:7" ht="14.5" x14ac:dyDescent="0.35">
      <c r="A122" s="107" t="s">
        <v>3558</v>
      </c>
      <c r="B122" s="73" t="e">
        <f>VLOOKUP(A122,SÜRELER!A:B,2,0)</f>
        <v>#N/A</v>
      </c>
      <c r="C122" s="57">
        <v>10</v>
      </c>
      <c r="D122" s="58"/>
      <c r="E122" s="59"/>
      <c r="G122" t="str">
        <f t="shared" si="2"/>
        <v>150060150060387</v>
      </c>
    </row>
    <row r="123" spans="1:7" ht="14.5" x14ac:dyDescent="0.35">
      <c r="A123" s="107" t="s">
        <v>3559</v>
      </c>
      <c r="B123" s="73" t="e">
        <f>VLOOKUP(A123,SÜRELER!A:B,2,0)</f>
        <v>#N/A</v>
      </c>
      <c r="C123" s="33">
        <v>22</v>
      </c>
      <c r="D123" s="34"/>
      <c r="E123" s="35"/>
      <c r="G123" t="str">
        <f t="shared" si="2"/>
        <v>150060150060388</v>
      </c>
    </row>
    <row r="124" spans="1:7" ht="14.5" x14ac:dyDescent="0.35">
      <c r="A124" s="107" t="s">
        <v>3560</v>
      </c>
      <c r="B124" s="73" t="e">
        <f>VLOOKUP(A124,SÜRELER!A:B,2,0)</f>
        <v>#N/A</v>
      </c>
      <c r="C124" s="33">
        <v>22</v>
      </c>
      <c r="D124" s="34"/>
      <c r="E124" s="35"/>
      <c r="G124" t="str">
        <f t="shared" si="2"/>
        <v>150060150060389</v>
      </c>
    </row>
    <row r="125" spans="1:7" ht="14.5" x14ac:dyDescent="0.35">
      <c r="A125" s="107" t="s">
        <v>3561</v>
      </c>
      <c r="B125" s="73" t="e">
        <f>VLOOKUP(A125,SÜRELER!A:B,2,0)</f>
        <v>#N/A</v>
      </c>
      <c r="C125" s="33">
        <v>10</v>
      </c>
      <c r="D125" s="34"/>
      <c r="E125" s="35"/>
      <c r="G125" t="str">
        <f t="shared" si="2"/>
        <v>150060150060390</v>
      </c>
    </row>
    <row r="126" spans="1:7" ht="14.5" x14ac:dyDescent="0.35">
      <c r="A126" s="107" t="s">
        <v>3562</v>
      </c>
      <c r="B126" s="73" t="e">
        <f>VLOOKUP(A126,SÜRELER!A:B,2,0)</f>
        <v>#N/A</v>
      </c>
      <c r="C126" s="33">
        <v>10</v>
      </c>
      <c r="D126" s="34"/>
      <c r="E126" s="35"/>
      <c r="G126" t="str">
        <f t="shared" si="2"/>
        <v>150060150060391</v>
      </c>
    </row>
    <row r="127" spans="1:7" ht="14.5" x14ac:dyDescent="0.35">
      <c r="A127" s="107" t="s">
        <v>3563</v>
      </c>
      <c r="B127" s="73" t="e">
        <f>VLOOKUP(A127,SÜRELER!A:B,2,0)</f>
        <v>#N/A</v>
      </c>
      <c r="C127" s="33">
        <v>10</v>
      </c>
      <c r="D127" s="34"/>
      <c r="E127" s="35"/>
      <c r="G127" t="str">
        <f t="shared" si="2"/>
        <v>150060150060392</v>
      </c>
    </row>
    <row r="128" spans="1:7" ht="14.5" x14ac:dyDescent="0.35">
      <c r="A128" s="107" t="s">
        <v>3564</v>
      </c>
      <c r="B128" s="73" t="e">
        <f>VLOOKUP(A128,SÜRELER!A:B,2,0)</f>
        <v>#N/A</v>
      </c>
      <c r="C128" s="33">
        <v>10</v>
      </c>
      <c r="D128" s="34"/>
      <c r="E128" s="35"/>
      <c r="G128" t="str">
        <f t="shared" si="2"/>
        <v>150060150060393</v>
      </c>
    </row>
    <row r="129" spans="1:7" ht="14.5" x14ac:dyDescent="0.35">
      <c r="A129" s="107" t="s">
        <v>3565</v>
      </c>
      <c r="B129" s="73" t="e">
        <f>VLOOKUP(A129,SÜRELER!A:B,2,0)</f>
        <v>#N/A</v>
      </c>
      <c r="C129" s="33">
        <v>18</v>
      </c>
      <c r="D129" s="34"/>
      <c r="E129" s="35"/>
      <c r="G129" t="str">
        <f t="shared" si="2"/>
        <v>150060150060407</v>
      </c>
    </row>
    <row r="130" spans="1:7" ht="15" customHeight="1" x14ac:dyDescent="0.35">
      <c r="A130" s="107" t="s">
        <v>3566</v>
      </c>
      <c r="B130" s="73" t="e">
        <f>VLOOKUP(A130,SÜRELER!A:B,2,0)</f>
        <v>#N/A</v>
      </c>
      <c r="C130" s="33">
        <v>18</v>
      </c>
      <c r="D130" s="34"/>
      <c r="E130" s="36" t="s">
        <v>310</v>
      </c>
      <c r="G130" t="str">
        <f t="shared" si="2"/>
        <v>150060150060408</v>
      </c>
    </row>
    <row r="131" spans="1:7" ht="14.5" x14ac:dyDescent="0.35">
      <c r="A131" s="107" t="s">
        <v>3567</v>
      </c>
      <c r="B131" s="73" t="e">
        <f>VLOOKUP(A131,SÜRELER!A:B,2,0)</f>
        <v>#N/A</v>
      </c>
      <c r="C131" s="33">
        <v>3</v>
      </c>
      <c r="D131" s="38"/>
      <c r="E131" s="36"/>
      <c r="G131" t="str">
        <f t="shared" si="2"/>
        <v>150060150060409</v>
      </c>
    </row>
    <row r="132" spans="1:7" ht="14.5" x14ac:dyDescent="0.35">
      <c r="A132" s="107" t="s">
        <v>3568</v>
      </c>
      <c r="B132" s="73" t="e">
        <f>VLOOKUP(A132,SÜRELER!A:B,2,0)</f>
        <v>#N/A</v>
      </c>
      <c r="C132" s="33">
        <v>4</v>
      </c>
      <c r="D132" s="34"/>
      <c r="E132" s="36"/>
      <c r="G132" t="str">
        <f t="shared" si="2"/>
        <v>150060150060419</v>
      </c>
    </row>
    <row r="133" spans="1:7" ht="14.5" x14ac:dyDescent="0.35">
      <c r="A133" s="107" t="s">
        <v>3569</v>
      </c>
      <c r="B133" s="73" t="e">
        <f>VLOOKUP(A133,SÜRELER!A:B,2,0)</f>
        <v>#N/A</v>
      </c>
      <c r="C133" s="43">
        <v>10</v>
      </c>
      <c r="D133" s="44"/>
      <c r="E133" s="60"/>
      <c r="G133" t="str">
        <f t="shared" si="2"/>
        <v>150060150060420</v>
      </c>
    </row>
    <row r="134" spans="1:7" ht="14.5" x14ac:dyDescent="0.35">
      <c r="A134" s="107" t="s">
        <v>3570</v>
      </c>
      <c r="B134" s="73" t="e">
        <f>VLOOKUP(A134,SÜRELER!A:B,2,0)</f>
        <v>#N/A</v>
      </c>
      <c r="C134" s="43">
        <v>0</v>
      </c>
      <c r="D134" s="44"/>
      <c r="E134" s="60"/>
      <c r="G134" t="str">
        <f t="shared" si="2"/>
        <v>150060150060423</v>
      </c>
    </row>
    <row r="135" spans="1:7" ht="14.5" x14ac:dyDescent="0.35">
      <c r="A135" s="107" t="s">
        <v>3571</v>
      </c>
      <c r="B135" s="73" t="e">
        <f>VLOOKUP(A135,SÜRELER!A:B,2,0)</f>
        <v>#N/A</v>
      </c>
      <c r="C135" s="43">
        <v>0</v>
      </c>
      <c r="D135" s="44"/>
      <c r="E135" s="60"/>
      <c r="G135" t="str">
        <f t="shared" si="2"/>
        <v>150060150060424</v>
      </c>
    </row>
    <row r="136" spans="1:7" ht="14.5" x14ac:dyDescent="0.35">
      <c r="A136" s="107" t="s">
        <v>3572</v>
      </c>
      <c r="B136" s="73" t="e">
        <f>VLOOKUP(A136,SÜRELER!A:B,2,0)</f>
        <v>#N/A</v>
      </c>
      <c r="C136" s="43">
        <v>8</v>
      </c>
      <c r="D136" s="44"/>
      <c r="E136" s="60"/>
      <c r="G136" t="str">
        <f t="shared" si="2"/>
        <v>150060150060430</v>
      </c>
    </row>
    <row r="137" spans="1:7" ht="14.5" x14ac:dyDescent="0.35">
      <c r="A137" s="107" t="s">
        <v>3573</v>
      </c>
      <c r="B137" s="73" t="e">
        <f>VLOOKUP(A137,SÜRELER!A:B,2,0)</f>
        <v>#N/A</v>
      </c>
      <c r="C137" s="43">
        <v>8</v>
      </c>
      <c r="D137" s="44"/>
      <c r="E137" s="60"/>
      <c r="G137" t="str">
        <f t="shared" si="2"/>
        <v>150060150060431</v>
      </c>
    </row>
    <row r="138" spans="1:7" ht="14.5" x14ac:dyDescent="0.35">
      <c r="A138" s="107" t="s">
        <v>3574</v>
      </c>
      <c r="B138" s="73" t="e">
        <f>VLOOKUP(A138,SÜRELER!A:B,2,0)</f>
        <v>#N/A</v>
      </c>
      <c r="C138" s="39">
        <v>5</v>
      </c>
      <c r="D138" s="34"/>
      <c r="E138" s="36"/>
      <c r="G138" t="str">
        <f t="shared" si="2"/>
        <v>150060150060444</v>
      </c>
    </row>
    <row r="139" spans="1:7" ht="14.5" x14ac:dyDescent="0.35">
      <c r="A139" s="107" t="s">
        <v>3575</v>
      </c>
      <c r="B139" s="73" t="e">
        <f>VLOOKUP(A139,SÜRELER!A:B,2,0)</f>
        <v>#N/A</v>
      </c>
      <c r="C139" s="33">
        <v>5</v>
      </c>
      <c r="D139" s="34"/>
      <c r="E139" s="36"/>
      <c r="G139" t="str">
        <f t="shared" si="2"/>
        <v>150060150060445</v>
      </c>
    </row>
    <row r="140" spans="1:7" ht="14.5" x14ac:dyDescent="0.35">
      <c r="A140" s="107" t="s">
        <v>3576</v>
      </c>
      <c r="B140" s="73" t="e">
        <f>VLOOKUP(A140,SÜRELER!A:B,2,0)</f>
        <v>#N/A</v>
      </c>
      <c r="C140" s="33">
        <v>5</v>
      </c>
      <c r="D140" s="34"/>
      <c r="E140" s="36"/>
      <c r="G140" t="str">
        <f t="shared" si="2"/>
        <v>150060150060446</v>
      </c>
    </row>
    <row r="141" spans="1:7" ht="14.5" x14ac:dyDescent="0.35">
      <c r="A141" s="107" t="s">
        <v>3577</v>
      </c>
      <c r="B141" s="73" t="e">
        <f>VLOOKUP(A141,SÜRELER!A:B,2,0)</f>
        <v>#N/A</v>
      </c>
      <c r="C141" s="33">
        <v>7</v>
      </c>
      <c r="D141" s="34"/>
      <c r="E141" s="36"/>
      <c r="G141" t="str">
        <f t="shared" si="2"/>
        <v>150060150060448</v>
      </c>
    </row>
    <row r="142" spans="1:7" ht="14.5" x14ac:dyDescent="0.35">
      <c r="A142" s="107" t="s">
        <v>3578</v>
      </c>
      <c r="B142" s="73" t="e">
        <f>VLOOKUP(A142,SÜRELER!A:B,2,0)</f>
        <v>#N/A</v>
      </c>
      <c r="C142" s="33">
        <v>7</v>
      </c>
      <c r="D142" s="34"/>
      <c r="E142" s="36"/>
      <c r="G142" t="str">
        <f t="shared" si="2"/>
        <v>150060150060449</v>
      </c>
    </row>
    <row r="143" spans="1:7" ht="14.5" x14ac:dyDescent="0.35">
      <c r="A143" s="107" t="s">
        <v>3579</v>
      </c>
      <c r="B143" s="73" t="e">
        <f>VLOOKUP(A143,SÜRELER!A:B,2,0)</f>
        <v>#N/A</v>
      </c>
      <c r="C143" s="33">
        <v>5</v>
      </c>
      <c r="D143" s="34"/>
      <c r="E143" s="35"/>
      <c r="G143" t="str">
        <f t="shared" si="2"/>
        <v>150060150060461</v>
      </c>
    </row>
    <row r="144" spans="1:7" ht="14.5" x14ac:dyDescent="0.35">
      <c r="A144" s="107" t="s">
        <v>3580</v>
      </c>
      <c r="B144" s="73" t="e">
        <f>VLOOKUP(A144,SÜRELER!A:B,2,0)</f>
        <v>#N/A</v>
      </c>
      <c r="C144" s="33">
        <v>5</v>
      </c>
      <c r="D144" s="34"/>
      <c r="E144" s="35"/>
      <c r="G144" t="str">
        <f t="shared" si="2"/>
        <v>150060150060462</v>
      </c>
    </row>
    <row r="145" spans="1:7" ht="14.5" x14ac:dyDescent="0.35">
      <c r="A145" s="107" t="s">
        <v>3581</v>
      </c>
      <c r="B145" s="73" t="e">
        <f>VLOOKUP(A145,SÜRELER!A:B,2,0)</f>
        <v>#N/A</v>
      </c>
      <c r="C145" s="33">
        <v>5</v>
      </c>
      <c r="D145" s="34"/>
      <c r="E145" s="35"/>
      <c r="G145" t="str">
        <f t="shared" si="2"/>
        <v>150060150060466</v>
      </c>
    </row>
    <row r="146" spans="1:7" ht="14.5" x14ac:dyDescent="0.35">
      <c r="A146" s="107" t="s">
        <v>3582</v>
      </c>
      <c r="B146" s="73" t="e">
        <f>VLOOKUP(A146,SÜRELER!A:B,2,0)</f>
        <v>#N/A</v>
      </c>
      <c r="C146" s="33">
        <v>5</v>
      </c>
      <c r="D146" s="34"/>
      <c r="E146" s="35"/>
      <c r="G146" t="str">
        <f t="shared" si="2"/>
        <v>150060150060467</v>
      </c>
    </row>
    <row r="147" spans="1:7" ht="14.5" x14ac:dyDescent="0.35">
      <c r="A147" s="107" t="s">
        <v>3583</v>
      </c>
      <c r="B147" s="73" t="e">
        <f>VLOOKUP(A147,SÜRELER!A:B,2,0)</f>
        <v>#N/A</v>
      </c>
      <c r="C147" s="33">
        <v>5</v>
      </c>
      <c r="D147" s="34"/>
      <c r="E147" s="35"/>
      <c r="G147" t="str">
        <f t="shared" si="2"/>
        <v>150060150060471</v>
      </c>
    </row>
    <row r="148" spans="1:7" ht="14.5" x14ac:dyDescent="0.35">
      <c r="A148" s="107" t="s">
        <v>3584</v>
      </c>
      <c r="B148" s="73" t="e">
        <f>VLOOKUP(A148,SÜRELER!A:B,2,0)</f>
        <v>#N/A</v>
      </c>
      <c r="C148" s="33">
        <v>12</v>
      </c>
      <c r="D148" s="34"/>
      <c r="E148" s="35"/>
      <c r="G148" t="str">
        <f t="shared" si="2"/>
        <v>150060150060472</v>
      </c>
    </row>
    <row r="149" spans="1:7" ht="14.5" x14ac:dyDescent="0.35">
      <c r="A149" s="107" t="s">
        <v>3585</v>
      </c>
      <c r="B149" s="73" t="e">
        <f>VLOOKUP(A149,SÜRELER!A:B,2,0)</f>
        <v>#N/A</v>
      </c>
      <c r="C149" s="33">
        <v>12</v>
      </c>
      <c r="D149" s="34"/>
      <c r="E149" s="35"/>
      <c r="G149" t="str">
        <f t="shared" si="2"/>
        <v>150060150060473</v>
      </c>
    </row>
    <row r="150" spans="1:7" ht="14.5" x14ac:dyDescent="0.35">
      <c r="A150" s="107" t="s">
        <v>3586</v>
      </c>
      <c r="B150" s="73" t="e">
        <f>VLOOKUP(A150,SÜRELER!A:B,2,0)</f>
        <v>#N/A</v>
      </c>
      <c r="C150" s="33">
        <v>5</v>
      </c>
      <c r="D150" s="34"/>
      <c r="E150" s="35"/>
      <c r="G150" t="str">
        <f t="shared" si="2"/>
        <v>150060150060476</v>
      </c>
    </row>
    <row r="151" spans="1:7" ht="14.5" x14ac:dyDescent="0.35">
      <c r="A151" s="107" t="s">
        <v>3587</v>
      </c>
      <c r="B151" s="73" t="e">
        <f>VLOOKUP(A151,SÜRELER!A:B,2,0)</f>
        <v>#N/A</v>
      </c>
      <c r="C151" s="33">
        <v>5</v>
      </c>
      <c r="D151" s="34"/>
      <c r="E151" s="35"/>
      <c r="G151" t="str">
        <f t="shared" si="2"/>
        <v>150060150060477</v>
      </c>
    </row>
    <row r="152" spans="1:7" ht="14.5" x14ac:dyDescent="0.35">
      <c r="A152" s="107" t="s">
        <v>3588</v>
      </c>
      <c r="B152" s="73" t="e">
        <f>VLOOKUP(A152,SÜRELER!A:B,2,0)</f>
        <v>#N/A</v>
      </c>
      <c r="C152" s="33">
        <v>5</v>
      </c>
      <c r="D152" s="34"/>
      <c r="E152" s="35"/>
      <c r="G152" t="str">
        <f t="shared" ref="G152:G215" si="3">CONCATENATE($F$23,A152,)</f>
        <v>150060150060478</v>
      </c>
    </row>
    <row r="153" spans="1:7" ht="14.5" x14ac:dyDescent="0.35">
      <c r="A153" s="107" t="s">
        <v>3589</v>
      </c>
      <c r="B153" s="73" t="e">
        <f>VLOOKUP(A153,SÜRELER!A:B,2,0)</f>
        <v>#N/A</v>
      </c>
      <c r="C153" s="33">
        <v>5</v>
      </c>
      <c r="D153" s="34"/>
      <c r="E153" s="35"/>
      <c r="G153" t="str">
        <f t="shared" si="3"/>
        <v>150060150060479</v>
      </c>
    </row>
    <row r="154" spans="1:7" ht="14.5" x14ac:dyDescent="0.35">
      <c r="A154" s="107" t="s">
        <v>3590</v>
      </c>
      <c r="B154" s="73" t="e">
        <f>VLOOKUP(A154,SÜRELER!A:B,2,0)</f>
        <v>#N/A</v>
      </c>
      <c r="C154" s="33">
        <v>5</v>
      </c>
      <c r="D154" s="34"/>
      <c r="E154" s="35"/>
      <c r="G154" t="str">
        <f t="shared" si="3"/>
        <v>150060150060480</v>
      </c>
    </row>
    <row r="155" spans="1:7" ht="14.5" x14ac:dyDescent="0.35">
      <c r="A155" s="107" t="s">
        <v>3591</v>
      </c>
      <c r="B155" s="73" t="e">
        <f>VLOOKUP(A155,SÜRELER!A:B,2,0)</f>
        <v>#N/A</v>
      </c>
      <c r="C155" s="33">
        <v>5</v>
      </c>
      <c r="D155" s="34"/>
      <c r="E155" s="35"/>
      <c r="G155" t="str">
        <f t="shared" si="3"/>
        <v>150060150060481</v>
      </c>
    </row>
    <row r="156" spans="1:7" ht="14.5" x14ac:dyDescent="0.35">
      <c r="A156" s="107" t="s">
        <v>3592</v>
      </c>
      <c r="B156" s="73" t="e">
        <f>VLOOKUP(A156,SÜRELER!A:B,2,0)</f>
        <v>#N/A</v>
      </c>
      <c r="C156" s="33">
        <v>5</v>
      </c>
      <c r="D156" s="34"/>
      <c r="E156" s="35"/>
      <c r="G156" t="str">
        <f t="shared" si="3"/>
        <v>150060150060482</v>
      </c>
    </row>
    <row r="157" spans="1:7" ht="14.5" x14ac:dyDescent="0.35">
      <c r="A157" s="107" t="s">
        <v>3593</v>
      </c>
      <c r="B157" s="73" t="e">
        <f>VLOOKUP(A157,SÜRELER!A:B,2,0)</f>
        <v>#N/A</v>
      </c>
      <c r="C157" s="33">
        <v>5</v>
      </c>
      <c r="D157" s="34"/>
      <c r="E157" s="35"/>
      <c r="G157" t="str">
        <f t="shared" si="3"/>
        <v>150060150060483</v>
      </c>
    </row>
    <row r="158" spans="1:7" ht="14.5" x14ac:dyDescent="0.35">
      <c r="A158" s="107" t="s">
        <v>3594</v>
      </c>
      <c r="B158" s="73" t="e">
        <f>VLOOKUP(A158,SÜRELER!A:B,2,0)</f>
        <v>#N/A</v>
      </c>
      <c r="C158" s="33">
        <v>5</v>
      </c>
      <c r="D158" s="34"/>
      <c r="E158" s="35"/>
      <c r="G158" t="str">
        <f t="shared" si="3"/>
        <v>150060150060488</v>
      </c>
    </row>
    <row r="159" spans="1:7" ht="14.5" x14ac:dyDescent="0.35">
      <c r="A159" s="107" t="s">
        <v>3595</v>
      </c>
      <c r="B159" s="73" t="e">
        <f>VLOOKUP(A159,SÜRELER!A:B,2,0)</f>
        <v>#N/A</v>
      </c>
      <c r="C159" s="33">
        <v>5</v>
      </c>
      <c r="D159" s="34"/>
      <c r="E159" s="35"/>
      <c r="G159" t="str">
        <f t="shared" si="3"/>
        <v>150060150060489</v>
      </c>
    </row>
    <row r="160" spans="1:7" ht="14.5" x14ac:dyDescent="0.35">
      <c r="A160" s="107" t="s">
        <v>3596</v>
      </c>
      <c r="B160" s="73" t="e">
        <f>VLOOKUP(A160,SÜRELER!A:B,2,0)</f>
        <v>#N/A</v>
      </c>
      <c r="C160" s="33">
        <v>5</v>
      </c>
      <c r="D160" s="34"/>
      <c r="E160" s="35"/>
      <c r="G160" t="str">
        <f t="shared" si="3"/>
        <v>150060150060494</v>
      </c>
    </row>
    <row r="161" spans="1:7" ht="14.5" x14ac:dyDescent="0.35">
      <c r="A161" s="107" t="s">
        <v>3597</v>
      </c>
      <c r="B161" s="73" t="e">
        <f>VLOOKUP(A161,SÜRELER!A:B,2,0)</f>
        <v>#N/A</v>
      </c>
      <c r="C161" s="33">
        <v>5</v>
      </c>
      <c r="D161" s="34"/>
      <c r="E161" s="35"/>
      <c r="G161" t="str">
        <f t="shared" si="3"/>
        <v>150060150060495</v>
      </c>
    </row>
    <row r="162" spans="1:7" ht="14.5" x14ac:dyDescent="0.35">
      <c r="A162" s="107" t="s">
        <v>3598</v>
      </c>
      <c r="B162" s="73" t="e">
        <f>VLOOKUP(A162,SÜRELER!A:B,2,0)</f>
        <v>#N/A</v>
      </c>
      <c r="C162" s="33">
        <v>5</v>
      </c>
      <c r="D162" s="34"/>
      <c r="E162" s="35"/>
      <c r="G162" t="str">
        <f t="shared" si="3"/>
        <v>150060150060496</v>
      </c>
    </row>
    <row r="163" spans="1:7" ht="14.5" x14ac:dyDescent="0.35">
      <c r="A163" s="107" t="s">
        <v>3599</v>
      </c>
      <c r="B163" s="73" t="e">
        <f>VLOOKUP(A163,SÜRELER!A:B,2,0)</f>
        <v>#N/A</v>
      </c>
      <c r="C163" s="33">
        <v>5</v>
      </c>
      <c r="D163" s="34"/>
      <c r="E163" s="35"/>
      <c r="G163" t="str">
        <f t="shared" si="3"/>
        <v>150060150060497</v>
      </c>
    </row>
    <row r="164" spans="1:7" ht="14.5" x14ac:dyDescent="0.35">
      <c r="A164" s="107" t="s">
        <v>3600</v>
      </c>
      <c r="B164" s="73" t="e">
        <f>VLOOKUP(A164,SÜRELER!A:B,2,0)</f>
        <v>#N/A</v>
      </c>
      <c r="C164" s="33">
        <v>5</v>
      </c>
      <c r="D164" s="34"/>
      <c r="E164" s="35"/>
      <c r="G164" t="str">
        <f t="shared" si="3"/>
        <v>150060150060510</v>
      </c>
    </row>
    <row r="165" spans="1:7" ht="14.5" x14ac:dyDescent="0.35">
      <c r="A165" s="107" t="s">
        <v>3601</v>
      </c>
      <c r="B165" s="73" t="e">
        <f>VLOOKUP(A165,SÜRELER!A:B,2,0)</f>
        <v>#N/A</v>
      </c>
      <c r="C165" s="33">
        <v>5</v>
      </c>
      <c r="D165" s="34"/>
      <c r="E165" s="35"/>
      <c r="G165" t="str">
        <f t="shared" si="3"/>
        <v>150060150060511</v>
      </c>
    </row>
    <row r="166" spans="1:7" ht="14.5" x14ac:dyDescent="0.35">
      <c r="A166" s="107" t="s">
        <v>3602</v>
      </c>
      <c r="B166" s="73" t="e">
        <f>VLOOKUP(A166,SÜRELER!A:B,2,0)</f>
        <v>#N/A</v>
      </c>
      <c r="C166" s="33">
        <v>5</v>
      </c>
      <c r="D166" s="58"/>
      <c r="E166" s="59"/>
      <c r="G166" t="str">
        <f t="shared" si="3"/>
        <v>150060150060512</v>
      </c>
    </row>
    <row r="167" spans="1:7" ht="14.5" x14ac:dyDescent="0.35">
      <c r="A167" s="107" t="s">
        <v>3603</v>
      </c>
      <c r="B167" s="73" t="e">
        <f>VLOOKUP(A167,SÜRELER!A:B,2,0)</f>
        <v>#N/A</v>
      </c>
      <c r="C167" s="33">
        <v>5</v>
      </c>
      <c r="D167" s="58"/>
      <c r="E167" s="59"/>
      <c r="G167" t="str">
        <f t="shared" si="3"/>
        <v>150060150060513</v>
      </c>
    </row>
    <row r="168" spans="1:7" ht="14.5" x14ac:dyDescent="0.35">
      <c r="A168" s="107" t="s">
        <v>3604</v>
      </c>
      <c r="B168" s="73" t="e">
        <f>VLOOKUP(A168,SÜRELER!A:B,2,0)</f>
        <v>#N/A</v>
      </c>
      <c r="C168" s="33">
        <v>5</v>
      </c>
      <c r="D168" s="34"/>
      <c r="E168" s="35"/>
      <c r="G168" t="str">
        <f t="shared" si="3"/>
        <v>150060150060514</v>
      </c>
    </row>
    <row r="169" spans="1:7" ht="14.5" x14ac:dyDescent="0.35">
      <c r="A169" s="107" t="s">
        <v>3605</v>
      </c>
      <c r="B169" s="73" t="e">
        <f>VLOOKUP(A169,SÜRELER!A:B,2,0)</f>
        <v>#N/A</v>
      </c>
      <c r="C169" s="33">
        <v>5</v>
      </c>
      <c r="D169" s="34"/>
      <c r="E169" s="35"/>
      <c r="G169" t="str">
        <f t="shared" si="3"/>
        <v>150060150060515</v>
      </c>
    </row>
    <row r="170" spans="1:7" ht="14.5" x14ac:dyDescent="0.35">
      <c r="A170" s="107" t="s">
        <v>3606</v>
      </c>
      <c r="B170" s="73" t="e">
        <f>VLOOKUP(A170,SÜRELER!A:B,2,0)</f>
        <v>#N/A</v>
      </c>
      <c r="C170" s="33">
        <v>5</v>
      </c>
      <c r="D170" s="34"/>
      <c r="E170" s="35"/>
      <c r="G170" t="str">
        <f t="shared" si="3"/>
        <v>150060150060516</v>
      </c>
    </row>
    <row r="171" spans="1:7" ht="14.5" x14ac:dyDescent="0.35">
      <c r="A171" s="107" t="s">
        <v>3607</v>
      </c>
      <c r="B171" s="73" t="e">
        <f>VLOOKUP(A171,SÜRELER!A:B,2,0)</f>
        <v>#N/A</v>
      </c>
      <c r="C171" s="33">
        <v>5</v>
      </c>
      <c r="D171" s="34"/>
      <c r="E171" s="35"/>
      <c r="G171" t="str">
        <f t="shared" si="3"/>
        <v>150060150060517</v>
      </c>
    </row>
    <row r="172" spans="1:7" ht="14.5" x14ac:dyDescent="0.35">
      <c r="A172" s="107" t="s">
        <v>3608</v>
      </c>
      <c r="B172" s="73" t="e">
        <f>VLOOKUP(A172,SÜRELER!A:B,2,0)</f>
        <v>#N/A</v>
      </c>
      <c r="C172" s="33">
        <v>10</v>
      </c>
      <c r="D172" s="34"/>
      <c r="E172" s="35"/>
      <c r="G172" t="str">
        <f t="shared" si="3"/>
        <v>150060150060518</v>
      </c>
    </row>
    <row r="173" spans="1:7" ht="14.5" x14ac:dyDescent="0.35">
      <c r="A173" s="107" t="s">
        <v>3609</v>
      </c>
      <c r="B173" s="73" t="e">
        <f>VLOOKUP(A173,SÜRELER!A:B,2,0)</f>
        <v>#N/A</v>
      </c>
      <c r="C173" s="33">
        <v>10</v>
      </c>
      <c r="D173" s="34"/>
      <c r="E173" s="35"/>
      <c r="G173" t="str">
        <f t="shared" si="3"/>
        <v>150060150060519</v>
      </c>
    </row>
    <row r="174" spans="1:7" ht="14.5" x14ac:dyDescent="0.35">
      <c r="A174" s="107" t="s">
        <v>3610</v>
      </c>
      <c r="B174" s="73" t="e">
        <f>VLOOKUP(A174,SÜRELER!A:B,2,0)</f>
        <v>#N/A</v>
      </c>
      <c r="C174" s="33">
        <v>10</v>
      </c>
      <c r="D174" s="34"/>
      <c r="E174" s="35"/>
      <c r="G174" t="str">
        <f t="shared" si="3"/>
        <v>150060150060520</v>
      </c>
    </row>
    <row r="175" spans="1:7" ht="14.5" x14ac:dyDescent="0.35">
      <c r="A175" s="107" t="s">
        <v>3611</v>
      </c>
      <c r="B175" s="73" t="e">
        <f>VLOOKUP(A175,SÜRELER!A:B,2,0)</f>
        <v>#N/A</v>
      </c>
      <c r="C175" s="33">
        <v>10</v>
      </c>
      <c r="D175" s="34"/>
      <c r="E175" s="35"/>
      <c r="G175" t="str">
        <f t="shared" si="3"/>
        <v>150060150060521</v>
      </c>
    </row>
    <row r="176" spans="1:7" ht="14.5" x14ac:dyDescent="0.35">
      <c r="A176" s="107" t="s">
        <v>3612</v>
      </c>
      <c r="B176" s="73" t="e">
        <f>VLOOKUP(A176,SÜRELER!A:B,2,0)</f>
        <v>#N/A</v>
      </c>
      <c r="C176" s="33">
        <v>15</v>
      </c>
      <c r="D176" s="34"/>
      <c r="E176" s="35"/>
      <c r="G176" t="str">
        <f t="shared" si="3"/>
        <v>150060150060522</v>
      </c>
    </row>
    <row r="177" spans="1:7" ht="14.5" x14ac:dyDescent="0.35">
      <c r="A177" s="107" t="s">
        <v>3613</v>
      </c>
      <c r="B177" s="73" t="e">
        <f>VLOOKUP(A177,SÜRELER!A:B,2,0)</f>
        <v>#N/A</v>
      </c>
      <c r="C177" s="33">
        <v>15</v>
      </c>
      <c r="D177" s="34"/>
      <c r="E177" s="35"/>
      <c r="G177" t="str">
        <f t="shared" si="3"/>
        <v>150060150060523</v>
      </c>
    </row>
    <row r="178" spans="1:7" ht="14.5" x14ac:dyDescent="0.35">
      <c r="A178" s="107" t="s">
        <v>3614</v>
      </c>
      <c r="B178" s="73" t="e">
        <f>VLOOKUP(A178,SÜRELER!A:B,2,0)</f>
        <v>#N/A</v>
      </c>
      <c r="C178" s="33">
        <v>10</v>
      </c>
      <c r="D178" s="34"/>
      <c r="E178" s="35"/>
      <c r="G178" t="str">
        <f t="shared" si="3"/>
        <v>150060150060524</v>
      </c>
    </row>
    <row r="179" spans="1:7" ht="14.5" x14ac:dyDescent="0.35">
      <c r="A179" s="107" t="s">
        <v>3615</v>
      </c>
      <c r="B179" s="73" t="e">
        <f>VLOOKUP(A179,SÜRELER!A:B,2,0)</f>
        <v>#N/A</v>
      </c>
      <c r="C179" s="33">
        <v>10</v>
      </c>
      <c r="D179" s="34"/>
      <c r="E179" s="35"/>
      <c r="G179" t="str">
        <f t="shared" si="3"/>
        <v>150060150060525</v>
      </c>
    </row>
    <row r="180" spans="1:7" ht="14.5" x14ac:dyDescent="0.35">
      <c r="A180" s="107" t="s">
        <v>3616</v>
      </c>
      <c r="B180" s="73" t="e">
        <f>VLOOKUP(A180,SÜRELER!A:B,2,0)</f>
        <v>#N/A</v>
      </c>
      <c r="C180" s="33">
        <v>10</v>
      </c>
      <c r="D180" s="34"/>
      <c r="E180" s="35"/>
      <c r="G180" t="str">
        <f t="shared" si="3"/>
        <v>150060150060526</v>
      </c>
    </row>
    <row r="181" spans="1:7" ht="14.5" x14ac:dyDescent="0.35">
      <c r="A181" s="107" t="s">
        <v>3617</v>
      </c>
      <c r="B181" s="73" t="e">
        <f>VLOOKUP(A181,SÜRELER!A:B,2,0)</f>
        <v>#N/A</v>
      </c>
      <c r="C181" s="33">
        <v>10</v>
      </c>
      <c r="D181" s="34"/>
      <c r="E181" s="35"/>
      <c r="G181" t="str">
        <f t="shared" si="3"/>
        <v>150060150060527</v>
      </c>
    </row>
    <row r="182" spans="1:7" ht="14.5" x14ac:dyDescent="0.35">
      <c r="A182" s="107" t="s">
        <v>3618</v>
      </c>
      <c r="B182" s="73" t="e">
        <f>VLOOKUP(A182,SÜRELER!A:B,2,0)</f>
        <v>#N/A</v>
      </c>
      <c r="C182" s="33">
        <v>10</v>
      </c>
      <c r="D182" s="34"/>
      <c r="E182" s="35"/>
      <c r="G182" t="str">
        <f t="shared" si="3"/>
        <v>150060150060528</v>
      </c>
    </row>
    <row r="183" spans="1:7" ht="14.5" x14ac:dyDescent="0.35">
      <c r="A183" s="107" t="s">
        <v>3619</v>
      </c>
      <c r="B183" s="73" t="e">
        <f>VLOOKUP(A183,SÜRELER!A:B,2,0)</f>
        <v>#N/A</v>
      </c>
      <c r="C183" s="33">
        <v>10</v>
      </c>
      <c r="D183" s="34"/>
      <c r="E183" s="35"/>
      <c r="G183" t="str">
        <f t="shared" si="3"/>
        <v>150060150060529</v>
      </c>
    </row>
    <row r="184" spans="1:7" ht="14.5" x14ac:dyDescent="0.35">
      <c r="A184" s="107" t="s">
        <v>3620</v>
      </c>
      <c r="B184" s="73" t="e">
        <f>VLOOKUP(A184,SÜRELER!A:B,2,0)</f>
        <v>#N/A</v>
      </c>
      <c r="C184" s="33">
        <v>4</v>
      </c>
      <c r="D184" s="34"/>
      <c r="E184" s="35"/>
      <c r="G184" t="str">
        <f t="shared" si="3"/>
        <v>150060150060530</v>
      </c>
    </row>
    <row r="185" spans="1:7" ht="14.5" x14ac:dyDescent="0.35">
      <c r="A185" s="107" t="s">
        <v>3621</v>
      </c>
      <c r="B185" s="73" t="e">
        <f>VLOOKUP(A185,SÜRELER!A:B,2,0)</f>
        <v>#N/A</v>
      </c>
      <c r="C185" s="33">
        <v>4</v>
      </c>
      <c r="D185" s="34"/>
      <c r="E185" s="35"/>
      <c r="G185" t="str">
        <f t="shared" si="3"/>
        <v>150060150060531</v>
      </c>
    </row>
    <row r="186" spans="1:7" ht="14.5" x14ac:dyDescent="0.35">
      <c r="A186" s="107" t="s">
        <v>3622</v>
      </c>
      <c r="B186" s="73" t="e">
        <f>VLOOKUP(A186,SÜRELER!A:B,2,0)</f>
        <v>#N/A</v>
      </c>
      <c r="C186" s="33">
        <v>5</v>
      </c>
      <c r="D186" s="34"/>
      <c r="E186" s="35"/>
      <c r="G186" t="str">
        <f t="shared" si="3"/>
        <v>150060150060532</v>
      </c>
    </row>
    <row r="187" spans="1:7" ht="14.5" x14ac:dyDescent="0.35">
      <c r="A187" s="107" t="s">
        <v>3623</v>
      </c>
      <c r="B187" s="73" t="e">
        <f>VLOOKUP(A187,SÜRELER!A:B,2,0)</f>
        <v>#N/A</v>
      </c>
      <c r="C187" s="33">
        <v>5</v>
      </c>
      <c r="D187" s="34"/>
      <c r="E187" s="35"/>
      <c r="G187" t="str">
        <f t="shared" si="3"/>
        <v>150060150060533</v>
      </c>
    </row>
    <row r="188" spans="1:7" ht="14.5" x14ac:dyDescent="0.35">
      <c r="A188" s="107" t="s">
        <v>3624</v>
      </c>
      <c r="B188" s="73" t="e">
        <f>VLOOKUP(A188,SÜRELER!A:B,2,0)</f>
        <v>#N/A</v>
      </c>
      <c r="C188" s="57">
        <v>10</v>
      </c>
      <c r="D188" s="58"/>
      <c r="E188" s="59"/>
      <c r="G188" t="str">
        <f t="shared" si="3"/>
        <v>150060150060534</v>
      </c>
    </row>
    <row r="189" spans="1:7" ht="14.5" x14ac:dyDescent="0.35">
      <c r="A189" s="107" t="s">
        <v>3625</v>
      </c>
      <c r="B189" s="73" t="e">
        <f>VLOOKUP(A189,SÜRELER!A:B,2,0)</f>
        <v>#N/A</v>
      </c>
      <c r="C189" s="57">
        <v>10</v>
      </c>
      <c r="D189" s="58"/>
      <c r="E189" s="59"/>
      <c r="G189" t="str">
        <f t="shared" si="3"/>
        <v>150060150060535</v>
      </c>
    </row>
    <row r="190" spans="1:7" ht="14.5" x14ac:dyDescent="0.35">
      <c r="A190" s="107" t="s">
        <v>3626</v>
      </c>
      <c r="B190" s="73" t="e">
        <f>VLOOKUP(A190,SÜRELER!A:B,2,0)</f>
        <v>#N/A</v>
      </c>
      <c r="C190" s="57">
        <v>10</v>
      </c>
      <c r="D190" s="58"/>
      <c r="E190" s="59"/>
      <c r="G190" t="str">
        <f t="shared" si="3"/>
        <v>150060150060536</v>
      </c>
    </row>
    <row r="191" spans="1:7" ht="14.5" x14ac:dyDescent="0.35">
      <c r="A191" s="107" t="s">
        <v>3626</v>
      </c>
      <c r="B191" s="73" t="e">
        <f>VLOOKUP(A191,SÜRELER!A:B,2,0)</f>
        <v>#N/A</v>
      </c>
      <c r="C191" s="33">
        <v>4</v>
      </c>
      <c r="D191" s="34"/>
      <c r="E191" s="35"/>
      <c r="G191" t="str">
        <f t="shared" si="3"/>
        <v>150060150060536</v>
      </c>
    </row>
    <row r="192" spans="1:7" ht="14.5" x14ac:dyDescent="0.35">
      <c r="A192" s="107" t="s">
        <v>3627</v>
      </c>
      <c r="B192" s="73" t="e">
        <f>VLOOKUP(A192,SÜRELER!A:B,2,0)</f>
        <v>#N/A</v>
      </c>
      <c r="C192" s="33">
        <v>8</v>
      </c>
      <c r="D192" s="34"/>
      <c r="E192" s="35"/>
      <c r="G192" t="str">
        <f t="shared" si="3"/>
        <v>150060150060537</v>
      </c>
    </row>
    <row r="193" spans="1:7" ht="14.5" x14ac:dyDescent="0.35">
      <c r="A193" s="107" t="s">
        <v>3628</v>
      </c>
      <c r="B193" s="73" t="e">
        <f>VLOOKUP(A193,SÜRELER!A:B,2,0)</f>
        <v>#N/A</v>
      </c>
      <c r="C193" s="33">
        <v>8</v>
      </c>
      <c r="D193" s="34"/>
      <c r="E193" s="35"/>
      <c r="G193" t="str">
        <f t="shared" si="3"/>
        <v>150060150060538</v>
      </c>
    </row>
    <row r="194" spans="1:7" ht="14.5" x14ac:dyDescent="0.35">
      <c r="A194" s="107" t="s">
        <v>3629</v>
      </c>
      <c r="B194" s="73" t="e">
        <f>VLOOKUP(A194,SÜRELER!A:B,2,0)</f>
        <v>#N/A</v>
      </c>
      <c r="C194" s="33">
        <v>8</v>
      </c>
      <c r="D194" s="34"/>
      <c r="E194" s="35"/>
      <c r="G194" t="str">
        <f t="shared" si="3"/>
        <v>150060150060539</v>
      </c>
    </row>
    <row r="195" spans="1:7" ht="14.5" x14ac:dyDescent="0.35">
      <c r="A195" s="107" t="s">
        <v>3630</v>
      </c>
      <c r="B195" s="73" t="e">
        <f>VLOOKUP(A195,SÜRELER!A:B,2,0)</f>
        <v>#N/A</v>
      </c>
      <c r="C195" s="33">
        <v>10</v>
      </c>
      <c r="D195" s="34"/>
      <c r="E195" s="35"/>
      <c r="G195" t="str">
        <f t="shared" si="3"/>
        <v>150060150060540</v>
      </c>
    </row>
    <row r="196" spans="1:7" ht="14.5" x14ac:dyDescent="0.35">
      <c r="A196" s="107" t="s">
        <v>3631</v>
      </c>
      <c r="B196" s="73" t="e">
        <f>VLOOKUP(A196,SÜRELER!A:B,2,0)</f>
        <v>#N/A</v>
      </c>
      <c r="C196" s="33">
        <v>10</v>
      </c>
      <c r="D196" s="34"/>
      <c r="E196" s="35"/>
      <c r="G196" t="str">
        <f t="shared" si="3"/>
        <v>150060150060541</v>
      </c>
    </row>
    <row r="197" spans="1:7" ht="14.5" x14ac:dyDescent="0.35">
      <c r="A197" s="107" t="s">
        <v>3632</v>
      </c>
      <c r="B197" s="73" t="e">
        <f>VLOOKUP(A197,SÜRELER!A:B,2,0)</f>
        <v>#N/A</v>
      </c>
      <c r="C197" s="33">
        <v>10</v>
      </c>
      <c r="D197" s="34"/>
      <c r="E197" s="35"/>
      <c r="G197" t="str">
        <f t="shared" si="3"/>
        <v>150060150060542</v>
      </c>
    </row>
    <row r="198" spans="1:7" ht="14.5" x14ac:dyDescent="0.35">
      <c r="A198" s="107" t="s">
        <v>3633</v>
      </c>
      <c r="B198" s="73" t="e">
        <f>VLOOKUP(A198,SÜRELER!A:B,2,0)</f>
        <v>#N/A</v>
      </c>
      <c r="C198" s="33">
        <v>10</v>
      </c>
      <c r="D198" s="34"/>
      <c r="E198" s="35"/>
      <c r="G198" t="str">
        <f t="shared" si="3"/>
        <v>150060150060543</v>
      </c>
    </row>
    <row r="199" spans="1:7" ht="14.5" x14ac:dyDescent="0.35">
      <c r="A199" s="107" t="s">
        <v>3634</v>
      </c>
      <c r="B199" s="73" t="e">
        <f>VLOOKUP(A199,SÜRELER!A:B,2,0)</f>
        <v>#N/A</v>
      </c>
      <c r="C199" s="57">
        <v>10</v>
      </c>
      <c r="D199" s="58"/>
      <c r="E199" s="59"/>
      <c r="G199" t="str">
        <f t="shared" si="3"/>
        <v>150060150060544</v>
      </c>
    </row>
    <row r="200" spans="1:7" ht="14.5" x14ac:dyDescent="0.35">
      <c r="A200" s="107" t="s">
        <v>3635</v>
      </c>
      <c r="B200" s="73" t="e">
        <f>VLOOKUP(A200,SÜRELER!A:B,2,0)</f>
        <v>#N/A</v>
      </c>
      <c r="C200" s="57">
        <v>10</v>
      </c>
      <c r="D200" s="58"/>
      <c r="E200" s="59"/>
      <c r="G200" t="str">
        <f t="shared" si="3"/>
        <v>150060150060545</v>
      </c>
    </row>
    <row r="201" spans="1:7" ht="14.5" x14ac:dyDescent="0.35">
      <c r="A201" s="107" t="s">
        <v>3636</v>
      </c>
      <c r="B201" s="73" t="e">
        <f>VLOOKUP(A201,SÜRELER!A:B,2,0)</f>
        <v>#N/A</v>
      </c>
      <c r="C201" s="33">
        <v>8</v>
      </c>
      <c r="D201" s="34"/>
      <c r="E201" s="35"/>
      <c r="G201" t="str">
        <f t="shared" si="3"/>
        <v>150060150060546</v>
      </c>
    </row>
    <row r="202" spans="1:7" ht="14.5" x14ac:dyDescent="0.35">
      <c r="A202" s="107" t="s">
        <v>3637</v>
      </c>
      <c r="B202" s="73" t="e">
        <f>VLOOKUP(A202,SÜRELER!A:B,2,0)</f>
        <v>#N/A</v>
      </c>
      <c r="C202" s="33">
        <v>8</v>
      </c>
      <c r="D202" s="34"/>
      <c r="E202" s="35"/>
      <c r="G202" t="str">
        <f t="shared" si="3"/>
        <v>150060150060547</v>
      </c>
    </row>
    <row r="203" spans="1:7" ht="14.5" x14ac:dyDescent="0.35">
      <c r="A203" s="107" t="s">
        <v>3638</v>
      </c>
      <c r="B203" s="73" t="e">
        <f>VLOOKUP(A203,SÜRELER!A:B,2,0)</f>
        <v>#N/A</v>
      </c>
      <c r="C203" s="57">
        <v>8</v>
      </c>
      <c r="D203" s="58"/>
      <c r="E203" s="59"/>
      <c r="G203" t="str">
        <f t="shared" si="3"/>
        <v>150060150060548</v>
      </c>
    </row>
    <row r="204" spans="1:7" ht="14.5" x14ac:dyDescent="0.35">
      <c r="A204" s="107" t="s">
        <v>3639</v>
      </c>
      <c r="B204" s="73" t="e">
        <f>VLOOKUP(A204,SÜRELER!A:B,2,0)</f>
        <v>#N/A</v>
      </c>
      <c r="C204" s="57">
        <v>8</v>
      </c>
      <c r="D204" s="58"/>
      <c r="E204" s="59"/>
      <c r="G204" t="str">
        <f t="shared" si="3"/>
        <v>150060150060549</v>
      </c>
    </row>
    <row r="205" spans="1:7" ht="14.5" x14ac:dyDescent="0.35">
      <c r="A205" s="107" t="s">
        <v>3640</v>
      </c>
      <c r="B205" s="73" t="e">
        <f>VLOOKUP(A205,SÜRELER!A:B,2,0)</f>
        <v>#N/A</v>
      </c>
      <c r="C205" s="33">
        <v>15</v>
      </c>
      <c r="D205" s="34"/>
      <c r="E205" s="35"/>
      <c r="G205" t="str">
        <f t="shared" si="3"/>
        <v>150060150060550</v>
      </c>
    </row>
    <row r="206" spans="1:7" ht="14.5" x14ac:dyDescent="0.35">
      <c r="A206" s="107" t="s">
        <v>3641</v>
      </c>
      <c r="B206" s="73" t="e">
        <f>VLOOKUP(A206,SÜRELER!A:B,2,0)</f>
        <v>#N/A</v>
      </c>
      <c r="C206" s="33">
        <v>15</v>
      </c>
      <c r="D206" s="34"/>
      <c r="E206" s="35"/>
      <c r="G206" t="str">
        <f t="shared" si="3"/>
        <v>150060150060551</v>
      </c>
    </row>
    <row r="207" spans="1:7" ht="14.5" x14ac:dyDescent="0.35">
      <c r="A207" s="107" t="s">
        <v>3642</v>
      </c>
      <c r="B207" s="73" t="e">
        <f>VLOOKUP(A207,SÜRELER!A:B,2,0)</f>
        <v>#N/A</v>
      </c>
      <c r="C207" s="33">
        <v>2.5</v>
      </c>
      <c r="D207" s="34"/>
      <c r="E207" s="35"/>
      <c r="G207" t="str">
        <f t="shared" si="3"/>
        <v>150060150060552</v>
      </c>
    </row>
    <row r="208" spans="1:7" ht="14.5" x14ac:dyDescent="0.35">
      <c r="A208" s="107" t="s">
        <v>3643</v>
      </c>
      <c r="B208" s="73" t="e">
        <f>VLOOKUP(A208,SÜRELER!A:B,2,0)</f>
        <v>#N/A</v>
      </c>
      <c r="C208" s="33">
        <v>2.5</v>
      </c>
      <c r="D208" s="34"/>
      <c r="E208" s="35"/>
      <c r="G208" t="str">
        <f t="shared" si="3"/>
        <v>150060150060553</v>
      </c>
    </row>
    <row r="209" spans="1:7" ht="14.5" x14ac:dyDescent="0.35">
      <c r="A209" s="107" t="s">
        <v>3644</v>
      </c>
      <c r="B209" s="73" t="e">
        <f>VLOOKUP(A209,SÜRELER!A:B,2,0)</f>
        <v>#N/A</v>
      </c>
      <c r="C209" s="33">
        <v>3</v>
      </c>
      <c r="D209" s="34"/>
      <c r="E209" s="35"/>
      <c r="G209" t="str">
        <f t="shared" si="3"/>
        <v>150060150060556</v>
      </c>
    </row>
    <row r="210" spans="1:7" ht="14.5" x14ac:dyDescent="0.35">
      <c r="A210" s="107" t="s">
        <v>3645</v>
      </c>
      <c r="B210" s="73" t="e">
        <f>VLOOKUP(A210,SÜRELER!A:B,2,0)</f>
        <v>#N/A</v>
      </c>
      <c r="C210" s="33">
        <v>3</v>
      </c>
      <c r="D210" s="34"/>
      <c r="E210" s="35"/>
      <c r="G210" t="str">
        <f t="shared" si="3"/>
        <v>150060150060557</v>
      </c>
    </row>
    <row r="211" spans="1:7" ht="14.5" x14ac:dyDescent="0.35">
      <c r="A211" s="107" t="s">
        <v>3646</v>
      </c>
      <c r="B211" s="73" t="e">
        <f>VLOOKUP(A211,SÜRELER!A:B,2,0)</f>
        <v>#N/A</v>
      </c>
      <c r="C211" s="33">
        <v>5</v>
      </c>
      <c r="D211" s="34"/>
      <c r="E211" s="35"/>
      <c r="G211" t="str">
        <f t="shared" si="3"/>
        <v>150060150060560</v>
      </c>
    </row>
    <row r="212" spans="1:7" ht="14.5" x14ac:dyDescent="0.35">
      <c r="A212" s="107" t="s">
        <v>3647</v>
      </c>
      <c r="B212" s="73" t="e">
        <f>VLOOKUP(A212,SÜRELER!A:B,2,0)</f>
        <v>#N/A</v>
      </c>
      <c r="C212" s="33">
        <v>5</v>
      </c>
      <c r="D212" s="34"/>
      <c r="E212" s="35"/>
      <c r="G212" t="str">
        <f t="shared" si="3"/>
        <v>150060150060561</v>
      </c>
    </row>
    <row r="213" spans="1:7" ht="14.5" x14ac:dyDescent="0.35">
      <c r="A213" s="107" t="s">
        <v>3648</v>
      </c>
      <c r="B213" s="73" t="e">
        <f>VLOOKUP(A213,SÜRELER!A:B,2,0)</f>
        <v>#N/A</v>
      </c>
      <c r="C213" s="33">
        <v>5</v>
      </c>
      <c r="D213" s="44"/>
      <c r="E213" s="45"/>
      <c r="G213" t="str">
        <f t="shared" si="3"/>
        <v>150060150060562</v>
      </c>
    </row>
    <row r="214" spans="1:7" ht="14.5" x14ac:dyDescent="0.35">
      <c r="A214" s="107" t="s">
        <v>3649</v>
      </c>
      <c r="B214" s="73" t="e">
        <f>VLOOKUP(A214,SÜRELER!A:B,2,0)</f>
        <v>#N/A</v>
      </c>
      <c r="C214" s="33">
        <v>5</v>
      </c>
      <c r="D214" s="44"/>
      <c r="E214" s="45"/>
      <c r="G214" t="str">
        <f t="shared" si="3"/>
        <v>150060150060563</v>
      </c>
    </row>
    <row r="215" spans="1:7" ht="14.5" x14ac:dyDescent="0.35">
      <c r="A215" s="107" t="s">
        <v>3650</v>
      </c>
      <c r="B215" s="73" t="e">
        <f>VLOOKUP(A215,SÜRELER!A:B,2,0)</f>
        <v>#N/A</v>
      </c>
      <c r="C215" s="43">
        <v>5</v>
      </c>
      <c r="D215" s="44"/>
      <c r="E215" s="45"/>
      <c r="G215" t="str">
        <f t="shared" si="3"/>
        <v>150060150060564</v>
      </c>
    </row>
    <row r="216" spans="1:7" ht="14.5" x14ac:dyDescent="0.35">
      <c r="A216" s="107" t="s">
        <v>3651</v>
      </c>
      <c r="B216" s="73" t="e">
        <f>VLOOKUP(A216,SÜRELER!A:B,2,0)</f>
        <v>#N/A</v>
      </c>
      <c r="C216" s="43">
        <v>5</v>
      </c>
      <c r="D216" s="44"/>
      <c r="E216" s="45"/>
      <c r="G216" t="str">
        <f t="shared" ref="G216:G279" si="4">CONCATENATE($F$23,A216,)</f>
        <v>150060150060565</v>
      </c>
    </row>
    <row r="217" spans="1:7" ht="14.5" x14ac:dyDescent="0.35">
      <c r="A217" s="107" t="s">
        <v>3652</v>
      </c>
      <c r="B217" s="73" t="e">
        <f>VLOOKUP(A217,SÜRELER!A:B,2,0)</f>
        <v>#N/A</v>
      </c>
      <c r="C217" s="33">
        <v>5</v>
      </c>
      <c r="D217" s="34"/>
      <c r="E217" s="35"/>
      <c r="G217" t="str">
        <f t="shared" si="4"/>
        <v>150060150060566</v>
      </c>
    </row>
    <row r="218" spans="1:7" ht="14.5" x14ac:dyDescent="0.35">
      <c r="A218" s="107" t="s">
        <v>3653</v>
      </c>
      <c r="B218" s="73" t="e">
        <f>VLOOKUP(A218,SÜRELER!A:B,2,0)</f>
        <v>#N/A</v>
      </c>
      <c r="C218" s="33">
        <v>5</v>
      </c>
      <c r="D218" s="34"/>
      <c r="E218" s="35"/>
      <c r="G218" t="str">
        <f t="shared" si="4"/>
        <v>150060150060567</v>
      </c>
    </row>
    <row r="219" spans="1:7" ht="14.5" x14ac:dyDescent="0.35">
      <c r="A219" s="107" t="s">
        <v>3654</v>
      </c>
      <c r="B219" s="73" t="e">
        <f>VLOOKUP(A219,SÜRELER!A:B,2,0)</f>
        <v>#N/A</v>
      </c>
      <c r="C219" s="33">
        <v>1</v>
      </c>
      <c r="D219" s="34"/>
      <c r="E219" s="35"/>
      <c r="G219" t="str">
        <f t="shared" si="4"/>
        <v>150060150060568</v>
      </c>
    </row>
    <row r="220" spans="1:7" ht="14.5" x14ac:dyDescent="0.35">
      <c r="A220" s="107" t="s">
        <v>3655</v>
      </c>
      <c r="B220" s="73" t="e">
        <f>VLOOKUP(A220,SÜRELER!A:B,2,0)</f>
        <v>#N/A</v>
      </c>
      <c r="C220" s="33">
        <v>1</v>
      </c>
      <c r="D220" s="34"/>
      <c r="E220" s="35"/>
      <c r="G220" t="str">
        <f t="shared" si="4"/>
        <v>150060150060569</v>
      </c>
    </row>
    <row r="221" spans="1:7" ht="14.5" x14ac:dyDescent="0.35">
      <c r="A221" s="107" t="s">
        <v>3656</v>
      </c>
      <c r="B221" s="73" t="e">
        <f>VLOOKUP(A221,SÜRELER!A:B,2,0)</f>
        <v>#N/A</v>
      </c>
      <c r="C221" s="57">
        <v>5</v>
      </c>
      <c r="D221" s="58"/>
      <c r="E221" s="59"/>
      <c r="G221" t="str">
        <f t="shared" si="4"/>
        <v>150060150060570</v>
      </c>
    </row>
    <row r="222" spans="1:7" ht="14.5" x14ac:dyDescent="0.35">
      <c r="A222" s="107" t="s">
        <v>3657</v>
      </c>
      <c r="B222" s="73" t="e">
        <f>VLOOKUP(A222,SÜRELER!A:B,2,0)</f>
        <v>#N/A</v>
      </c>
      <c r="C222" s="57">
        <v>5</v>
      </c>
      <c r="D222" s="58"/>
      <c r="E222" s="59"/>
      <c r="G222" t="str">
        <f t="shared" si="4"/>
        <v>150060150060571</v>
      </c>
    </row>
    <row r="223" spans="1:7" ht="14.5" x14ac:dyDescent="0.35">
      <c r="A223" s="107" t="s">
        <v>3658</v>
      </c>
      <c r="B223" s="73" t="e">
        <f>VLOOKUP(A223,SÜRELER!A:B,2,0)</f>
        <v>#N/A</v>
      </c>
      <c r="C223" s="33">
        <v>2</v>
      </c>
      <c r="D223" s="34"/>
      <c r="E223" s="35"/>
      <c r="G223" t="str">
        <f t="shared" si="4"/>
        <v>150060150060573</v>
      </c>
    </row>
    <row r="224" spans="1:7" ht="14.5" x14ac:dyDescent="0.35">
      <c r="A224" s="107" t="s">
        <v>3659</v>
      </c>
      <c r="B224" s="73" t="e">
        <f>VLOOKUP(A224,SÜRELER!A:B,2,0)</f>
        <v>#N/A</v>
      </c>
      <c r="C224" s="33">
        <v>10</v>
      </c>
      <c r="D224" s="34"/>
      <c r="E224" s="35"/>
      <c r="G224" t="str">
        <f t="shared" si="4"/>
        <v>150060150060576</v>
      </c>
    </row>
    <row r="225" spans="1:7" ht="14.5" x14ac:dyDescent="0.35">
      <c r="A225" s="107" t="s">
        <v>3660</v>
      </c>
      <c r="B225" s="73" t="e">
        <f>VLOOKUP(A225,SÜRELER!A:B,2,0)</f>
        <v>#N/A</v>
      </c>
      <c r="C225" s="33">
        <v>8</v>
      </c>
      <c r="D225" s="34"/>
      <c r="E225" s="35"/>
      <c r="G225" t="str">
        <f t="shared" si="4"/>
        <v>150060150060577</v>
      </c>
    </row>
    <row r="226" spans="1:7" ht="14.5" x14ac:dyDescent="0.35">
      <c r="A226" s="107" t="s">
        <v>3661</v>
      </c>
      <c r="B226" s="73" t="e">
        <f>VLOOKUP(A226,SÜRELER!A:B,2,0)</f>
        <v>#N/A</v>
      </c>
      <c r="C226" s="33">
        <v>3</v>
      </c>
      <c r="D226" s="34"/>
      <c r="E226" s="35"/>
      <c r="G226" t="str">
        <f t="shared" si="4"/>
        <v>150060150060578</v>
      </c>
    </row>
    <row r="227" spans="1:7" ht="14.5" x14ac:dyDescent="0.35">
      <c r="A227" s="107" t="s">
        <v>3662</v>
      </c>
      <c r="B227" s="73" t="e">
        <f>VLOOKUP(A227,SÜRELER!A:B,2,0)</f>
        <v>#N/A</v>
      </c>
      <c r="C227" s="33">
        <v>3</v>
      </c>
      <c r="D227" s="34"/>
      <c r="E227" s="35"/>
      <c r="G227" t="str">
        <f t="shared" si="4"/>
        <v>150060150060579</v>
      </c>
    </row>
    <row r="228" spans="1:7" ht="14.5" x14ac:dyDescent="0.35">
      <c r="A228" s="107" t="s">
        <v>3663</v>
      </c>
      <c r="B228" s="73" t="e">
        <f>VLOOKUP(A228,SÜRELER!A:B,2,0)</f>
        <v>#N/A</v>
      </c>
      <c r="C228" s="33">
        <v>10</v>
      </c>
      <c r="D228" s="34"/>
      <c r="E228" s="35"/>
      <c r="G228" t="str">
        <f t="shared" si="4"/>
        <v>150060150060580</v>
      </c>
    </row>
    <row r="229" spans="1:7" ht="14.5" x14ac:dyDescent="0.35">
      <c r="A229" s="107" t="s">
        <v>3664</v>
      </c>
      <c r="B229" s="73" t="e">
        <f>VLOOKUP(A229,SÜRELER!A:B,2,0)</f>
        <v>#N/A</v>
      </c>
      <c r="C229" s="33">
        <v>10</v>
      </c>
      <c r="D229" s="34"/>
      <c r="E229" s="35"/>
      <c r="G229" t="str">
        <f t="shared" si="4"/>
        <v>150060150060581</v>
      </c>
    </row>
    <row r="230" spans="1:7" ht="14.5" x14ac:dyDescent="0.35">
      <c r="A230" s="107" t="s">
        <v>3665</v>
      </c>
      <c r="B230" s="73" t="e">
        <f>VLOOKUP(A230,SÜRELER!A:B,2,0)</f>
        <v>#N/A</v>
      </c>
      <c r="C230" s="33">
        <v>6</v>
      </c>
      <c r="D230" s="34"/>
      <c r="E230" s="35"/>
      <c r="G230" t="str">
        <f t="shared" si="4"/>
        <v>150060150060582</v>
      </c>
    </row>
    <row r="231" spans="1:7" ht="14.5" x14ac:dyDescent="0.35">
      <c r="A231" s="107" t="s">
        <v>3666</v>
      </c>
      <c r="B231" s="73" t="e">
        <f>VLOOKUP(A231,SÜRELER!A:B,2,0)</f>
        <v>#N/A</v>
      </c>
      <c r="C231" s="33">
        <v>6</v>
      </c>
      <c r="D231" s="34"/>
      <c r="E231" s="35"/>
      <c r="G231" t="str">
        <f t="shared" si="4"/>
        <v>150060150060583</v>
      </c>
    </row>
    <row r="232" spans="1:7" ht="14.5" x14ac:dyDescent="0.35">
      <c r="A232" s="107" t="s">
        <v>3667</v>
      </c>
      <c r="B232" s="73" t="e">
        <f>VLOOKUP(A232,SÜRELER!A:B,2,0)</f>
        <v>#N/A</v>
      </c>
      <c r="C232" s="33">
        <v>3</v>
      </c>
      <c r="D232" s="34"/>
      <c r="E232" s="35"/>
      <c r="G232" t="str">
        <f t="shared" si="4"/>
        <v>150060150060584</v>
      </c>
    </row>
    <row r="233" spans="1:7" ht="14.5" x14ac:dyDescent="0.35">
      <c r="A233" s="107" t="s">
        <v>3668</v>
      </c>
      <c r="B233" s="73" t="e">
        <f>VLOOKUP(A233,SÜRELER!A:B,2,0)</f>
        <v>#N/A</v>
      </c>
      <c r="C233" s="33">
        <v>3</v>
      </c>
      <c r="D233" s="34"/>
      <c r="E233" s="35"/>
      <c r="G233" t="str">
        <f t="shared" si="4"/>
        <v>150060150060585</v>
      </c>
    </row>
    <row r="234" spans="1:7" ht="14.5" x14ac:dyDescent="0.35">
      <c r="A234" s="107" t="s">
        <v>3669</v>
      </c>
      <c r="B234" s="73" t="e">
        <f>VLOOKUP(A234,SÜRELER!A:B,2,0)</f>
        <v>#N/A</v>
      </c>
      <c r="C234" s="33">
        <v>5</v>
      </c>
      <c r="D234" s="34"/>
      <c r="E234" s="35"/>
      <c r="G234" t="str">
        <f t="shared" si="4"/>
        <v>150060150060586</v>
      </c>
    </row>
    <row r="235" spans="1:7" ht="14.5" x14ac:dyDescent="0.35">
      <c r="A235" s="107" t="s">
        <v>3670</v>
      </c>
      <c r="B235" s="73" t="e">
        <f>VLOOKUP(A235,SÜRELER!A:B,2,0)</f>
        <v>#N/A</v>
      </c>
      <c r="C235" s="33">
        <v>5</v>
      </c>
      <c r="D235" s="34"/>
      <c r="E235" s="35"/>
      <c r="G235" t="str">
        <f t="shared" si="4"/>
        <v>150060150060587</v>
      </c>
    </row>
    <row r="236" spans="1:7" ht="14.5" x14ac:dyDescent="0.35">
      <c r="A236" s="107" t="s">
        <v>3671</v>
      </c>
      <c r="B236" s="73" t="e">
        <f>VLOOKUP(A236,SÜRELER!A:B,2,0)</f>
        <v>#N/A</v>
      </c>
      <c r="C236" s="33">
        <v>10</v>
      </c>
      <c r="D236" s="34"/>
      <c r="E236" s="35"/>
      <c r="G236" t="str">
        <f t="shared" si="4"/>
        <v>150060150060596</v>
      </c>
    </row>
    <row r="237" spans="1:7" ht="14.5" x14ac:dyDescent="0.35">
      <c r="A237" s="107" t="s">
        <v>3672</v>
      </c>
      <c r="B237" s="73" t="e">
        <f>VLOOKUP(A237,SÜRELER!A:B,2,0)</f>
        <v>#N/A</v>
      </c>
      <c r="C237" s="33">
        <v>10</v>
      </c>
      <c r="D237" s="34"/>
      <c r="E237" s="35"/>
      <c r="G237" t="str">
        <f t="shared" si="4"/>
        <v>150060150060597</v>
      </c>
    </row>
    <row r="238" spans="1:7" ht="14.5" x14ac:dyDescent="0.35">
      <c r="A238" s="107" t="s">
        <v>3673</v>
      </c>
      <c r="B238" s="73" t="e">
        <f>VLOOKUP(A238,SÜRELER!A:B,2,0)</f>
        <v>#N/A</v>
      </c>
      <c r="C238" s="33">
        <v>10</v>
      </c>
      <c r="D238" s="34"/>
      <c r="E238" s="35"/>
      <c r="G238" t="str">
        <f t="shared" si="4"/>
        <v>150060150060598</v>
      </c>
    </row>
    <row r="239" spans="1:7" ht="14.5" x14ac:dyDescent="0.35">
      <c r="A239" s="107" t="s">
        <v>3674</v>
      </c>
      <c r="B239" s="73" t="e">
        <f>VLOOKUP(A239,SÜRELER!A:B,2,0)</f>
        <v>#N/A</v>
      </c>
      <c r="C239" s="33">
        <v>10</v>
      </c>
      <c r="D239" s="34"/>
      <c r="E239" s="35"/>
      <c r="G239" t="str">
        <f t="shared" si="4"/>
        <v>150060150060599</v>
      </c>
    </row>
    <row r="240" spans="1:7" ht="14.5" x14ac:dyDescent="0.35">
      <c r="A240" s="107" t="s">
        <v>3675</v>
      </c>
      <c r="B240" s="73" t="e">
        <f>VLOOKUP(A240,SÜRELER!A:B,2,0)</f>
        <v>#N/A</v>
      </c>
      <c r="C240" s="33">
        <v>5</v>
      </c>
      <c r="D240" s="34"/>
      <c r="E240" s="35"/>
      <c r="G240" t="str">
        <f t="shared" si="4"/>
        <v>150060150060605</v>
      </c>
    </row>
    <row r="241" spans="1:7" ht="14.5" x14ac:dyDescent="0.35">
      <c r="A241" s="107" t="s">
        <v>3676</v>
      </c>
      <c r="B241" s="73" t="e">
        <f>VLOOKUP(A241,SÜRELER!A:B,2,0)</f>
        <v>#N/A</v>
      </c>
      <c r="C241" s="33">
        <v>3</v>
      </c>
      <c r="D241" s="44"/>
      <c r="E241" s="45"/>
      <c r="G241" t="str">
        <f t="shared" si="4"/>
        <v>150060150060675</v>
      </c>
    </row>
    <row r="242" spans="1:7" ht="14.5" x14ac:dyDescent="0.35">
      <c r="A242" s="107" t="s">
        <v>3677</v>
      </c>
      <c r="B242" s="73" t="e">
        <f>VLOOKUP(A242,SÜRELER!A:B,2,0)</f>
        <v>#N/A</v>
      </c>
      <c r="C242" s="43">
        <v>5</v>
      </c>
      <c r="D242" s="44"/>
      <c r="E242" s="45"/>
      <c r="G242" t="str">
        <f t="shared" si="4"/>
        <v>150060150060677</v>
      </c>
    </row>
    <row r="243" spans="1:7" ht="14.5" x14ac:dyDescent="0.35">
      <c r="A243" s="107" t="s">
        <v>3678</v>
      </c>
      <c r="B243" s="73" t="e">
        <f>VLOOKUP(A243,SÜRELER!A:B,2,0)</f>
        <v>#N/A</v>
      </c>
      <c r="C243" s="33">
        <v>3</v>
      </c>
      <c r="D243" s="34"/>
      <c r="E243" s="35"/>
      <c r="G243" t="str">
        <f t="shared" si="4"/>
        <v>150060150060688</v>
      </c>
    </row>
    <row r="244" spans="1:7" ht="14.5" x14ac:dyDescent="0.35">
      <c r="A244" s="107" t="s">
        <v>3679</v>
      </c>
      <c r="B244" s="73" t="e">
        <f>VLOOKUP(A244,SÜRELER!A:B,2,0)</f>
        <v>#N/A</v>
      </c>
      <c r="C244" s="33">
        <v>1</v>
      </c>
      <c r="D244" s="34"/>
      <c r="E244" s="35"/>
      <c r="G244" t="str">
        <f t="shared" si="4"/>
        <v>150060150060690</v>
      </c>
    </row>
    <row r="245" spans="1:7" ht="14.5" x14ac:dyDescent="0.35">
      <c r="A245" s="107" t="s">
        <v>3680</v>
      </c>
      <c r="B245" s="73" t="e">
        <f>VLOOKUP(A245,SÜRELER!A:B,2,0)</f>
        <v>#N/A</v>
      </c>
      <c r="C245" s="33">
        <v>5</v>
      </c>
      <c r="D245" s="34"/>
      <c r="E245" s="35"/>
      <c r="G245" t="str">
        <f t="shared" si="4"/>
        <v>150060150060697</v>
      </c>
    </row>
    <row r="246" spans="1:7" ht="14.5" x14ac:dyDescent="0.35">
      <c r="A246" s="107" t="s">
        <v>3681</v>
      </c>
      <c r="B246" s="73" t="e">
        <f>VLOOKUP(A246,SÜRELER!A:B,2,0)</f>
        <v>#N/A</v>
      </c>
      <c r="C246" s="33">
        <v>5</v>
      </c>
      <c r="D246" s="34"/>
      <c r="E246" s="35"/>
      <c r="G246" t="str">
        <f t="shared" si="4"/>
        <v>150060150060698</v>
      </c>
    </row>
    <row r="247" spans="1:7" ht="14.5" x14ac:dyDescent="0.35">
      <c r="A247" s="107" t="s">
        <v>3682</v>
      </c>
      <c r="B247" s="73" t="e">
        <f>VLOOKUP(A247,SÜRELER!A:B,2,0)</f>
        <v>#N/A</v>
      </c>
      <c r="C247" s="33">
        <v>6</v>
      </c>
      <c r="D247" s="34"/>
      <c r="E247" s="35"/>
      <c r="G247" t="str">
        <f t="shared" si="4"/>
        <v>150060150060699</v>
      </c>
    </row>
    <row r="248" spans="1:7" ht="14.5" x14ac:dyDescent="0.35">
      <c r="A248" s="107" t="s">
        <v>3683</v>
      </c>
      <c r="B248" s="73" t="e">
        <f>VLOOKUP(A248,SÜRELER!A:B,2,0)</f>
        <v>#N/A</v>
      </c>
      <c r="C248" s="43">
        <v>10</v>
      </c>
      <c r="D248" s="44"/>
      <c r="E248" s="45"/>
      <c r="G248" t="str">
        <f t="shared" si="4"/>
        <v>150060150060700</v>
      </c>
    </row>
    <row r="249" spans="1:7" ht="14.5" x14ac:dyDescent="0.35">
      <c r="A249" s="107" t="s">
        <v>3684</v>
      </c>
      <c r="B249" s="73" t="e">
        <f>VLOOKUP(A249,SÜRELER!A:B,2,0)</f>
        <v>#N/A</v>
      </c>
      <c r="C249" s="43">
        <v>8</v>
      </c>
      <c r="D249" s="44"/>
      <c r="E249" s="45"/>
      <c r="G249" t="str">
        <f t="shared" si="4"/>
        <v>150060150060701</v>
      </c>
    </row>
    <row r="250" spans="1:7" ht="14.5" x14ac:dyDescent="0.35">
      <c r="A250" s="107" t="s">
        <v>3685</v>
      </c>
      <c r="B250" s="73" t="e">
        <f>VLOOKUP(A250,SÜRELER!A:B,2,0)</f>
        <v>#N/A</v>
      </c>
      <c r="C250" s="43">
        <v>8</v>
      </c>
      <c r="D250" s="44"/>
      <c r="E250" s="45"/>
      <c r="G250" t="str">
        <f t="shared" si="4"/>
        <v>150060150060702</v>
      </c>
    </row>
    <row r="251" spans="1:7" ht="14.5" x14ac:dyDescent="0.35">
      <c r="A251" s="107" t="s">
        <v>3686</v>
      </c>
      <c r="B251" s="73" t="e">
        <f>VLOOKUP(A251,SÜRELER!A:B,2,0)</f>
        <v>#N/A</v>
      </c>
      <c r="C251" s="43"/>
      <c r="D251" s="44"/>
      <c r="E251" s="45"/>
      <c r="G251" t="str">
        <f t="shared" si="4"/>
        <v>150060150060703</v>
      </c>
    </row>
    <row r="252" spans="1:7" ht="14.5" x14ac:dyDescent="0.35">
      <c r="A252" s="107" t="s">
        <v>3687</v>
      </c>
      <c r="B252" s="73" t="e">
        <f>VLOOKUP(A252,SÜRELER!A:B,2,0)</f>
        <v>#N/A</v>
      </c>
      <c r="C252" s="43"/>
      <c r="D252" s="44"/>
      <c r="E252" s="45"/>
      <c r="G252" t="str">
        <f t="shared" si="4"/>
        <v>150060150060704</v>
      </c>
    </row>
    <row r="253" spans="1:7" ht="14.5" x14ac:dyDescent="0.35">
      <c r="A253" s="107" t="s">
        <v>3688</v>
      </c>
      <c r="B253" s="73" t="e">
        <f>VLOOKUP(A253,SÜRELER!A:B,2,0)</f>
        <v>#N/A</v>
      </c>
      <c r="C253" s="43"/>
      <c r="D253" s="44"/>
      <c r="E253" s="45"/>
      <c r="G253" t="str">
        <f t="shared" si="4"/>
        <v>150060150060705</v>
      </c>
    </row>
    <row r="254" spans="1:7" ht="14.5" x14ac:dyDescent="0.35">
      <c r="A254" s="107" t="s">
        <v>3689</v>
      </c>
      <c r="B254" s="73" t="e">
        <f>VLOOKUP(A254,SÜRELER!A:B,2,0)</f>
        <v>#N/A</v>
      </c>
      <c r="C254" s="43"/>
      <c r="D254" s="44"/>
      <c r="E254" s="45"/>
      <c r="G254" t="str">
        <f t="shared" si="4"/>
        <v>150060150060706</v>
      </c>
    </row>
    <row r="255" spans="1:7" ht="14.5" x14ac:dyDescent="0.35">
      <c r="A255" s="107" t="s">
        <v>3690</v>
      </c>
      <c r="B255" s="73" t="e">
        <f>VLOOKUP(A255,SÜRELER!A:B,2,0)</f>
        <v>#N/A</v>
      </c>
      <c r="C255" s="43"/>
      <c r="D255" s="44"/>
      <c r="E255" s="45"/>
      <c r="G255" t="str">
        <f t="shared" si="4"/>
        <v>150060150060707</v>
      </c>
    </row>
    <row r="256" spans="1:7" ht="14.5" x14ac:dyDescent="0.35">
      <c r="A256" s="107" t="s">
        <v>3691</v>
      </c>
      <c r="B256" s="73" t="e">
        <f>VLOOKUP(A256,SÜRELER!A:B,2,0)</f>
        <v>#N/A</v>
      </c>
      <c r="C256" s="43"/>
      <c r="D256" s="44"/>
      <c r="E256" s="45"/>
      <c r="G256" t="str">
        <f t="shared" si="4"/>
        <v>150060150060708</v>
      </c>
    </row>
    <row r="257" spans="1:7" ht="14.5" x14ac:dyDescent="0.35">
      <c r="A257" s="107" t="s">
        <v>3692</v>
      </c>
      <c r="B257" s="73" t="e">
        <f>VLOOKUP(A257,SÜRELER!A:B,2,0)</f>
        <v>#N/A</v>
      </c>
      <c r="C257" s="43"/>
      <c r="D257" s="44"/>
      <c r="E257" s="45"/>
      <c r="G257" t="str">
        <f t="shared" si="4"/>
        <v>150060150060709</v>
      </c>
    </row>
    <row r="258" spans="1:7" ht="14.5" x14ac:dyDescent="0.35">
      <c r="A258" s="107" t="s">
        <v>3693</v>
      </c>
      <c r="B258" s="73" t="e">
        <f>VLOOKUP(A258,SÜRELER!A:B,2,0)</f>
        <v>#N/A</v>
      </c>
      <c r="C258" s="43">
        <v>10</v>
      </c>
      <c r="D258" s="44"/>
      <c r="E258" s="45"/>
      <c r="G258" t="str">
        <f t="shared" si="4"/>
        <v>150060150060710</v>
      </c>
    </row>
    <row r="259" spans="1:7" ht="14.5" x14ac:dyDescent="0.35">
      <c r="A259" s="107" t="s">
        <v>3694</v>
      </c>
      <c r="B259" s="73" t="e">
        <f>VLOOKUP(A259,SÜRELER!A:B,2,0)</f>
        <v>#N/A</v>
      </c>
      <c r="C259" s="43">
        <v>10</v>
      </c>
      <c r="D259" s="44"/>
      <c r="E259" s="45"/>
      <c r="G259" t="str">
        <f t="shared" si="4"/>
        <v>150060150060711</v>
      </c>
    </row>
    <row r="260" spans="1:7" ht="14.5" x14ac:dyDescent="0.35">
      <c r="A260" s="107" t="s">
        <v>3695</v>
      </c>
      <c r="B260" s="73" t="e">
        <f>VLOOKUP(A260,SÜRELER!A:B,2,0)</f>
        <v>#N/A</v>
      </c>
      <c r="C260" s="43">
        <v>10</v>
      </c>
      <c r="D260" s="44"/>
      <c r="E260" s="45"/>
      <c r="G260" t="str">
        <f t="shared" si="4"/>
        <v>150060150060712</v>
      </c>
    </row>
    <row r="261" spans="1:7" ht="14.5" x14ac:dyDescent="0.35">
      <c r="A261" s="107" t="s">
        <v>3696</v>
      </c>
      <c r="B261" s="73" t="e">
        <f>VLOOKUP(A261,SÜRELER!A:B,2,0)</f>
        <v>#N/A</v>
      </c>
      <c r="C261" s="43">
        <v>10</v>
      </c>
      <c r="D261" s="44"/>
      <c r="E261" s="45"/>
      <c r="G261" t="str">
        <f t="shared" si="4"/>
        <v>150060150060713</v>
      </c>
    </row>
    <row r="262" spans="1:7" ht="14.5" x14ac:dyDescent="0.35">
      <c r="A262" s="107" t="s">
        <v>3697</v>
      </c>
      <c r="B262" s="73" t="e">
        <f>VLOOKUP(A262,SÜRELER!A:B,2,0)</f>
        <v>#N/A</v>
      </c>
      <c r="C262" s="43">
        <v>10</v>
      </c>
      <c r="D262" s="44"/>
      <c r="E262" s="45"/>
      <c r="G262" t="str">
        <f t="shared" si="4"/>
        <v>150060150060714</v>
      </c>
    </row>
    <row r="263" spans="1:7" ht="14.5" x14ac:dyDescent="0.35">
      <c r="A263" s="107" t="s">
        <v>3698</v>
      </c>
      <c r="B263" s="73" t="e">
        <f>VLOOKUP(A263,SÜRELER!A:B,2,0)</f>
        <v>#N/A</v>
      </c>
      <c r="C263" s="43">
        <v>10</v>
      </c>
      <c r="D263" s="44"/>
      <c r="E263" s="45"/>
      <c r="G263" t="str">
        <f t="shared" si="4"/>
        <v>150060150060715</v>
      </c>
    </row>
    <row r="264" spans="1:7" ht="14.5" x14ac:dyDescent="0.35">
      <c r="A264" s="107" t="s">
        <v>3699</v>
      </c>
      <c r="B264" s="73" t="e">
        <f>VLOOKUP(A264,SÜRELER!A:B,2,0)</f>
        <v>#N/A</v>
      </c>
      <c r="C264" s="43">
        <v>0</v>
      </c>
      <c r="D264" s="44"/>
      <c r="E264" s="45"/>
      <c r="G264" t="str">
        <f t="shared" si="4"/>
        <v>150060150060716</v>
      </c>
    </row>
    <row r="265" spans="1:7" ht="14.5" x14ac:dyDescent="0.35">
      <c r="A265" s="107" t="s">
        <v>3700</v>
      </c>
      <c r="B265" s="73" t="e">
        <f>VLOOKUP(A265,SÜRELER!A:B,2,0)</f>
        <v>#N/A</v>
      </c>
      <c r="C265" s="43">
        <v>0</v>
      </c>
      <c r="D265" s="44"/>
      <c r="E265" s="45"/>
      <c r="G265" t="str">
        <f t="shared" si="4"/>
        <v>150060150060717</v>
      </c>
    </row>
    <row r="266" spans="1:7" ht="14.5" x14ac:dyDescent="0.35">
      <c r="A266" s="107" t="s">
        <v>3701</v>
      </c>
      <c r="B266" s="73" t="e">
        <f>VLOOKUP(A266,SÜRELER!A:B,2,0)</f>
        <v>#N/A</v>
      </c>
      <c r="C266" s="43">
        <v>0</v>
      </c>
      <c r="D266" s="44"/>
      <c r="E266" s="45"/>
      <c r="G266" t="str">
        <f t="shared" si="4"/>
        <v>150060150060718</v>
      </c>
    </row>
    <row r="267" spans="1:7" ht="14.5" x14ac:dyDescent="0.35">
      <c r="A267" s="107" t="s">
        <v>3702</v>
      </c>
      <c r="B267" s="73" t="e">
        <f>VLOOKUP(A267,SÜRELER!A:B,2,0)</f>
        <v>#N/A</v>
      </c>
      <c r="C267" s="43">
        <v>0</v>
      </c>
      <c r="D267" s="44"/>
      <c r="E267" s="45"/>
      <c r="G267" t="str">
        <f t="shared" si="4"/>
        <v>150060150060719</v>
      </c>
    </row>
    <row r="268" spans="1:7" ht="14.5" x14ac:dyDescent="0.35">
      <c r="A268" s="107" t="s">
        <v>3703</v>
      </c>
      <c r="B268" s="73" t="e">
        <f>VLOOKUP(A268,SÜRELER!A:B,2,0)</f>
        <v>#N/A</v>
      </c>
      <c r="C268" s="43">
        <v>10</v>
      </c>
      <c r="D268" s="44"/>
      <c r="E268" s="45"/>
      <c r="G268" t="str">
        <f t="shared" si="4"/>
        <v>150060150060720</v>
      </c>
    </row>
    <row r="269" spans="1:7" ht="14.5" x14ac:dyDescent="0.35">
      <c r="A269" s="107" t="s">
        <v>3704</v>
      </c>
      <c r="B269" s="73" t="e">
        <f>VLOOKUP(A269,SÜRELER!A:B,2,0)</f>
        <v>#N/A</v>
      </c>
      <c r="C269" s="43">
        <v>10</v>
      </c>
      <c r="D269" s="44"/>
      <c r="E269" s="45"/>
      <c r="G269" t="str">
        <f t="shared" si="4"/>
        <v>150060150060721</v>
      </c>
    </row>
    <row r="270" spans="1:7" ht="14.5" x14ac:dyDescent="0.35">
      <c r="A270" s="107" t="s">
        <v>3705</v>
      </c>
      <c r="B270" s="73" t="e">
        <f>VLOOKUP(A270,SÜRELER!A:B,2,0)</f>
        <v>#N/A</v>
      </c>
      <c r="C270" s="43">
        <v>5</v>
      </c>
      <c r="D270" s="44"/>
      <c r="E270" s="45"/>
      <c r="G270" t="str">
        <f t="shared" si="4"/>
        <v>150060150060722</v>
      </c>
    </row>
    <row r="271" spans="1:7" ht="14.5" x14ac:dyDescent="0.35">
      <c r="A271" s="107" t="s">
        <v>3706</v>
      </c>
      <c r="B271" s="73" t="e">
        <f>VLOOKUP(A271,SÜRELER!A:B,2,0)</f>
        <v>#N/A</v>
      </c>
      <c r="C271" s="43">
        <v>5</v>
      </c>
      <c r="D271" s="44"/>
      <c r="E271" s="45"/>
      <c r="G271" t="str">
        <f t="shared" si="4"/>
        <v>150060150060723</v>
      </c>
    </row>
    <row r="272" spans="1:7" ht="14.5" x14ac:dyDescent="0.35">
      <c r="A272" s="107" t="s">
        <v>3707</v>
      </c>
      <c r="B272" s="73" t="e">
        <f>VLOOKUP(A272,SÜRELER!A:B,2,0)</f>
        <v>#N/A</v>
      </c>
      <c r="C272" s="43">
        <v>5</v>
      </c>
      <c r="D272" s="44"/>
      <c r="E272" s="45"/>
      <c r="G272" t="str">
        <f t="shared" si="4"/>
        <v>150060150060724</v>
      </c>
    </row>
    <row r="273" spans="1:7" ht="14.5" x14ac:dyDescent="0.35">
      <c r="A273" s="107" t="s">
        <v>3708</v>
      </c>
      <c r="B273" s="73" t="e">
        <f>VLOOKUP(A273,SÜRELER!A:B,2,0)</f>
        <v>#N/A</v>
      </c>
      <c r="C273" s="43">
        <v>5</v>
      </c>
      <c r="D273" s="44"/>
      <c r="E273" s="45"/>
      <c r="G273" t="str">
        <f t="shared" si="4"/>
        <v>150060150060725</v>
      </c>
    </row>
    <row r="274" spans="1:7" ht="14.5" x14ac:dyDescent="0.35">
      <c r="A274" s="107" t="s">
        <v>3709</v>
      </c>
      <c r="B274" s="73" t="e">
        <f>VLOOKUP(A274,SÜRELER!A:B,2,0)</f>
        <v>#N/A</v>
      </c>
      <c r="C274" s="43">
        <v>5</v>
      </c>
      <c r="D274" s="44"/>
      <c r="E274" s="45"/>
      <c r="G274" t="str">
        <f t="shared" si="4"/>
        <v>150060150060726</v>
      </c>
    </row>
    <row r="275" spans="1:7" ht="14.5" x14ac:dyDescent="0.35">
      <c r="A275" s="107" t="s">
        <v>3710</v>
      </c>
      <c r="B275" s="73" t="e">
        <f>VLOOKUP(A275,SÜRELER!A:B,2,0)</f>
        <v>#N/A</v>
      </c>
      <c r="C275" s="43">
        <v>5</v>
      </c>
      <c r="D275" s="44"/>
      <c r="E275" s="45"/>
      <c r="G275" t="str">
        <f t="shared" si="4"/>
        <v>150060150060727</v>
      </c>
    </row>
    <row r="276" spans="1:7" ht="14.5" x14ac:dyDescent="0.35">
      <c r="A276" s="107" t="s">
        <v>3711</v>
      </c>
      <c r="B276" s="73" t="e">
        <f>VLOOKUP(A276,SÜRELER!A:B,2,0)</f>
        <v>#N/A</v>
      </c>
      <c r="C276" s="43">
        <v>5</v>
      </c>
      <c r="D276" s="44"/>
      <c r="E276" s="45"/>
      <c r="G276" t="str">
        <f t="shared" si="4"/>
        <v>150060150060728</v>
      </c>
    </row>
    <row r="277" spans="1:7" ht="14.5" x14ac:dyDescent="0.35">
      <c r="A277" s="107" t="s">
        <v>3712</v>
      </c>
      <c r="B277" s="73" t="e">
        <f>VLOOKUP(A277,SÜRELER!A:B,2,0)</f>
        <v>#N/A</v>
      </c>
      <c r="C277" s="43">
        <v>5</v>
      </c>
      <c r="D277" s="44"/>
      <c r="E277" s="45"/>
      <c r="G277" t="str">
        <f t="shared" si="4"/>
        <v>150060150060729</v>
      </c>
    </row>
    <row r="278" spans="1:7" ht="14.5" x14ac:dyDescent="0.35">
      <c r="A278" s="107" t="s">
        <v>3713</v>
      </c>
      <c r="B278" s="73" t="e">
        <f>VLOOKUP(A278,SÜRELER!A:B,2,0)</f>
        <v>#N/A</v>
      </c>
      <c r="C278" s="43">
        <v>10</v>
      </c>
      <c r="D278" s="44"/>
      <c r="E278" s="45"/>
      <c r="G278" t="str">
        <f t="shared" si="4"/>
        <v>150060150060730</v>
      </c>
    </row>
    <row r="279" spans="1:7" ht="14.5" x14ac:dyDescent="0.35">
      <c r="A279" s="107" t="s">
        <v>3714</v>
      </c>
      <c r="B279" s="73" t="e">
        <f>VLOOKUP(A279,SÜRELER!A:B,2,0)</f>
        <v>#N/A</v>
      </c>
      <c r="C279" s="43">
        <v>10</v>
      </c>
      <c r="D279" s="44"/>
      <c r="E279" s="45"/>
      <c r="G279" t="str">
        <f t="shared" si="4"/>
        <v>150060150060731</v>
      </c>
    </row>
    <row r="280" spans="1:7" ht="14.5" x14ac:dyDescent="0.35">
      <c r="A280" s="107" t="s">
        <v>3715</v>
      </c>
      <c r="B280" s="73" t="e">
        <f>VLOOKUP(A280,SÜRELER!A:B,2,0)</f>
        <v>#N/A</v>
      </c>
      <c r="C280" s="43">
        <v>10</v>
      </c>
      <c r="D280" s="44"/>
      <c r="E280" s="45"/>
      <c r="G280" t="str">
        <f t="shared" ref="G280:G336" si="5">CONCATENATE($F$23,A280,)</f>
        <v>150060150060732</v>
      </c>
    </row>
    <row r="281" spans="1:7" ht="14.5" x14ac:dyDescent="0.35">
      <c r="A281" s="107" t="s">
        <v>3716</v>
      </c>
      <c r="B281" s="73" t="e">
        <f>VLOOKUP(A281,SÜRELER!A:B,2,0)</f>
        <v>#N/A</v>
      </c>
      <c r="C281" s="43">
        <v>10</v>
      </c>
      <c r="D281" s="44"/>
      <c r="E281" s="45"/>
      <c r="G281" t="str">
        <f t="shared" si="5"/>
        <v>150060150060733</v>
      </c>
    </row>
    <row r="282" spans="1:7" ht="14.5" x14ac:dyDescent="0.35">
      <c r="A282" s="107" t="s">
        <v>3717</v>
      </c>
      <c r="B282" s="73" t="e">
        <f>VLOOKUP(A282,SÜRELER!A:B,2,0)</f>
        <v>#N/A</v>
      </c>
      <c r="C282" s="43">
        <v>10</v>
      </c>
      <c r="D282" s="44"/>
      <c r="E282" s="45"/>
      <c r="G282" t="str">
        <f t="shared" si="5"/>
        <v>150060150060734</v>
      </c>
    </row>
    <row r="283" spans="1:7" ht="14.5" x14ac:dyDescent="0.35">
      <c r="A283" s="107" t="s">
        <v>3718</v>
      </c>
      <c r="B283" s="73" t="e">
        <f>VLOOKUP(A283,SÜRELER!A:B,2,0)</f>
        <v>#N/A</v>
      </c>
      <c r="C283" s="43">
        <v>10</v>
      </c>
      <c r="D283" s="44"/>
      <c r="E283" s="45"/>
      <c r="G283" t="str">
        <f t="shared" si="5"/>
        <v>150060150060735</v>
      </c>
    </row>
    <row r="284" spans="1:7" ht="14.5" x14ac:dyDescent="0.35">
      <c r="A284" s="107" t="s">
        <v>3719</v>
      </c>
      <c r="B284" s="73" t="e">
        <f>VLOOKUP(A284,SÜRELER!A:B,2,0)</f>
        <v>#N/A</v>
      </c>
      <c r="C284" s="43">
        <v>10</v>
      </c>
      <c r="D284" s="44"/>
      <c r="E284" s="45"/>
      <c r="G284" t="str">
        <f t="shared" si="5"/>
        <v>150060150060736</v>
      </c>
    </row>
    <row r="285" spans="1:7" ht="14.5" x14ac:dyDescent="0.35">
      <c r="A285" s="107" t="s">
        <v>3720</v>
      </c>
      <c r="B285" s="73" t="e">
        <f>VLOOKUP(A285,SÜRELER!A:B,2,0)</f>
        <v>#N/A</v>
      </c>
      <c r="C285" s="43">
        <v>10</v>
      </c>
      <c r="D285" s="44"/>
      <c r="E285" s="45"/>
      <c r="G285" t="str">
        <f t="shared" si="5"/>
        <v>150060150060737</v>
      </c>
    </row>
    <row r="286" spans="1:7" ht="14.5" x14ac:dyDescent="0.35">
      <c r="A286" s="107" t="s">
        <v>3721</v>
      </c>
      <c r="B286" s="73" t="e">
        <f>VLOOKUP(A286,SÜRELER!A:B,2,0)</f>
        <v>#N/A</v>
      </c>
      <c r="C286" s="43">
        <v>10</v>
      </c>
      <c r="D286" s="44"/>
      <c r="E286" s="45"/>
      <c r="G286" t="str">
        <f t="shared" si="5"/>
        <v>150060150060738</v>
      </c>
    </row>
    <row r="287" spans="1:7" ht="14.5" x14ac:dyDescent="0.35">
      <c r="A287" s="107" t="s">
        <v>3722</v>
      </c>
      <c r="B287" s="73" t="e">
        <f>VLOOKUP(A287,SÜRELER!A:B,2,0)</f>
        <v>#N/A</v>
      </c>
      <c r="C287" s="43">
        <v>10</v>
      </c>
      <c r="D287" s="44"/>
      <c r="E287" s="45"/>
      <c r="G287" t="str">
        <f t="shared" si="5"/>
        <v>150060150060739</v>
      </c>
    </row>
    <row r="288" spans="1:7" ht="14.5" x14ac:dyDescent="0.35">
      <c r="A288" s="107" t="s">
        <v>3723</v>
      </c>
      <c r="B288" s="73" t="e">
        <f>VLOOKUP(A288,SÜRELER!A:B,2,0)</f>
        <v>#N/A</v>
      </c>
      <c r="C288" s="43">
        <v>5</v>
      </c>
      <c r="D288" s="44"/>
      <c r="E288" s="45"/>
      <c r="G288" t="str">
        <f t="shared" si="5"/>
        <v>150060150060740</v>
      </c>
    </row>
    <row r="289" spans="1:7" ht="14.5" x14ac:dyDescent="0.35">
      <c r="A289" s="107" t="s">
        <v>3724</v>
      </c>
      <c r="B289" s="73" t="e">
        <f>VLOOKUP(A289,SÜRELER!A:B,2,0)</f>
        <v>#N/A</v>
      </c>
      <c r="C289" s="43">
        <v>5</v>
      </c>
      <c r="D289" s="44"/>
      <c r="E289" s="45"/>
      <c r="G289" t="str">
        <f t="shared" si="5"/>
        <v>150060150060741</v>
      </c>
    </row>
    <row r="290" spans="1:7" ht="14.5" x14ac:dyDescent="0.35">
      <c r="A290" s="107" t="s">
        <v>3725</v>
      </c>
      <c r="B290" s="73" t="e">
        <f>VLOOKUP(A290,SÜRELER!A:B,2,0)</f>
        <v>#N/A</v>
      </c>
      <c r="C290" s="43">
        <v>10</v>
      </c>
      <c r="D290" s="44"/>
      <c r="E290" s="45"/>
      <c r="G290" t="str">
        <f t="shared" si="5"/>
        <v>150060150060742</v>
      </c>
    </row>
    <row r="291" spans="1:7" ht="14.5" x14ac:dyDescent="0.35">
      <c r="A291" s="107" t="s">
        <v>3726</v>
      </c>
      <c r="B291" s="73" t="e">
        <f>VLOOKUP(A291,SÜRELER!A:B,2,0)</f>
        <v>#N/A</v>
      </c>
      <c r="C291" s="43">
        <v>10</v>
      </c>
      <c r="D291" s="44"/>
      <c r="E291" s="45"/>
      <c r="G291" t="str">
        <f t="shared" si="5"/>
        <v>150060150060743</v>
      </c>
    </row>
    <row r="292" spans="1:7" ht="14.5" x14ac:dyDescent="0.35">
      <c r="A292" s="107" t="s">
        <v>3727</v>
      </c>
      <c r="B292" s="73" t="e">
        <f>VLOOKUP(A292,SÜRELER!A:B,2,0)</f>
        <v>#N/A</v>
      </c>
      <c r="C292" s="43">
        <v>10</v>
      </c>
      <c r="D292" s="44"/>
      <c r="E292" s="45"/>
      <c r="G292" t="str">
        <f t="shared" si="5"/>
        <v>150060150060744</v>
      </c>
    </row>
    <row r="293" spans="1:7" ht="14.5" x14ac:dyDescent="0.35">
      <c r="A293" s="107" t="s">
        <v>3728</v>
      </c>
      <c r="B293" s="73" t="e">
        <f>VLOOKUP(A293,SÜRELER!A:B,2,0)</f>
        <v>#N/A</v>
      </c>
      <c r="C293" s="43">
        <v>10</v>
      </c>
      <c r="D293" s="44"/>
      <c r="E293" s="45"/>
      <c r="G293" t="str">
        <f t="shared" si="5"/>
        <v>150060150060745</v>
      </c>
    </row>
    <row r="294" spans="1:7" ht="14.5" x14ac:dyDescent="0.35">
      <c r="A294" s="109" t="s">
        <v>3729</v>
      </c>
      <c r="B294" s="73" t="e">
        <f>VLOOKUP(A294,SÜRELER!A:B,2,0)</f>
        <v>#N/A</v>
      </c>
      <c r="C294" s="43">
        <v>5</v>
      </c>
      <c r="D294" s="44"/>
      <c r="E294" s="45"/>
      <c r="G294" t="str">
        <f t="shared" si="5"/>
        <v>150060150060746</v>
      </c>
    </row>
    <row r="295" spans="1:7" ht="14.5" x14ac:dyDescent="0.35">
      <c r="A295" s="109" t="s">
        <v>3730</v>
      </c>
      <c r="B295" s="73" t="e">
        <f>VLOOKUP(A295,SÜRELER!A:B,2,0)</f>
        <v>#N/A</v>
      </c>
      <c r="C295" s="43">
        <v>5</v>
      </c>
      <c r="D295" s="44"/>
      <c r="E295" s="45"/>
      <c r="G295" t="str">
        <f t="shared" si="5"/>
        <v>150060150060747</v>
      </c>
    </row>
    <row r="296" spans="1:7" ht="14.5" x14ac:dyDescent="0.35">
      <c r="A296" s="109" t="s">
        <v>3731</v>
      </c>
      <c r="B296" s="73" t="e">
        <f>VLOOKUP(A296,SÜRELER!A:B,2,0)</f>
        <v>#N/A</v>
      </c>
      <c r="C296" s="43">
        <v>5</v>
      </c>
      <c r="D296" s="44"/>
      <c r="E296" s="45"/>
      <c r="G296" t="str">
        <f t="shared" si="5"/>
        <v>150060150060748</v>
      </c>
    </row>
    <row r="297" spans="1:7" ht="14.5" x14ac:dyDescent="0.35">
      <c r="A297" s="109" t="s">
        <v>3732</v>
      </c>
      <c r="B297" s="73" t="e">
        <f>VLOOKUP(A297,SÜRELER!A:B,2,0)</f>
        <v>#N/A</v>
      </c>
      <c r="C297" s="43">
        <v>5</v>
      </c>
      <c r="D297" s="44"/>
      <c r="E297" s="45"/>
      <c r="G297" t="str">
        <f t="shared" si="5"/>
        <v>150060150060749</v>
      </c>
    </row>
    <row r="298" spans="1:7" ht="14.5" x14ac:dyDescent="0.35">
      <c r="A298" s="107" t="s">
        <v>3733</v>
      </c>
      <c r="B298" s="73" t="e">
        <f>VLOOKUP(A298,SÜRELER!A:B,2,0)</f>
        <v>#N/A</v>
      </c>
      <c r="C298" s="43">
        <v>5</v>
      </c>
      <c r="D298" s="44"/>
      <c r="E298" s="45"/>
      <c r="G298" t="str">
        <f t="shared" si="5"/>
        <v>150060150060750</v>
      </c>
    </row>
    <row r="299" spans="1:7" ht="14.5" x14ac:dyDescent="0.35">
      <c r="A299" s="107" t="s">
        <v>3734</v>
      </c>
      <c r="B299" s="73" t="e">
        <f>VLOOKUP(A299,SÜRELER!A:B,2,0)</f>
        <v>#N/A</v>
      </c>
      <c r="C299" s="43">
        <v>5</v>
      </c>
      <c r="D299" s="44"/>
      <c r="E299" s="45"/>
      <c r="G299" t="str">
        <f t="shared" si="5"/>
        <v>150060150060751</v>
      </c>
    </row>
    <row r="300" spans="1:7" ht="14.5" x14ac:dyDescent="0.35">
      <c r="A300" s="107" t="s">
        <v>3735</v>
      </c>
      <c r="B300" s="73" t="e">
        <f>VLOOKUP(A300,SÜRELER!A:B,2,0)</f>
        <v>#N/A</v>
      </c>
      <c r="C300" s="43">
        <v>5</v>
      </c>
      <c r="D300" s="44"/>
      <c r="E300" s="45"/>
      <c r="G300" t="str">
        <f t="shared" si="5"/>
        <v>150060150060752</v>
      </c>
    </row>
    <row r="301" spans="1:7" ht="14.5" x14ac:dyDescent="0.35">
      <c r="A301" s="107" t="s">
        <v>3736</v>
      </c>
      <c r="B301" s="73" t="e">
        <f>VLOOKUP(A301,SÜRELER!A:B,2,0)</f>
        <v>#N/A</v>
      </c>
      <c r="C301" s="43">
        <v>5</v>
      </c>
      <c r="D301" s="44"/>
      <c r="E301" s="45"/>
      <c r="G301" t="str">
        <f t="shared" si="5"/>
        <v>150060150060753</v>
      </c>
    </row>
    <row r="302" spans="1:7" ht="14.5" x14ac:dyDescent="0.35">
      <c r="A302" s="107" t="s">
        <v>3737</v>
      </c>
      <c r="B302" s="73" t="e">
        <f>VLOOKUP(A302,SÜRELER!A:B,2,0)</f>
        <v>#N/A</v>
      </c>
      <c r="C302" s="43">
        <v>5</v>
      </c>
      <c r="D302" s="44"/>
      <c r="E302" s="45"/>
      <c r="G302" t="str">
        <f t="shared" si="5"/>
        <v>150060150060754</v>
      </c>
    </row>
    <row r="303" spans="1:7" ht="14.5" x14ac:dyDescent="0.35">
      <c r="A303" s="107" t="s">
        <v>3738</v>
      </c>
      <c r="B303" s="73" t="e">
        <f>VLOOKUP(A303,SÜRELER!A:B,2,0)</f>
        <v>#N/A</v>
      </c>
      <c r="C303" s="43">
        <v>5</v>
      </c>
      <c r="D303" s="44"/>
      <c r="E303" s="45"/>
      <c r="G303" t="str">
        <f t="shared" si="5"/>
        <v>150060150060755</v>
      </c>
    </row>
    <row r="304" spans="1:7" ht="14.5" x14ac:dyDescent="0.35">
      <c r="A304" s="107" t="s">
        <v>3739</v>
      </c>
      <c r="B304" s="73" t="e">
        <f>VLOOKUP(A304,SÜRELER!A:B,2,0)</f>
        <v>#N/A</v>
      </c>
      <c r="C304" s="43">
        <v>5</v>
      </c>
      <c r="D304" s="44"/>
      <c r="E304" s="45"/>
      <c r="G304" t="str">
        <f t="shared" si="5"/>
        <v>150060150060756</v>
      </c>
    </row>
    <row r="305" spans="1:7" ht="14.5" x14ac:dyDescent="0.35">
      <c r="A305" s="107" t="s">
        <v>3740</v>
      </c>
      <c r="B305" s="73" t="e">
        <f>VLOOKUP(A305,SÜRELER!A:B,2,0)</f>
        <v>#N/A</v>
      </c>
      <c r="C305" s="43">
        <v>5</v>
      </c>
      <c r="D305" s="44"/>
      <c r="E305" s="45"/>
      <c r="G305" t="str">
        <f t="shared" si="5"/>
        <v>150060150060757</v>
      </c>
    </row>
    <row r="306" spans="1:7" ht="14.5" x14ac:dyDescent="0.35">
      <c r="A306" s="107" t="s">
        <v>3741</v>
      </c>
      <c r="B306" s="73" t="e">
        <f>VLOOKUP(A306,SÜRELER!A:B,2,0)</f>
        <v>#N/A</v>
      </c>
      <c r="C306" s="43">
        <v>5</v>
      </c>
      <c r="D306" s="44"/>
      <c r="E306" s="45"/>
      <c r="G306" t="str">
        <f t="shared" si="5"/>
        <v>150060150060758</v>
      </c>
    </row>
    <row r="307" spans="1:7" ht="14.5" x14ac:dyDescent="0.35">
      <c r="A307" s="107" t="s">
        <v>3742</v>
      </c>
      <c r="B307" s="73" t="e">
        <f>VLOOKUP(A307,SÜRELER!A:B,2,0)</f>
        <v>#N/A</v>
      </c>
      <c r="C307" s="43">
        <v>5</v>
      </c>
      <c r="D307" s="44"/>
      <c r="E307" s="45"/>
      <c r="G307" t="str">
        <f t="shared" si="5"/>
        <v>150060150060759</v>
      </c>
    </row>
    <row r="308" spans="1:7" ht="14.5" x14ac:dyDescent="0.35">
      <c r="A308" s="107" t="s">
        <v>3743</v>
      </c>
      <c r="B308" s="73" t="e">
        <f>VLOOKUP(A308,SÜRELER!A:B,2,0)</f>
        <v>#N/A</v>
      </c>
      <c r="C308" s="43">
        <v>5</v>
      </c>
      <c r="D308" s="44"/>
      <c r="E308" s="45"/>
      <c r="G308" t="str">
        <f t="shared" si="5"/>
        <v>150060150060760</v>
      </c>
    </row>
    <row r="309" spans="1:7" ht="14.5" x14ac:dyDescent="0.35">
      <c r="A309" s="107" t="s">
        <v>3744</v>
      </c>
      <c r="B309" s="73" t="e">
        <f>VLOOKUP(A309,SÜRELER!A:B,2,0)</f>
        <v>#N/A</v>
      </c>
      <c r="C309" s="43">
        <v>5</v>
      </c>
      <c r="D309" s="44"/>
      <c r="E309" s="45"/>
      <c r="G309" t="str">
        <f t="shared" si="5"/>
        <v>150060150060761</v>
      </c>
    </row>
    <row r="310" spans="1:7" ht="14.5" x14ac:dyDescent="0.35">
      <c r="A310" s="107" t="s">
        <v>3745</v>
      </c>
      <c r="B310" s="73" t="e">
        <f>VLOOKUP(A310,SÜRELER!A:B,2,0)</f>
        <v>#N/A</v>
      </c>
      <c r="C310" s="43">
        <v>5</v>
      </c>
      <c r="D310" s="44"/>
      <c r="E310" s="45"/>
      <c r="G310" t="str">
        <f t="shared" si="5"/>
        <v>150060150060762</v>
      </c>
    </row>
    <row r="311" spans="1:7" ht="14.5" x14ac:dyDescent="0.35">
      <c r="A311" s="107" t="s">
        <v>3746</v>
      </c>
      <c r="B311" s="73" t="e">
        <f>VLOOKUP(A311,SÜRELER!A:B,2,0)</f>
        <v>#N/A</v>
      </c>
      <c r="C311" s="43">
        <v>5</v>
      </c>
      <c r="D311" s="44"/>
      <c r="E311" s="45"/>
      <c r="G311" t="str">
        <f t="shared" si="5"/>
        <v>150060150060763</v>
      </c>
    </row>
    <row r="312" spans="1:7" ht="14.5" x14ac:dyDescent="0.35">
      <c r="A312" s="107" t="s">
        <v>3747</v>
      </c>
      <c r="B312" s="73" t="e">
        <f>VLOOKUP(A312,SÜRELER!A:B,2,0)</f>
        <v>#N/A</v>
      </c>
      <c r="C312" s="43">
        <v>5</v>
      </c>
      <c r="D312" s="44"/>
      <c r="E312" s="45"/>
      <c r="G312" t="str">
        <f t="shared" si="5"/>
        <v>150060150060764</v>
      </c>
    </row>
    <row r="313" spans="1:7" ht="14.5" x14ac:dyDescent="0.35">
      <c r="A313" s="107" t="s">
        <v>3748</v>
      </c>
      <c r="B313" s="73" t="e">
        <f>VLOOKUP(A313,SÜRELER!A:B,2,0)</f>
        <v>#N/A</v>
      </c>
      <c r="C313" s="43">
        <v>5</v>
      </c>
      <c r="D313" s="44"/>
      <c r="E313" s="45"/>
      <c r="G313" t="str">
        <f t="shared" si="5"/>
        <v>150060150060765</v>
      </c>
    </row>
    <row r="314" spans="1:7" ht="14.5" x14ac:dyDescent="0.35">
      <c r="A314" s="107" t="s">
        <v>3749</v>
      </c>
      <c r="B314" s="73" t="e">
        <f>VLOOKUP(A314,SÜRELER!A:B,2,0)</f>
        <v>#N/A</v>
      </c>
      <c r="C314" s="43">
        <v>5</v>
      </c>
      <c r="D314" s="44"/>
      <c r="E314" s="45"/>
      <c r="G314" t="str">
        <f t="shared" si="5"/>
        <v>150060150060766</v>
      </c>
    </row>
    <row r="315" spans="1:7" ht="14.5" x14ac:dyDescent="0.35">
      <c r="A315" s="107" t="s">
        <v>3750</v>
      </c>
      <c r="B315" s="73" t="e">
        <f>VLOOKUP(A315,SÜRELER!A:B,2,0)</f>
        <v>#N/A</v>
      </c>
      <c r="C315" s="43">
        <v>5</v>
      </c>
      <c r="D315" s="44"/>
      <c r="E315" s="45"/>
      <c r="G315" t="str">
        <f t="shared" si="5"/>
        <v>150060150060767</v>
      </c>
    </row>
    <row r="316" spans="1:7" ht="14.5" x14ac:dyDescent="0.35">
      <c r="A316" s="107" t="s">
        <v>3751</v>
      </c>
      <c r="B316" s="73" t="e">
        <f>VLOOKUP(A316,SÜRELER!A:B,2,0)</f>
        <v>#N/A</v>
      </c>
      <c r="C316" s="43">
        <v>5</v>
      </c>
      <c r="D316" s="44"/>
      <c r="E316" s="45"/>
      <c r="G316" t="str">
        <f t="shared" si="5"/>
        <v>150060150060768</v>
      </c>
    </row>
    <row r="317" spans="1:7" ht="14.5" x14ac:dyDescent="0.35">
      <c r="A317" s="107" t="s">
        <v>3752</v>
      </c>
      <c r="B317" s="73" t="e">
        <f>VLOOKUP(A317,SÜRELER!A:B,2,0)</f>
        <v>#N/A</v>
      </c>
      <c r="C317" s="43">
        <v>5</v>
      </c>
      <c r="D317" s="44"/>
      <c r="E317" s="45"/>
      <c r="G317" t="str">
        <f t="shared" si="5"/>
        <v>150060150060769</v>
      </c>
    </row>
    <row r="318" spans="1:7" ht="15" customHeight="1" x14ac:dyDescent="0.35">
      <c r="A318" s="107" t="s">
        <v>3753</v>
      </c>
      <c r="B318" s="73" t="e">
        <f>VLOOKUP(A318,SÜRELER!A:B,2,0)</f>
        <v>#N/A</v>
      </c>
      <c r="C318" s="33">
        <v>9</v>
      </c>
      <c r="D318" s="34"/>
      <c r="E318" s="36" t="s">
        <v>335</v>
      </c>
      <c r="G318" t="str">
        <f t="shared" si="5"/>
        <v>150060150060802</v>
      </c>
    </row>
    <row r="319" spans="1:7" ht="14.5" x14ac:dyDescent="0.35">
      <c r="A319" s="107" t="s">
        <v>3754</v>
      </c>
      <c r="B319" s="73" t="e">
        <f>VLOOKUP(A319,SÜRELER!A:B,2,0)</f>
        <v>#N/A</v>
      </c>
      <c r="C319" s="33">
        <v>9</v>
      </c>
      <c r="D319" s="34"/>
      <c r="E319" s="36"/>
      <c r="G319" t="str">
        <f t="shared" si="5"/>
        <v>150060150060803</v>
      </c>
    </row>
    <row r="320" spans="1:7" ht="14.5" x14ac:dyDescent="0.35">
      <c r="A320" s="107" t="s">
        <v>3755</v>
      </c>
      <c r="B320" s="73" t="e">
        <f>VLOOKUP(A320,SÜRELER!A:B,2,0)</f>
        <v>#N/A</v>
      </c>
      <c r="C320" s="33">
        <v>3</v>
      </c>
      <c r="D320" s="34"/>
      <c r="E320" s="36"/>
      <c r="G320" t="str">
        <f t="shared" si="5"/>
        <v>150060150060804</v>
      </c>
    </row>
    <row r="321" spans="1:7" ht="14.5" x14ac:dyDescent="0.35">
      <c r="A321" s="107" t="s">
        <v>3756</v>
      </c>
      <c r="B321" s="73" t="e">
        <f>VLOOKUP(A321,SÜRELER!A:B,2,0)</f>
        <v>#N/A</v>
      </c>
      <c r="C321" s="33">
        <v>3</v>
      </c>
      <c r="D321" s="34"/>
      <c r="E321" s="36"/>
      <c r="G321" t="str">
        <f t="shared" si="5"/>
        <v>150060150060805</v>
      </c>
    </row>
    <row r="322" spans="1:7" ht="14.5" x14ac:dyDescent="0.35">
      <c r="A322" s="107" t="s">
        <v>3757</v>
      </c>
      <c r="B322" s="73" t="e">
        <f>VLOOKUP(A322,SÜRELER!A:B,2,0)</f>
        <v>#N/A</v>
      </c>
      <c r="C322" s="33">
        <v>3</v>
      </c>
      <c r="D322" s="34"/>
      <c r="E322" s="35"/>
      <c r="G322" t="str">
        <f t="shared" si="5"/>
        <v>150060150060806</v>
      </c>
    </row>
    <row r="323" spans="1:7" ht="14.5" x14ac:dyDescent="0.35">
      <c r="A323" s="107" t="s">
        <v>3758</v>
      </c>
      <c r="B323" s="73" t="e">
        <f>VLOOKUP(A323,SÜRELER!A:B,2,0)</f>
        <v>#N/A</v>
      </c>
      <c r="C323" s="33">
        <v>3</v>
      </c>
      <c r="D323" s="34"/>
      <c r="E323" s="35"/>
      <c r="G323" t="str">
        <f t="shared" si="5"/>
        <v>150060150060807</v>
      </c>
    </row>
    <row r="324" spans="1:7" ht="14.5" x14ac:dyDescent="0.35">
      <c r="A324" s="107" t="s">
        <v>3759</v>
      </c>
      <c r="B324" s="73" t="e">
        <f>VLOOKUP(A324,SÜRELER!A:B,2,0)</f>
        <v>#N/A</v>
      </c>
      <c r="C324" s="33">
        <v>4.5</v>
      </c>
      <c r="D324" s="34"/>
      <c r="E324" s="35"/>
      <c r="G324" t="str">
        <f t="shared" si="5"/>
        <v>150060150060808</v>
      </c>
    </row>
    <row r="325" spans="1:7" ht="14.5" x14ac:dyDescent="0.35">
      <c r="A325" s="107" t="s">
        <v>3760</v>
      </c>
      <c r="B325" s="73" t="e">
        <f>VLOOKUP(A325,SÜRELER!A:B,2,0)</f>
        <v>#N/A</v>
      </c>
      <c r="C325" s="33">
        <v>4.5</v>
      </c>
      <c r="D325" s="34"/>
      <c r="E325" s="35"/>
      <c r="G325" t="str">
        <f t="shared" si="5"/>
        <v>150060150060809</v>
      </c>
    </row>
    <row r="326" spans="1:7" ht="14.5" x14ac:dyDescent="0.35">
      <c r="A326" s="107" t="s">
        <v>3761</v>
      </c>
      <c r="B326" s="73" t="e">
        <f>VLOOKUP(A326,SÜRELER!A:B,2,0)</f>
        <v>#N/A</v>
      </c>
      <c r="C326" s="33">
        <v>3</v>
      </c>
      <c r="D326" s="34"/>
      <c r="E326" s="35"/>
      <c r="G326" t="str">
        <f t="shared" si="5"/>
        <v>150060150060814</v>
      </c>
    </row>
    <row r="327" spans="1:7" ht="14.5" x14ac:dyDescent="0.35">
      <c r="A327" s="107" t="s">
        <v>3762</v>
      </c>
      <c r="B327" s="73" t="e">
        <f>VLOOKUP(A327,SÜRELER!A:B,2,0)</f>
        <v>#N/A</v>
      </c>
      <c r="C327" s="33">
        <v>3</v>
      </c>
      <c r="D327" s="34"/>
      <c r="E327" s="35"/>
      <c r="G327" t="str">
        <f t="shared" si="5"/>
        <v>150060150060815</v>
      </c>
    </row>
    <row r="328" spans="1:7" ht="14.5" x14ac:dyDescent="0.35">
      <c r="A328" s="107" t="s">
        <v>3763</v>
      </c>
      <c r="B328" s="73" t="e">
        <f>VLOOKUP(A328,SÜRELER!A:B,2,0)</f>
        <v>#N/A</v>
      </c>
      <c r="C328" s="33">
        <v>5</v>
      </c>
      <c r="D328" s="34"/>
      <c r="E328" s="35"/>
      <c r="G328" t="str">
        <f t="shared" si="5"/>
        <v>150060150060822</v>
      </c>
    </row>
    <row r="329" spans="1:7" ht="14.5" x14ac:dyDescent="0.35">
      <c r="A329" s="107" t="s">
        <v>3764</v>
      </c>
      <c r="B329" s="73" t="e">
        <f>VLOOKUP(A329,SÜRELER!A:B,2,0)</f>
        <v>#N/A</v>
      </c>
      <c r="C329" s="33">
        <v>5</v>
      </c>
      <c r="D329" s="34"/>
      <c r="E329" s="35"/>
      <c r="G329" t="str">
        <f t="shared" si="5"/>
        <v>150060150060823</v>
      </c>
    </row>
    <row r="330" spans="1:7" ht="14.5" x14ac:dyDescent="0.35">
      <c r="A330" s="107" t="s">
        <v>3765</v>
      </c>
      <c r="B330" s="73" t="e">
        <f>VLOOKUP(A330,SÜRELER!A:B,2,0)</f>
        <v>#N/A</v>
      </c>
      <c r="C330" s="33">
        <v>10</v>
      </c>
      <c r="D330" s="34"/>
      <c r="E330" s="35"/>
      <c r="G330" t="str">
        <f t="shared" si="5"/>
        <v>150060150060826</v>
      </c>
    </row>
    <row r="331" spans="1:7" ht="14.5" x14ac:dyDescent="0.35">
      <c r="A331" s="107" t="s">
        <v>3766</v>
      </c>
      <c r="B331" s="73" t="e">
        <f>VLOOKUP(A331,SÜRELER!A:B,2,0)</f>
        <v>#N/A</v>
      </c>
      <c r="C331" s="33">
        <v>10</v>
      </c>
      <c r="D331" s="34"/>
      <c r="E331" s="35"/>
      <c r="G331" t="str">
        <f t="shared" si="5"/>
        <v>150060150060827</v>
      </c>
    </row>
    <row r="332" spans="1:7" ht="14.5" x14ac:dyDescent="0.35">
      <c r="A332" s="107" t="s">
        <v>3767</v>
      </c>
      <c r="B332" s="73" t="e">
        <f>VLOOKUP(A332,SÜRELER!A:B,2,0)</f>
        <v>#N/A</v>
      </c>
      <c r="C332" s="57">
        <v>6</v>
      </c>
      <c r="D332" s="58"/>
      <c r="E332" s="59"/>
      <c r="G332" t="str">
        <f t="shared" si="5"/>
        <v>150060150060828</v>
      </c>
    </row>
    <row r="333" spans="1:7" ht="14.5" x14ac:dyDescent="0.35">
      <c r="A333" s="107" t="s">
        <v>3768</v>
      </c>
      <c r="B333" s="73" t="e">
        <f>VLOOKUP(A333,SÜRELER!A:B,2,0)</f>
        <v>#N/A</v>
      </c>
      <c r="C333" s="57">
        <v>6</v>
      </c>
      <c r="D333" s="58"/>
      <c r="E333" s="59"/>
      <c r="G333" t="str">
        <f t="shared" si="5"/>
        <v>150060150060829</v>
      </c>
    </row>
    <row r="334" spans="1:7" ht="14.5" x14ac:dyDescent="0.35">
      <c r="A334" s="107" t="s">
        <v>3769</v>
      </c>
      <c r="B334" s="73" t="e">
        <f>VLOOKUP(A334,SÜRELER!A:B,2,0)</f>
        <v>#N/A</v>
      </c>
      <c r="C334" s="33">
        <v>7</v>
      </c>
      <c r="D334" s="34"/>
      <c r="E334" s="35"/>
      <c r="G334" t="str">
        <f t="shared" si="5"/>
        <v>150060150060832</v>
      </c>
    </row>
    <row r="335" spans="1:7" ht="14.5" x14ac:dyDescent="0.35">
      <c r="A335" s="107" t="s">
        <v>3770</v>
      </c>
      <c r="B335" s="73" t="e">
        <f>VLOOKUP(A335,SÜRELER!A:B,2,0)</f>
        <v>#N/A</v>
      </c>
      <c r="C335" s="33">
        <v>7</v>
      </c>
      <c r="D335" s="34"/>
      <c r="E335" s="35"/>
      <c r="G335" t="str">
        <f t="shared" si="5"/>
        <v>150060150060833</v>
      </c>
    </row>
    <row r="336" spans="1:7" ht="14.5" x14ac:dyDescent="0.35">
      <c r="A336" s="107" t="s">
        <v>3771</v>
      </c>
      <c r="B336" s="73" t="e">
        <f>VLOOKUP(A336,SÜRELER!A:B,2,0)</f>
        <v>#N/A</v>
      </c>
      <c r="C336" s="33">
        <v>10</v>
      </c>
      <c r="D336" s="34"/>
      <c r="E336" s="35"/>
      <c r="G336" t="str">
        <f t="shared" si="5"/>
        <v>150060150060834</v>
      </c>
    </row>
    <row r="337" spans="1:7" ht="14.5" x14ac:dyDescent="0.35">
      <c r="A337" s="107">
        <v>150160834</v>
      </c>
      <c r="B337" s="73" t="e">
        <f>VLOOKUP(A337,SÜRELER!A:B,2,0)</f>
        <v>#N/A</v>
      </c>
      <c r="C337" s="33">
        <v>7.5</v>
      </c>
      <c r="D337" s="34"/>
      <c r="E337" s="35"/>
      <c r="G337" t="str">
        <f>CONCATENATE($F$23,A337,)</f>
        <v>150060150160834</v>
      </c>
    </row>
    <row r="338" spans="1:7" ht="14.5" x14ac:dyDescent="0.35">
      <c r="A338" s="107" t="s">
        <v>3772</v>
      </c>
      <c r="B338" s="73" t="e">
        <f>VLOOKUP(A338,SÜRELER!A:B,2,0)</f>
        <v>#N/A</v>
      </c>
      <c r="C338" s="33">
        <v>5</v>
      </c>
      <c r="D338" s="34"/>
      <c r="E338" s="35"/>
      <c r="G338" t="str">
        <f t="shared" ref="G338:G401" si="6">CONCATENATE($F$23,A338,)</f>
        <v>150060150060835</v>
      </c>
    </row>
    <row r="339" spans="1:7" ht="14.5" x14ac:dyDescent="0.35">
      <c r="A339" s="107" t="s">
        <v>3773</v>
      </c>
      <c r="B339" s="73" t="e">
        <f>VLOOKUP(A339,SÜRELER!A:B,2,0)</f>
        <v>#N/A</v>
      </c>
      <c r="C339" s="33">
        <v>10</v>
      </c>
      <c r="D339" s="34"/>
      <c r="E339" s="35"/>
      <c r="G339" t="str">
        <f t="shared" si="6"/>
        <v>150060150060836</v>
      </c>
    </row>
    <row r="340" spans="1:7" ht="14.5" x14ac:dyDescent="0.35">
      <c r="A340" s="107" t="s">
        <v>3774</v>
      </c>
      <c r="B340" s="73" t="e">
        <f>VLOOKUP(A340,SÜRELER!A:B,2,0)</f>
        <v>#N/A</v>
      </c>
      <c r="C340" s="33">
        <v>10</v>
      </c>
      <c r="D340" s="34"/>
      <c r="E340" s="35"/>
      <c r="G340" t="str">
        <f t="shared" si="6"/>
        <v>150060150060837</v>
      </c>
    </row>
    <row r="341" spans="1:7" ht="14.5" x14ac:dyDescent="0.35">
      <c r="A341" s="107" t="s">
        <v>3775</v>
      </c>
      <c r="B341" s="73" t="e">
        <f>VLOOKUP(A341,SÜRELER!A:B,2,0)</f>
        <v>#N/A</v>
      </c>
      <c r="C341" s="33">
        <v>7</v>
      </c>
      <c r="D341" s="34"/>
      <c r="E341" s="35"/>
      <c r="G341" t="str">
        <f t="shared" si="6"/>
        <v>150060150060838</v>
      </c>
    </row>
    <row r="342" spans="1:7" ht="14.5" x14ac:dyDescent="0.35">
      <c r="A342" s="107" t="s">
        <v>3776</v>
      </c>
      <c r="B342" s="73" t="e">
        <f>VLOOKUP(A342,SÜRELER!A:B,2,0)</f>
        <v>#N/A</v>
      </c>
      <c r="C342" s="33">
        <v>8</v>
      </c>
      <c r="D342" s="34"/>
      <c r="E342" s="35"/>
      <c r="G342" t="str">
        <f t="shared" si="6"/>
        <v>150060150060839</v>
      </c>
    </row>
    <row r="343" spans="1:7" ht="14.5" x14ac:dyDescent="0.35">
      <c r="A343" s="107" t="s">
        <v>3777</v>
      </c>
      <c r="B343" s="73" t="e">
        <f>VLOOKUP(A343,SÜRELER!A:B,2,0)</f>
        <v>#N/A</v>
      </c>
      <c r="C343" s="33">
        <v>8</v>
      </c>
      <c r="D343" s="34"/>
      <c r="E343" s="35"/>
      <c r="G343" t="str">
        <f t="shared" si="6"/>
        <v>150060150060840</v>
      </c>
    </row>
    <row r="344" spans="1:7" ht="14.5" x14ac:dyDescent="0.35">
      <c r="A344" s="107" t="s">
        <v>3778</v>
      </c>
      <c r="B344" s="73" t="e">
        <f>VLOOKUP(A344,SÜRELER!A:B,2,0)</f>
        <v>#N/A</v>
      </c>
      <c r="C344" s="33">
        <v>2</v>
      </c>
      <c r="D344" s="34"/>
      <c r="E344" s="35"/>
      <c r="G344" t="str">
        <f t="shared" si="6"/>
        <v>150060150060841</v>
      </c>
    </row>
    <row r="345" spans="1:7" ht="14.5" x14ac:dyDescent="0.35">
      <c r="A345" s="107" t="s">
        <v>3779</v>
      </c>
      <c r="B345" s="73" t="e">
        <f>VLOOKUP(A345,SÜRELER!A:B,2,0)</f>
        <v>#N/A</v>
      </c>
      <c r="C345" s="33">
        <v>2</v>
      </c>
      <c r="D345" s="34"/>
      <c r="E345" s="35"/>
      <c r="G345" t="str">
        <f t="shared" si="6"/>
        <v>150060150060842</v>
      </c>
    </row>
    <row r="346" spans="1:7" ht="14.5" x14ac:dyDescent="0.35">
      <c r="A346" s="107" t="s">
        <v>3780</v>
      </c>
      <c r="B346" s="73" t="e">
        <f>VLOOKUP(A346,SÜRELER!A:B,2,0)</f>
        <v>#N/A</v>
      </c>
      <c r="C346" s="43">
        <v>8</v>
      </c>
      <c r="D346" s="44"/>
      <c r="E346" s="45"/>
      <c r="G346" t="str">
        <f t="shared" si="6"/>
        <v>150060150060845</v>
      </c>
    </row>
    <row r="347" spans="1:7" ht="14.5" x14ac:dyDescent="0.35">
      <c r="A347" s="107" t="s">
        <v>3781</v>
      </c>
      <c r="B347" s="73" t="e">
        <f>VLOOKUP(A347,SÜRELER!A:B,2,0)</f>
        <v>#N/A</v>
      </c>
      <c r="C347" s="43">
        <v>10</v>
      </c>
      <c r="D347" s="44"/>
      <c r="E347" s="45"/>
      <c r="G347" t="str">
        <f t="shared" si="6"/>
        <v>150060150060847</v>
      </c>
    </row>
    <row r="348" spans="1:7" ht="14.5" x14ac:dyDescent="0.35">
      <c r="A348" s="107" t="s">
        <v>3782</v>
      </c>
      <c r="B348" s="73" t="e">
        <f>VLOOKUP(A348,SÜRELER!A:B,2,0)</f>
        <v>#N/A</v>
      </c>
      <c r="C348" s="43">
        <v>10</v>
      </c>
      <c r="D348" s="44"/>
      <c r="E348" s="45"/>
      <c r="G348" t="str">
        <f t="shared" si="6"/>
        <v>150060150060848</v>
      </c>
    </row>
    <row r="349" spans="1:7" ht="14.5" x14ac:dyDescent="0.35">
      <c r="A349" s="107" t="s">
        <v>3783</v>
      </c>
      <c r="B349" s="73" t="e">
        <f>VLOOKUP(A349,SÜRELER!A:B,2,0)</f>
        <v>#N/A</v>
      </c>
      <c r="C349" s="43">
        <v>10</v>
      </c>
      <c r="D349" s="44"/>
      <c r="E349" s="45"/>
      <c r="G349" t="str">
        <f t="shared" si="6"/>
        <v>150060150060851</v>
      </c>
    </row>
    <row r="350" spans="1:7" ht="14.5" x14ac:dyDescent="0.35">
      <c r="A350" s="107" t="s">
        <v>3784</v>
      </c>
      <c r="B350" s="73" t="e">
        <f>VLOOKUP(A350,SÜRELER!A:B,2,0)</f>
        <v>#N/A</v>
      </c>
      <c r="C350" s="43">
        <v>10</v>
      </c>
      <c r="D350" s="44"/>
      <c r="E350" s="45"/>
      <c r="G350" t="str">
        <f t="shared" si="6"/>
        <v>150060150060852</v>
      </c>
    </row>
    <row r="351" spans="1:7" ht="14.5" x14ac:dyDescent="0.35">
      <c r="A351" s="107" t="s">
        <v>3785</v>
      </c>
      <c r="B351" s="73" t="e">
        <f>VLOOKUP(A351,SÜRELER!A:B,2,0)</f>
        <v>#N/A</v>
      </c>
      <c r="C351" s="43">
        <v>8</v>
      </c>
      <c r="D351" s="44"/>
      <c r="E351" s="45"/>
      <c r="G351" t="str">
        <f t="shared" si="6"/>
        <v>150060150060853</v>
      </c>
    </row>
    <row r="352" spans="1:7" ht="14.5" x14ac:dyDescent="0.35">
      <c r="A352" s="107" t="s">
        <v>3786</v>
      </c>
      <c r="B352" s="73" t="e">
        <f>VLOOKUP(A352,SÜRELER!A:B,2,0)</f>
        <v>#N/A</v>
      </c>
      <c r="C352" s="43">
        <v>8</v>
      </c>
      <c r="D352" s="44"/>
      <c r="E352" s="45"/>
      <c r="G352" t="str">
        <f t="shared" si="6"/>
        <v>150060150060854</v>
      </c>
    </row>
    <row r="353" spans="1:7" ht="14.5" x14ac:dyDescent="0.35">
      <c r="A353" s="107" t="s">
        <v>3787</v>
      </c>
      <c r="B353" s="73" t="e">
        <f>VLOOKUP(A353,SÜRELER!A:B,2,0)</f>
        <v>#N/A</v>
      </c>
      <c r="C353" s="43">
        <v>8</v>
      </c>
      <c r="D353" s="44"/>
      <c r="E353" s="45"/>
      <c r="G353" t="str">
        <f t="shared" si="6"/>
        <v>150060150060855</v>
      </c>
    </row>
    <row r="354" spans="1:7" ht="14.5" x14ac:dyDescent="0.35">
      <c r="A354" s="107" t="s">
        <v>3788</v>
      </c>
      <c r="B354" s="73" t="e">
        <f>VLOOKUP(A354,SÜRELER!A:B,2,0)</f>
        <v>#N/A</v>
      </c>
      <c r="C354" s="43">
        <v>8</v>
      </c>
      <c r="D354" s="44"/>
      <c r="E354" s="45"/>
      <c r="G354" t="str">
        <f t="shared" si="6"/>
        <v>150060150060856</v>
      </c>
    </row>
    <row r="355" spans="1:7" ht="14.5" x14ac:dyDescent="0.35">
      <c r="A355" s="107" t="s">
        <v>3789</v>
      </c>
      <c r="B355" s="73" t="e">
        <f>VLOOKUP(A355,SÜRELER!A:B,2,0)</f>
        <v>#N/A</v>
      </c>
      <c r="C355" s="43">
        <v>8</v>
      </c>
      <c r="D355" s="44"/>
      <c r="E355" s="45"/>
      <c r="G355" t="str">
        <f t="shared" si="6"/>
        <v>150060150060857</v>
      </c>
    </row>
    <row r="356" spans="1:7" ht="14.5" x14ac:dyDescent="0.35">
      <c r="A356" s="107" t="s">
        <v>3790</v>
      </c>
      <c r="B356" s="73" t="e">
        <f>VLOOKUP(A356,SÜRELER!A:B,2,0)</f>
        <v>#N/A</v>
      </c>
      <c r="C356" s="43">
        <v>8</v>
      </c>
      <c r="D356" s="44"/>
      <c r="E356" s="45"/>
      <c r="G356" t="str">
        <f t="shared" si="6"/>
        <v>150060150060858</v>
      </c>
    </row>
    <row r="357" spans="1:7" ht="14.5" x14ac:dyDescent="0.35">
      <c r="A357" s="107" t="s">
        <v>3791</v>
      </c>
      <c r="B357" s="73" t="e">
        <f>VLOOKUP(A357,SÜRELER!A:B,2,0)</f>
        <v>#N/A</v>
      </c>
      <c r="C357" s="43">
        <v>8</v>
      </c>
      <c r="D357" s="44"/>
      <c r="E357" s="45"/>
      <c r="G357" t="str">
        <f t="shared" si="6"/>
        <v>150060150060859</v>
      </c>
    </row>
    <row r="358" spans="1:7" ht="14.5" x14ac:dyDescent="0.35">
      <c r="A358" s="107" t="s">
        <v>3792</v>
      </c>
      <c r="B358" s="73" t="e">
        <f>VLOOKUP(A358,SÜRELER!A:B,2,0)</f>
        <v>#N/A</v>
      </c>
      <c r="C358" s="43">
        <v>8</v>
      </c>
      <c r="D358" s="44"/>
      <c r="E358" s="45"/>
      <c r="G358" t="str">
        <f t="shared" si="6"/>
        <v>150060150060860</v>
      </c>
    </row>
    <row r="359" spans="1:7" ht="14.5" x14ac:dyDescent="0.35">
      <c r="A359" s="107" t="s">
        <v>3793</v>
      </c>
      <c r="B359" s="73" t="e">
        <f>VLOOKUP(A359,SÜRELER!A:B,2,0)</f>
        <v>#N/A</v>
      </c>
      <c r="C359" s="43">
        <v>8</v>
      </c>
      <c r="D359" s="44"/>
      <c r="E359" s="45"/>
      <c r="G359" t="str">
        <f t="shared" si="6"/>
        <v>150060150060861</v>
      </c>
    </row>
    <row r="360" spans="1:7" ht="14.5" x14ac:dyDescent="0.35">
      <c r="A360" s="107" t="s">
        <v>3794</v>
      </c>
      <c r="B360" s="73" t="e">
        <f>VLOOKUP(A360,SÜRELER!A:B,2,0)</f>
        <v>#N/A</v>
      </c>
      <c r="C360" s="43">
        <v>8</v>
      </c>
      <c r="D360" s="44"/>
      <c r="E360" s="45"/>
      <c r="G360" t="str">
        <f t="shared" si="6"/>
        <v>150060150060862</v>
      </c>
    </row>
    <row r="361" spans="1:7" ht="14.5" x14ac:dyDescent="0.35">
      <c r="A361" s="107" t="s">
        <v>3795</v>
      </c>
      <c r="B361" s="73" t="e">
        <f>VLOOKUP(A361,SÜRELER!A:B,2,0)</f>
        <v>#N/A</v>
      </c>
      <c r="C361" s="43">
        <v>8</v>
      </c>
      <c r="D361" s="44"/>
      <c r="E361" s="45"/>
      <c r="G361" t="str">
        <f t="shared" si="6"/>
        <v>150060150060867</v>
      </c>
    </row>
    <row r="362" spans="1:7" ht="14.5" x14ac:dyDescent="0.35">
      <c r="A362" s="107" t="s">
        <v>3796</v>
      </c>
      <c r="B362" s="73" t="e">
        <f>VLOOKUP(A362,SÜRELER!A:B,2,0)</f>
        <v>#N/A</v>
      </c>
      <c r="C362" s="43">
        <v>8</v>
      </c>
      <c r="D362" s="44"/>
      <c r="E362" s="45"/>
      <c r="G362" t="str">
        <f t="shared" si="6"/>
        <v>150060150060868</v>
      </c>
    </row>
    <row r="363" spans="1:7" ht="14.5" x14ac:dyDescent="0.35">
      <c r="A363" s="107" t="s">
        <v>3797</v>
      </c>
      <c r="B363" s="73" t="e">
        <f>VLOOKUP(A363,SÜRELER!A:B,2,0)</f>
        <v>#N/A</v>
      </c>
      <c r="C363" s="33">
        <v>5</v>
      </c>
      <c r="D363" s="34"/>
      <c r="E363" s="35"/>
      <c r="G363" t="str">
        <f t="shared" si="6"/>
        <v>150060150060869</v>
      </c>
    </row>
    <row r="364" spans="1:7" ht="14.5" x14ac:dyDescent="0.35">
      <c r="A364" s="107" t="s">
        <v>3798</v>
      </c>
      <c r="B364" s="73" t="e">
        <f>VLOOKUP(A364,SÜRELER!A:B,2,0)</f>
        <v>#N/A</v>
      </c>
      <c r="C364" s="33">
        <v>5</v>
      </c>
      <c r="D364" s="34"/>
      <c r="E364" s="35"/>
      <c r="G364" t="str">
        <f t="shared" si="6"/>
        <v>150060150060870</v>
      </c>
    </row>
    <row r="365" spans="1:7" ht="14.5" x14ac:dyDescent="0.35">
      <c r="A365" s="107" t="s">
        <v>3799</v>
      </c>
      <c r="B365" s="73" t="e">
        <f>VLOOKUP(A365,SÜRELER!A:B,2,0)</f>
        <v>#N/A</v>
      </c>
      <c r="C365" s="33">
        <v>8</v>
      </c>
      <c r="D365" s="34"/>
      <c r="E365" s="35"/>
      <c r="G365" t="str">
        <f t="shared" si="6"/>
        <v>150060150060871</v>
      </c>
    </row>
    <row r="366" spans="1:7" ht="14.5" x14ac:dyDescent="0.35">
      <c r="A366" s="107" t="s">
        <v>3800</v>
      </c>
      <c r="B366" s="73" t="e">
        <f>VLOOKUP(A366,SÜRELER!A:B,2,0)</f>
        <v>#N/A</v>
      </c>
      <c r="C366" s="33">
        <v>8</v>
      </c>
      <c r="D366" s="34"/>
      <c r="E366" s="35"/>
      <c r="G366" t="str">
        <f t="shared" si="6"/>
        <v>150060150060872</v>
      </c>
    </row>
    <row r="367" spans="1:7" ht="14.5" x14ac:dyDescent="0.35">
      <c r="A367" s="107" t="s">
        <v>3801</v>
      </c>
      <c r="B367" s="73" t="e">
        <f>VLOOKUP(A367,SÜRELER!A:B,2,0)</f>
        <v>#N/A</v>
      </c>
      <c r="C367" s="57">
        <v>10</v>
      </c>
      <c r="D367" s="58"/>
      <c r="E367" s="59"/>
      <c r="G367" t="str">
        <f t="shared" si="6"/>
        <v>150060150060873</v>
      </c>
    </row>
    <row r="368" spans="1:7" ht="14.5" x14ac:dyDescent="0.35">
      <c r="A368" s="107" t="s">
        <v>3802</v>
      </c>
      <c r="B368" s="73" t="e">
        <f>VLOOKUP(A368,SÜRELER!A:B,2,0)</f>
        <v>#N/A</v>
      </c>
      <c r="C368" s="57">
        <v>10</v>
      </c>
      <c r="D368" s="58"/>
      <c r="E368" s="59"/>
      <c r="G368" t="str">
        <f t="shared" si="6"/>
        <v>150060150060874</v>
      </c>
    </row>
    <row r="369" spans="1:7" ht="14.5" x14ac:dyDescent="0.35">
      <c r="A369" s="107" t="s">
        <v>3803</v>
      </c>
      <c r="B369" s="73" t="e">
        <f>VLOOKUP(A369,SÜRELER!A:B,2,0)</f>
        <v>#N/A</v>
      </c>
      <c r="C369" s="43">
        <v>10</v>
      </c>
      <c r="D369" s="44"/>
      <c r="E369" s="45"/>
      <c r="G369" t="str">
        <f t="shared" si="6"/>
        <v>150060150060875</v>
      </c>
    </row>
    <row r="370" spans="1:7" ht="14.5" x14ac:dyDescent="0.35">
      <c r="A370" s="107" t="s">
        <v>3804</v>
      </c>
      <c r="B370" s="73" t="e">
        <f>VLOOKUP(A370,SÜRELER!A:B,2,0)</f>
        <v>#N/A</v>
      </c>
      <c r="C370" s="43">
        <v>10</v>
      </c>
      <c r="D370" s="44"/>
      <c r="E370" s="45"/>
      <c r="G370" t="str">
        <f t="shared" si="6"/>
        <v>150060150060876</v>
      </c>
    </row>
    <row r="371" spans="1:7" ht="14.5" x14ac:dyDescent="0.35">
      <c r="A371" s="107" t="s">
        <v>3805</v>
      </c>
      <c r="B371" s="73" t="e">
        <f>VLOOKUP(A371,SÜRELER!A:B,2,0)</f>
        <v>#N/A</v>
      </c>
      <c r="C371" s="43">
        <v>10</v>
      </c>
      <c r="D371" s="44"/>
      <c r="E371" s="45"/>
      <c r="G371" t="str">
        <f t="shared" si="6"/>
        <v>150060150060877</v>
      </c>
    </row>
    <row r="372" spans="1:7" ht="14.5" x14ac:dyDescent="0.35">
      <c r="A372" s="107" t="s">
        <v>3806</v>
      </c>
      <c r="B372" s="73" t="e">
        <f>VLOOKUP(A372,SÜRELER!A:B,2,0)</f>
        <v>#N/A</v>
      </c>
      <c r="C372" s="43">
        <v>10</v>
      </c>
      <c r="D372" s="44"/>
      <c r="E372" s="45"/>
      <c r="G372" t="str">
        <f t="shared" si="6"/>
        <v>150060150060878</v>
      </c>
    </row>
    <row r="373" spans="1:7" ht="14.5" x14ac:dyDescent="0.35">
      <c r="A373" s="107" t="s">
        <v>3807</v>
      </c>
      <c r="B373" s="73" t="e">
        <f>VLOOKUP(A373,SÜRELER!A:B,2,0)</f>
        <v>#N/A</v>
      </c>
      <c r="C373" s="43"/>
      <c r="D373" s="44"/>
      <c r="E373" s="45"/>
      <c r="G373" t="str">
        <f t="shared" si="6"/>
        <v>150060150060879</v>
      </c>
    </row>
    <row r="374" spans="1:7" ht="14.5" x14ac:dyDescent="0.35">
      <c r="A374" s="107" t="s">
        <v>3808</v>
      </c>
      <c r="B374" s="73" t="e">
        <f>VLOOKUP(A374,SÜRELER!A:B,2,0)</f>
        <v>#N/A</v>
      </c>
      <c r="C374" s="43">
        <v>9</v>
      </c>
      <c r="D374" s="44"/>
      <c r="E374" s="45"/>
      <c r="G374" t="str">
        <f t="shared" si="6"/>
        <v>150060150060880</v>
      </c>
    </row>
    <row r="375" spans="1:7" ht="14.5" x14ac:dyDescent="0.35">
      <c r="A375" s="107" t="s">
        <v>3809</v>
      </c>
      <c r="B375" s="73" t="e">
        <f>VLOOKUP(A375,SÜRELER!A:B,2,0)</f>
        <v>#N/A</v>
      </c>
      <c r="C375" s="43">
        <v>9</v>
      </c>
      <c r="D375" s="44"/>
      <c r="E375" s="45"/>
      <c r="G375" t="str">
        <f t="shared" si="6"/>
        <v>150060150060881</v>
      </c>
    </row>
    <row r="376" spans="1:7" ht="14.5" x14ac:dyDescent="0.35">
      <c r="A376" s="107" t="s">
        <v>3810</v>
      </c>
      <c r="B376" s="73" t="e">
        <f>VLOOKUP(A376,SÜRELER!A:B,2,0)</f>
        <v>#N/A</v>
      </c>
      <c r="C376" s="43"/>
      <c r="D376" s="44"/>
      <c r="E376" s="45"/>
      <c r="G376" t="str">
        <f t="shared" si="6"/>
        <v>150060150060882</v>
      </c>
    </row>
    <row r="377" spans="1:7" ht="14.5" x14ac:dyDescent="0.35">
      <c r="A377" s="107" t="s">
        <v>3811</v>
      </c>
      <c r="B377" s="73" t="e">
        <f>VLOOKUP(A377,SÜRELER!A:B,2,0)</f>
        <v>#N/A</v>
      </c>
      <c r="C377" s="43"/>
      <c r="D377" s="44"/>
      <c r="E377" s="45"/>
      <c r="G377" t="str">
        <f t="shared" si="6"/>
        <v>150060150060883</v>
      </c>
    </row>
    <row r="378" spans="1:7" ht="14.5" x14ac:dyDescent="0.35">
      <c r="A378" s="107" t="s">
        <v>3812</v>
      </c>
      <c r="B378" s="73" t="e">
        <f>VLOOKUP(A378,SÜRELER!A:B,2,0)</f>
        <v>#N/A</v>
      </c>
      <c r="C378" s="43"/>
      <c r="D378" s="44"/>
      <c r="E378" s="45"/>
      <c r="G378" t="str">
        <f t="shared" si="6"/>
        <v>150060150060884</v>
      </c>
    </row>
    <row r="379" spans="1:7" ht="14.5" x14ac:dyDescent="0.35">
      <c r="A379" s="107" t="s">
        <v>3813</v>
      </c>
      <c r="B379" s="73" t="e">
        <f>VLOOKUP(A379,SÜRELER!A:B,2,0)</f>
        <v>#N/A</v>
      </c>
      <c r="C379" s="43"/>
      <c r="D379" s="44"/>
      <c r="E379" s="45"/>
      <c r="G379" t="str">
        <f t="shared" si="6"/>
        <v>150060150060885</v>
      </c>
    </row>
    <row r="380" spans="1:7" ht="14.5" x14ac:dyDescent="0.35">
      <c r="A380" s="107" t="s">
        <v>3814</v>
      </c>
      <c r="B380" s="73" t="e">
        <f>VLOOKUP(A380,SÜRELER!A:B,2,0)</f>
        <v>#N/A</v>
      </c>
      <c r="C380" s="43">
        <v>8</v>
      </c>
      <c r="D380" s="44"/>
      <c r="E380" s="45"/>
      <c r="G380" t="str">
        <f t="shared" si="6"/>
        <v>150060150060886</v>
      </c>
    </row>
    <row r="381" spans="1:7" ht="14.5" x14ac:dyDescent="0.35">
      <c r="A381" s="107" t="s">
        <v>3815</v>
      </c>
      <c r="B381" s="73" t="e">
        <f>VLOOKUP(A381,SÜRELER!A:B,2,0)</f>
        <v>#N/A</v>
      </c>
      <c r="C381" s="43">
        <v>8</v>
      </c>
      <c r="D381" s="44"/>
      <c r="E381" s="45"/>
      <c r="G381" t="str">
        <f t="shared" si="6"/>
        <v>150060150060887</v>
      </c>
    </row>
    <row r="382" spans="1:7" ht="14.5" x14ac:dyDescent="0.35">
      <c r="A382" s="107" t="s">
        <v>3816</v>
      </c>
      <c r="B382" s="73" t="e">
        <f>VLOOKUP(A382,SÜRELER!A:B,2,0)</f>
        <v>#N/A</v>
      </c>
      <c r="C382" s="43">
        <v>8</v>
      </c>
      <c r="D382" s="44"/>
      <c r="E382" s="45"/>
      <c r="G382" t="str">
        <f t="shared" si="6"/>
        <v>150060150060888</v>
      </c>
    </row>
    <row r="383" spans="1:7" ht="14.5" x14ac:dyDescent="0.35">
      <c r="A383" s="107" t="s">
        <v>3817</v>
      </c>
      <c r="B383" s="73" t="e">
        <f>VLOOKUP(A383,SÜRELER!A:B,2,0)</f>
        <v>#N/A</v>
      </c>
      <c r="C383" s="43">
        <v>8</v>
      </c>
      <c r="D383" s="44"/>
      <c r="E383" s="45"/>
      <c r="G383" t="str">
        <f t="shared" si="6"/>
        <v>150060150060889</v>
      </c>
    </row>
    <row r="384" spans="1:7" ht="14.5" x14ac:dyDescent="0.35">
      <c r="A384" s="107" t="s">
        <v>3818</v>
      </c>
      <c r="B384" s="73" t="e">
        <f>VLOOKUP(A384,SÜRELER!A:B,2,0)</f>
        <v>#N/A</v>
      </c>
      <c r="C384" s="43"/>
      <c r="D384" s="44"/>
      <c r="E384" s="45"/>
      <c r="G384" t="str">
        <f t="shared" si="6"/>
        <v>150060150060890</v>
      </c>
    </row>
    <row r="385" spans="1:7" ht="14.5" x14ac:dyDescent="0.35">
      <c r="A385" s="107" t="s">
        <v>3819</v>
      </c>
      <c r="B385" s="73" t="e">
        <f>VLOOKUP(A385,SÜRELER!A:B,2,0)</f>
        <v>#N/A</v>
      </c>
      <c r="C385" s="43">
        <v>8</v>
      </c>
      <c r="D385" s="44"/>
      <c r="E385" s="45"/>
      <c r="G385" t="str">
        <f t="shared" si="6"/>
        <v>150060150060891</v>
      </c>
    </row>
    <row r="386" spans="1:7" ht="14.5" x14ac:dyDescent="0.35">
      <c r="A386" s="107" t="s">
        <v>3820</v>
      </c>
      <c r="B386" s="73" t="e">
        <f>VLOOKUP(A386,SÜRELER!A:B,2,0)</f>
        <v>#N/A</v>
      </c>
      <c r="C386" s="43">
        <v>8</v>
      </c>
      <c r="D386" s="44"/>
      <c r="E386" s="45"/>
      <c r="G386" t="str">
        <f t="shared" si="6"/>
        <v>150060150060892</v>
      </c>
    </row>
    <row r="387" spans="1:7" ht="14.5" x14ac:dyDescent="0.35">
      <c r="A387" s="107" t="s">
        <v>3821</v>
      </c>
      <c r="B387" s="73" t="e">
        <f>VLOOKUP(A387,SÜRELER!A:B,2,0)</f>
        <v>#N/A</v>
      </c>
      <c r="C387" s="43"/>
      <c r="D387" s="44"/>
      <c r="E387" s="45"/>
      <c r="G387" t="str">
        <f t="shared" si="6"/>
        <v>150060150060893</v>
      </c>
    </row>
    <row r="388" spans="1:7" ht="14.5" x14ac:dyDescent="0.35">
      <c r="A388" s="107" t="s">
        <v>3822</v>
      </c>
      <c r="B388" s="73" t="e">
        <f>VLOOKUP(A388,SÜRELER!A:B,2,0)</f>
        <v>#N/A</v>
      </c>
      <c r="C388" s="43"/>
      <c r="D388" s="44"/>
      <c r="E388" s="45"/>
      <c r="G388" t="str">
        <f t="shared" si="6"/>
        <v>150060150060894</v>
      </c>
    </row>
    <row r="389" spans="1:7" ht="14.5" x14ac:dyDescent="0.35">
      <c r="A389" s="107" t="s">
        <v>3823</v>
      </c>
      <c r="B389" s="73" t="e">
        <f>VLOOKUP(A389,SÜRELER!A:B,2,0)</f>
        <v>#N/A</v>
      </c>
      <c r="C389" s="43"/>
      <c r="D389" s="44"/>
      <c r="E389" s="45"/>
      <c r="G389" t="str">
        <f t="shared" si="6"/>
        <v>150060150060895</v>
      </c>
    </row>
    <row r="390" spans="1:7" ht="14.5" x14ac:dyDescent="0.35">
      <c r="A390" s="107" t="s">
        <v>3824</v>
      </c>
      <c r="B390" s="73" t="e">
        <f>VLOOKUP(A390,SÜRELER!A:B,2,0)</f>
        <v>#N/A</v>
      </c>
      <c r="C390" s="43"/>
      <c r="D390" s="44"/>
      <c r="E390" s="45"/>
      <c r="G390" t="str">
        <f t="shared" si="6"/>
        <v>150060150060896</v>
      </c>
    </row>
    <row r="391" spans="1:7" ht="14.5" x14ac:dyDescent="0.35">
      <c r="A391" s="107" t="s">
        <v>3825</v>
      </c>
      <c r="B391" s="73" t="e">
        <f>VLOOKUP(A391,SÜRELER!A:B,2,0)</f>
        <v>#N/A</v>
      </c>
      <c r="C391" s="43"/>
      <c r="D391" s="44"/>
      <c r="E391" s="45"/>
      <c r="G391" t="str">
        <f t="shared" si="6"/>
        <v>150060150060897</v>
      </c>
    </row>
    <row r="392" spans="1:7" ht="14.5" x14ac:dyDescent="0.35">
      <c r="A392" s="107" t="s">
        <v>3826</v>
      </c>
      <c r="B392" s="73" t="e">
        <f>VLOOKUP(A392,SÜRELER!A:B,2,0)</f>
        <v>#N/A</v>
      </c>
      <c r="C392" s="43"/>
      <c r="D392" s="44"/>
      <c r="E392" s="45"/>
      <c r="G392" t="str">
        <f t="shared" si="6"/>
        <v>150060150060898</v>
      </c>
    </row>
    <row r="393" spans="1:7" ht="14.5" x14ac:dyDescent="0.35">
      <c r="A393" s="107" t="s">
        <v>3827</v>
      </c>
      <c r="B393" s="73" t="e">
        <f>VLOOKUP(A393,SÜRELER!A:B,2,0)</f>
        <v>#N/A</v>
      </c>
      <c r="C393" s="43"/>
      <c r="D393" s="44"/>
      <c r="E393" s="45"/>
      <c r="G393" t="str">
        <f t="shared" si="6"/>
        <v>150060150060899</v>
      </c>
    </row>
    <row r="394" spans="1:7" ht="14.5" x14ac:dyDescent="0.35">
      <c r="A394" s="107" t="s">
        <v>3828</v>
      </c>
      <c r="B394" s="73" t="e">
        <f>VLOOKUP(A394,SÜRELER!A:B,2,0)</f>
        <v>#N/A</v>
      </c>
      <c r="C394" s="43"/>
      <c r="D394" s="44"/>
      <c r="E394" s="45"/>
      <c r="G394" t="str">
        <f t="shared" si="6"/>
        <v>150060150060900</v>
      </c>
    </row>
    <row r="395" spans="1:7" ht="14.5" x14ac:dyDescent="0.35">
      <c r="A395" s="107" t="s">
        <v>3829</v>
      </c>
      <c r="B395" s="73" t="e">
        <f>VLOOKUP(A395,SÜRELER!A:B,2,0)</f>
        <v>#N/A</v>
      </c>
      <c r="C395" s="43"/>
      <c r="D395" s="44"/>
      <c r="E395" s="45"/>
      <c r="G395" t="str">
        <f t="shared" si="6"/>
        <v>150060150060901</v>
      </c>
    </row>
    <row r="396" spans="1:7" ht="14.5" x14ac:dyDescent="0.35">
      <c r="A396" s="107" t="s">
        <v>3830</v>
      </c>
      <c r="B396" s="73" t="e">
        <f>VLOOKUP(A396,SÜRELER!A:B,2,0)</f>
        <v>#N/A</v>
      </c>
      <c r="C396" s="43"/>
      <c r="D396" s="44"/>
      <c r="E396" s="45"/>
      <c r="G396" t="str">
        <f t="shared" si="6"/>
        <v>150060150060902</v>
      </c>
    </row>
    <row r="397" spans="1:7" ht="14.5" x14ac:dyDescent="0.35">
      <c r="A397" s="107" t="s">
        <v>3831</v>
      </c>
      <c r="B397" s="73" t="e">
        <f>VLOOKUP(A397,SÜRELER!A:B,2,0)</f>
        <v>#N/A</v>
      </c>
      <c r="C397" s="33">
        <v>24</v>
      </c>
      <c r="D397" s="34"/>
      <c r="E397" s="35"/>
      <c r="G397" t="str">
        <f t="shared" si="6"/>
        <v>150060150060903</v>
      </c>
    </row>
    <row r="398" spans="1:7" ht="14.5" x14ac:dyDescent="0.35">
      <c r="A398" s="107" t="s">
        <v>3832</v>
      </c>
      <c r="B398" s="73" t="e">
        <f>VLOOKUP(A398,SÜRELER!A:B,2,0)</f>
        <v>#N/A</v>
      </c>
      <c r="C398" s="33">
        <v>0</v>
      </c>
      <c r="D398" s="34"/>
      <c r="E398" s="35"/>
      <c r="G398" t="str">
        <f t="shared" si="6"/>
        <v>150060150060904</v>
      </c>
    </row>
    <row r="399" spans="1:7" ht="14.5" x14ac:dyDescent="0.35">
      <c r="A399" s="107" t="s">
        <v>3833</v>
      </c>
      <c r="B399" s="73" t="e">
        <f>VLOOKUP(A399,SÜRELER!A:B,2,0)</f>
        <v>#N/A</v>
      </c>
      <c r="C399" s="33">
        <v>0</v>
      </c>
      <c r="D399" s="34"/>
      <c r="E399" s="35"/>
      <c r="G399" t="str">
        <f t="shared" si="6"/>
        <v>150060150060905</v>
      </c>
    </row>
    <row r="400" spans="1:7" ht="14.5" x14ac:dyDescent="0.35">
      <c r="A400" s="107" t="s">
        <v>3834</v>
      </c>
      <c r="B400" s="73" t="e">
        <f>VLOOKUP(A400,SÜRELER!A:B,2,0)</f>
        <v>#N/A</v>
      </c>
      <c r="C400" s="33">
        <v>0</v>
      </c>
      <c r="D400" s="34"/>
      <c r="E400" s="35"/>
      <c r="G400" t="str">
        <f t="shared" si="6"/>
        <v>150060150060906</v>
      </c>
    </row>
    <row r="401" spans="1:7" ht="14.5" x14ac:dyDescent="0.35">
      <c r="A401" s="107" t="s">
        <v>3835</v>
      </c>
      <c r="B401" s="73" t="e">
        <f>VLOOKUP(A401,SÜRELER!A:B,2,0)</f>
        <v>#N/A</v>
      </c>
      <c r="C401" s="33">
        <v>0</v>
      </c>
      <c r="D401" s="34"/>
      <c r="E401" s="35"/>
      <c r="G401" t="str">
        <f t="shared" si="6"/>
        <v>150060150060907</v>
      </c>
    </row>
    <row r="402" spans="1:7" ht="14.5" x14ac:dyDescent="0.35">
      <c r="A402" s="107" t="s">
        <v>3836</v>
      </c>
      <c r="B402" s="73" t="e">
        <f>VLOOKUP(A402,SÜRELER!A:B,2,0)</f>
        <v>#N/A</v>
      </c>
      <c r="C402" s="33">
        <v>7.5</v>
      </c>
      <c r="D402" s="34"/>
      <c r="E402" s="35"/>
      <c r="G402" t="str">
        <f t="shared" ref="G402:G465" si="7">CONCATENATE($F$23,A402,)</f>
        <v>150060150060908</v>
      </c>
    </row>
    <row r="403" spans="1:7" ht="14.5" x14ac:dyDescent="0.35">
      <c r="A403" s="107" t="s">
        <v>3837</v>
      </c>
      <c r="B403" s="73" t="e">
        <f>VLOOKUP(A403,SÜRELER!A:B,2,0)</f>
        <v>#N/A</v>
      </c>
      <c r="C403" s="33">
        <v>7.5</v>
      </c>
      <c r="D403" s="34"/>
      <c r="E403" s="35"/>
      <c r="G403" t="str">
        <f t="shared" si="7"/>
        <v>150060150060909</v>
      </c>
    </row>
    <row r="404" spans="1:7" ht="14.5" x14ac:dyDescent="0.35">
      <c r="A404" s="107" t="s">
        <v>3838</v>
      </c>
      <c r="B404" s="73" t="e">
        <f>VLOOKUP(A404,SÜRELER!A:B,2,0)</f>
        <v>#N/A</v>
      </c>
      <c r="C404" s="33">
        <v>7.5</v>
      </c>
      <c r="D404" s="34"/>
      <c r="E404" s="35"/>
      <c r="G404" t="str">
        <f t="shared" si="7"/>
        <v>150060150060910</v>
      </c>
    </row>
    <row r="405" spans="1:7" ht="14.5" x14ac:dyDescent="0.35">
      <c r="A405" s="107" t="s">
        <v>3839</v>
      </c>
      <c r="B405" s="73" t="e">
        <f>VLOOKUP(A405,SÜRELER!A:B,2,0)</f>
        <v>#N/A</v>
      </c>
      <c r="C405" s="33">
        <v>7.5</v>
      </c>
      <c r="D405" s="34"/>
      <c r="E405" s="35"/>
      <c r="G405" t="str">
        <f t="shared" si="7"/>
        <v>150060150060911</v>
      </c>
    </row>
    <row r="406" spans="1:7" ht="14.5" x14ac:dyDescent="0.35">
      <c r="A406" s="107" t="s">
        <v>3840</v>
      </c>
      <c r="B406" s="73" t="e">
        <f>VLOOKUP(A406,SÜRELER!A:B,2,0)</f>
        <v>#N/A</v>
      </c>
      <c r="C406" s="33">
        <v>7.5</v>
      </c>
      <c r="D406" s="34"/>
      <c r="E406" s="35"/>
      <c r="G406" t="str">
        <f t="shared" si="7"/>
        <v>150060150060912</v>
      </c>
    </row>
    <row r="407" spans="1:7" ht="14.5" x14ac:dyDescent="0.35">
      <c r="A407" s="107" t="s">
        <v>3841</v>
      </c>
      <c r="B407" s="73" t="e">
        <f>VLOOKUP(A407,SÜRELER!A:B,2,0)</f>
        <v>#N/A</v>
      </c>
      <c r="C407" s="33">
        <v>7.5</v>
      </c>
      <c r="D407" s="34"/>
      <c r="E407" s="35"/>
      <c r="G407" t="str">
        <f t="shared" si="7"/>
        <v>150060150060913</v>
      </c>
    </row>
    <row r="408" spans="1:7" ht="14.5" x14ac:dyDescent="0.35">
      <c r="A408" s="107" t="s">
        <v>3842</v>
      </c>
      <c r="B408" s="73" t="e">
        <f>VLOOKUP(A408,SÜRELER!A:B,2,0)</f>
        <v>#N/A</v>
      </c>
      <c r="C408" s="33">
        <v>21</v>
      </c>
      <c r="D408" s="34"/>
      <c r="E408" s="35"/>
      <c r="G408" t="str">
        <f t="shared" si="7"/>
        <v>150060150060914</v>
      </c>
    </row>
    <row r="409" spans="1:7" ht="14.5" x14ac:dyDescent="0.35">
      <c r="A409" s="107" t="s">
        <v>3843</v>
      </c>
      <c r="B409" s="73" t="e">
        <f>VLOOKUP(A409,SÜRELER!A:B,2,0)</f>
        <v>#N/A</v>
      </c>
      <c r="C409" s="33">
        <v>8</v>
      </c>
      <c r="D409" s="34"/>
      <c r="E409" s="35"/>
      <c r="G409" t="str">
        <f t="shared" si="7"/>
        <v>150060150060915</v>
      </c>
    </row>
    <row r="410" spans="1:7" ht="14.5" x14ac:dyDescent="0.35">
      <c r="A410" s="107" t="s">
        <v>3844</v>
      </c>
      <c r="B410" s="73" t="e">
        <f>VLOOKUP(A410,SÜRELER!A:B,2,0)</f>
        <v>#N/A</v>
      </c>
      <c r="C410" s="33">
        <v>6</v>
      </c>
      <c r="D410" s="34"/>
      <c r="E410" s="35"/>
      <c r="G410" t="str">
        <f t="shared" si="7"/>
        <v>150060150060916</v>
      </c>
    </row>
    <row r="411" spans="1:7" ht="14.5" x14ac:dyDescent="0.35">
      <c r="A411" s="107" t="s">
        <v>3845</v>
      </c>
      <c r="B411" s="73" t="e">
        <f>VLOOKUP(A411,SÜRELER!A:B,2,0)</f>
        <v>#N/A</v>
      </c>
      <c r="C411" s="33">
        <v>10</v>
      </c>
      <c r="D411" s="34"/>
      <c r="E411" s="35"/>
      <c r="G411" t="str">
        <f t="shared" si="7"/>
        <v>150060150060917</v>
      </c>
    </row>
    <row r="412" spans="1:7" ht="14.5" x14ac:dyDescent="0.35">
      <c r="A412" s="107" t="s">
        <v>3846</v>
      </c>
      <c r="B412" s="73" t="e">
        <f>VLOOKUP(A412,SÜRELER!A:B,2,0)</f>
        <v>#N/A</v>
      </c>
      <c r="C412" s="33">
        <v>6</v>
      </c>
      <c r="D412" s="34"/>
      <c r="E412" s="35"/>
      <c r="G412" t="str">
        <f t="shared" si="7"/>
        <v>150060150060918</v>
      </c>
    </row>
    <row r="413" spans="1:7" ht="14.5" x14ac:dyDescent="0.35">
      <c r="A413" s="107" t="s">
        <v>3847</v>
      </c>
      <c r="B413" s="73" t="e">
        <f>VLOOKUP(A413,SÜRELER!A:B,2,0)</f>
        <v>#N/A</v>
      </c>
      <c r="C413" s="33">
        <v>6</v>
      </c>
      <c r="D413" s="34"/>
      <c r="E413" s="35"/>
      <c r="G413" t="str">
        <f t="shared" si="7"/>
        <v>150060150060919</v>
      </c>
    </row>
    <row r="414" spans="1:7" ht="14.5" x14ac:dyDescent="0.35">
      <c r="A414" s="107" t="s">
        <v>3848</v>
      </c>
      <c r="B414" s="73" t="e">
        <f>VLOOKUP(A414,SÜRELER!A:B,2,0)</f>
        <v>#N/A</v>
      </c>
      <c r="C414" s="33">
        <v>4</v>
      </c>
      <c r="D414" s="34"/>
      <c r="E414" s="35"/>
      <c r="G414" t="str">
        <f t="shared" si="7"/>
        <v>150060150060920</v>
      </c>
    </row>
    <row r="415" spans="1:7" ht="14.5" x14ac:dyDescent="0.35">
      <c r="A415" s="107" t="s">
        <v>3849</v>
      </c>
      <c r="B415" s="73" t="e">
        <f>VLOOKUP(A415,SÜRELER!A:B,2,0)</f>
        <v>#N/A</v>
      </c>
      <c r="C415" s="33">
        <v>3</v>
      </c>
      <c r="D415" s="34"/>
      <c r="E415" s="35"/>
      <c r="G415" t="str">
        <f t="shared" si="7"/>
        <v>150060150060921</v>
      </c>
    </row>
    <row r="416" spans="1:7" ht="14.5" x14ac:dyDescent="0.35">
      <c r="A416" s="107" t="s">
        <v>3850</v>
      </c>
      <c r="B416" s="73" t="e">
        <f>VLOOKUP(A416,SÜRELER!A:B,2,0)</f>
        <v>#N/A</v>
      </c>
      <c r="C416" s="33">
        <v>5</v>
      </c>
      <c r="D416" s="34"/>
      <c r="E416" s="35"/>
      <c r="G416" t="str">
        <f t="shared" si="7"/>
        <v>150060150060924</v>
      </c>
    </row>
    <row r="417" spans="1:7" ht="14.5" x14ac:dyDescent="0.35">
      <c r="A417" s="107" t="s">
        <v>3851</v>
      </c>
      <c r="B417" s="73" t="e">
        <f>VLOOKUP(A417,SÜRELER!A:B,2,0)</f>
        <v>#N/A</v>
      </c>
      <c r="C417" s="33">
        <v>3</v>
      </c>
      <c r="D417" s="34"/>
      <c r="E417" s="35"/>
      <c r="G417" t="str">
        <f t="shared" si="7"/>
        <v>150060150060930</v>
      </c>
    </row>
    <row r="418" spans="1:7" ht="14.5" x14ac:dyDescent="0.35">
      <c r="A418" s="107" t="s">
        <v>3852</v>
      </c>
      <c r="B418" s="73" t="e">
        <f>VLOOKUP(A418,SÜRELER!A:B,2,0)</f>
        <v>#N/A</v>
      </c>
      <c r="C418" s="33">
        <v>4</v>
      </c>
      <c r="D418" s="34"/>
      <c r="E418" s="35"/>
      <c r="G418" t="str">
        <f t="shared" si="7"/>
        <v>150060150060931</v>
      </c>
    </row>
    <row r="419" spans="1:7" ht="14.5" x14ac:dyDescent="0.35">
      <c r="A419" s="107">
        <v>150160931</v>
      </c>
      <c r="B419" s="73" t="e">
        <f>VLOOKUP(A419,SÜRELER!A:B,2,0)</f>
        <v>#N/A</v>
      </c>
      <c r="C419" s="33">
        <v>0</v>
      </c>
      <c r="D419" s="34"/>
      <c r="E419" s="35"/>
      <c r="G419" t="str">
        <f t="shared" si="7"/>
        <v>150060150160931</v>
      </c>
    </row>
    <row r="420" spans="1:7" ht="14.5" x14ac:dyDescent="0.35">
      <c r="A420" s="107" t="s">
        <v>3853</v>
      </c>
      <c r="B420" s="73" t="e">
        <f>VLOOKUP(A420,SÜRELER!A:B,2,0)</f>
        <v>#N/A</v>
      </c>
      <c r="C420" s="33">
        <v>3</v>
      </c>
      <c r="D420" s="34"/>
      <c r="E420" s="35"/>
      <c r="G420" t="str">
        <f t="shared" si="7"/>
        <v>150060150060934</v>
      </c>
    </row>
    <row r="421" spans="1:7" ht="14.5" x14ac:dyDescent="0.35">
      <c r="A421" s="107" t="s">
        <v>3854</v>
      </c>
      <c r="B421" s="73" t="e">
        <f>VLOOKUP(A421,SÜRELER!A:B,2,0)</f>
        <v>#N/A</v>
      </c>
      <c r="C421" s="33">
        <v>3</v>
      </c>
      <c r="D421" s="34"/>
      <c r="E421" s="35"/>
      <c r="G421" t="str">
        <f t="shared" si="7"/>
        <v>150060150060935</v>
      </c>
    </row>
    <row r="422" spans="1:7" ht="14.5" x14ac:dyDescent="0.35">
      <c r="A422" s="107" t="s">
        <v>3855</v>
      </c>
      <c r="B422" s="73" t="e">
        <f>VLOOKUP(A422,SÜRELER!A:B,2,0)</f>
        <v>#N/A</v>
      </c>
      <c r="C422" s="33">
        <v>3</v>
      </c>
      <c r="D422" s="34"/>
      <c r="E422" s="35"/>
      <c r="G422" t="str">
        <f t="shared" si="7"/>
        <v>150060150060936</v>
      </c>
    </row>
    <row r="423" spans="1:7" ht="14.5" x14ac:dyDescent="0.35">
      <c r="A423" s="107" t="s">
        <v>3856</v>
      </c>
      <c r="B423" s="73" t="e">
        <f>VLOOKUP(A423,SÜRELER!A:B,2,0)</f>
        <v>#N/A</v>
      </c>
      <c r="C423" s="33">
        <v>3</v>
      </c>
      <c r="D423" s="34"/>
      <c r="E423" s="35"/>
      <c r="G423" t="str">
        <f t="shared" si="7"/>
        <v>150060150060937</v>
      </c>
    </row>
    <row r="424" spans="1:7" ht="14.5" x14ac:dyDescent="0.35">
      <c r="A424" s="107" t="s">
        <v>3857</v>
      </c>
      <c r="B424" s="73" t="e">
        <f>VLOOKUP(A424,SÜRELER!A:B,2,0)</f>
        <v>#N/A</v>
      </c>
      <c r="C424" s="33">
        <v>3</v>
      </c>
      <c r="D424" s="34"/>
      <c r="E424" s="35"/>
      <c r="G424" t="str">
        <f t="shared" si="7"/>
        <v>150060150060938</v>
      </c>
    </row>
    <row r="425" spans="1:7" ht="14.5" x14ac:dyDescent="0.35">
      <c r="A425" s="107" t="s">
        <v>3858</v>
      </c>
      <c r="B425" s="73" t="e">
        <f>VLOOKUP(A425,SÜRELER!A:B,2,0)</f>
        <v>#N/A</v>
      </c>
      <c r="C425" s="33">
        <v>3</v>
      </c>
      <c r="D425" s="34"/>
      <c r="E425" s="35"/>
      <c r="G425" t="str">
        <f t="shared" si="7"/>
        <v>150060150060939</v>
      </c>
    </row>
    <row r="426" spans="1:7" ht="14.5" x14ac:dyDescent="0.35">
      <c r="A426" s="107" t="s">
        <v>3859</v>
      </c>
      <c r="B426" s="73" t="e">
        <f>VLOOKUP(A426,SÜRELER!A:B,2,0)</f>
        <v>#N/A</v>
      </c>
      <c r="C426" s="54">
        <v>8</v>
      </c>
      <c r="D426" s="34"/>
      <c r="E426" s="35"/>
      <c r="G426" t="str">
        <f t="shared" si="7"/>
        <v>150060150060940</v>
      </c>
    </row>
    <row r="427" spans="1:7" ht="14.5" x14ac:dyDescent="0.35">
      <c r="A427" s="107" t="s">
        <v>3860</v>
      </c>
      <c r="B427" s="73" t="e">
        <f>VLOOKUP(A427,SÜRELER!A:B,2,0)</f>
        <v>#N/A</v>
      </c>
      <c r="C427" s="54">
        <v>8</v>
      </c>
      <c r="D427" s="34"/>
      <c r="E427" s="35"/>
      <c r="G427" t="str">
        <f t="shared" si="7"/>
        <v>150060150060941</v>
      </c>
    </row>
    <row r="428" spans="1:7" ht="14.5" x14ac:dyDescent="0.35">
      <c r="A428" s="108" t="s">
        <v>3861</v>
      </c>
      <c r="B428" s="73" t="e">
        <f>VLOOKUP(A428,SÜRELER!A:B,2,0)</f>
        <v>#N/A</v>
      </c>
      <c r="C428" s="102">
        <v>10</v>
      </c>
      <c r="D428" s="58"/>
      <c r="E428" s="59"/>
      <c r="G428" t="str">
        <f t="shared" si="7"/>
        <v>150060150060942</v>
      </c>
    </row>
    <row r="429" spans="1:7" ht="14.5" x14ac:dyDescent="0.35">
      <c r="A429" s="108" t="s">
        <v>3862</v>
      </c>
      <c r="B429" s="73" t="e">
        <f>VLOOKUP(A429,SÜRELER!A:B,2,0)</f>
        <v>#N/A</v>
      </c>
      <c r="C429" s="102">
        <v>10</v>
      </c>
      <c r="D429" s="58"/>
      <c r="E429" s="59"/>
      <c r="G429" t="str">
        <f t="shared" si="7"/>
        <v>150060150060943</v>
      </c>
    </row>
    <row r="430" spans="1:7" ht="14.5" x14ac:dyDescent="0.35">
      <c r="A430" s="107" t="s">
        <v>3863</v>
      </c>
      <c r="B430" s="73" t="e">
        <f>VLOOKUP(A430,SÜRELER!A:B,2,0)</f>
        <v>#N/A</v>
      </c>
      <c r="C430" s="54">
        <v>5</v>
      </c>
      <c r="D430" s="34"/>
      <c r="E430" s="35"/>
      <c r="G430" t="str">
        <f t="shared" si="7"/>
        <v>150060150060944</v>
      </c>
    </row>
    <row r="431" spans="1:7" ht="14.5" x14ac:dyDescent="0.35">
      <c r="A431" s="107" t="s">
        <v>3864</v>
      </c>
      <c r="B431" s="73" t="e">
        <f>VLOOKUP(A431,SÜRELER!A:B,2,0)</f>
        <v>#N/A</v>
      </c>
      <c r="C431" s="54">
        <v>5</v>
      </c>
      <c r="D431" s="34"/>
      <c r="E431" s="35"/>
      <c r="G431" t="str">
        <f t="shared" si="7"/>
        <v>150060150060945</v>
      </c>
    </row>
    <row r="432" spans="1:7" ht="14.5" x14ac:dyDescent="0.35">
      <c r="A432" s="107" t="s">
        <v>3865</v>
      </c>
      <c r="B432" s="73" t="e">
        <f>VLOOKUP(A432,SÜRELER!A:B,2,0)</f>
        <v>#N/A</v>
      </c>
      <c r="C432" s="33">
        <v>6</v>
      </c>
      <c r="D432" s="34"/>
      <c r="E432" s="35"/>
      <c r="G432" t="str">
        <f t="shared" si="7"/>
        <v>150060150060950</v>
      </c>
    </row>
    <row r="433" spans="1:7" ht="14.5" x14ac:dyDescent="0.35">
      <c r="A433" s="107" t="s">
        <v>3866</v>
      </c>
      <c r="B433" s="73" t="e">
        <f>VLOOKUP(A433,SÜRELER!A:B,2,0)</f>
        <v>#N/A</v>
      </c>
      <c r="C433" s="33">
        <v>6</v>
      </c>
      <c r="D433" s="34"/>
      <c r="E433" s="35"/>
      <c r="G433" t="str">
        <f t="shared" si="7"/>
        <v>150060150060951</v>
      </c>
    </row>
    <row r="434" spans="1:7" ht="14.5" x14ac:dyDescent="0.35">
      <c r="A434" s="107" t="s">
        <v>3867</v>
      </c>
      <c r="B434" s="73" t="e">
        <f>VLOOKUP(A434,SÜRELER!A:B,2,0)</f>
        <v>#N/A</v>
      </c>
      <c r="C434" s="33">
        <v>8</v>
      </c>
      <c r="D434" s="34"/>
      <c r="E434" s="35"/>
      <c r="G434" t="str">
        <f t="shared" si="7"/>
        <v>150060150060952</v>
      </c>
    </row>
    <row r="435" spans="1:7" ht="14.5" x14ac:dyDescent="0.35">
      <c r="A435" s="107" t="s">
        <v>3868</v>
      </c>
      <c r="B435" s="73" t="e">
        <f>VLOOKUP(A435,SÜRELER!A:B,2,0)</f>
        <v>#N/A</v>
      </c>
      <c r="C435" s="33">
        <v>8</v>
      </c>
      <c r="D435" s="34"/>
      <c r="E435" s="35"/>
      <c r="G435" t="str">
        <f t="shared" si="7"/>
        <v>150060150060953</v>
      </c>
    </row>
    <row r="436" spans="1:7" ht="14.5" x14ac:dyDescent="0.35">
      <c r="A436" s="107" t="s">
        <v>3869</v>
      </c>
      <c r="B436" s="73" t="e">
        <f>VLOOKUP(A436,SÜRELER!A:B,2,0)</f>
        <v>#N/A</v>
      </c>
      <c r="C436" s="33">
        <v>8</v>
      </c>
      <c r="D436" s="34"/>
      <c r="E436" s="35"/>
      <c r="G436" t="str">
        <f t="shared" si="7"/>
        <v>150060150060954</v>
      </c>
    </row>
    <row r="437" spans="1:7" ht="14.5" x14ac:dyDescent="0.35">
      <c r="A437" s="107" t="s">
        <v>3870</v>
      </c>
      <c r="B437" s="73" t="e">
        <f>VLOOKUP(A437,SÜRELER!A:B,2,0)</f>
        <v>#N/A</v>
      </c>
      <c r="C437" s="33">
        <v>8</v>
      </c>
      <c r="D437" s="34"/>
      <c r="E437" s="35"/>
      <c r="G437" t="str">
        <f t="shared" si="7"/>
        <v>150060150060955</v>
      </c>
    </row>
    <row r="438" spans="1:7" ht="14.5" x14ac:dyDescent="0.35">
      <c r="A438" s="107" t="s">
        <v>3871</v>
      </c>
      <c r="B438" s="73" t="e">
        <f>VLOOKUP(A438,SÜRELER!A:B,2,0)</f>
        <v>#N/A</v>
      </c>
      <c r="C438" s="33">
        <v>5</v>
      </c>
      <c r="D438" s="34"/>
      <c r="E438" s="35"/>
      <c r="G438" t="str">
        <f t="shared" si="7"/>
        <v>150060150060958</v>
      </c>
    </row>
    <row r="439" spans="1:7" ht="14.5" x14ac:dyDescent="0.35">
      <c r="A439" s="107" t="s">
        <v>3872</v>
      </c>
      <c r="B439" s="73" t="e">
        <f>VLOOKUP(A439,SÜRELER!A:B,2,0)</f>
        <v>#N/A</v>
      </c>
      <c r="C439" s="33">
        <v>5</v>
      </c>
      <c r="D439" s="34"/>
      <c r="E439" s="35"/>
      <c r="G439" t="str">
        <f t="shared" si="7"/>
        <v>150060150060959</v>
      </c>
    </row>
    <row r="440" spans="1:7" ht="14.5" x14ac:dyDescent="0.35">
      <c r="A440" s="107" t="s">
        <v>3873</v>
      </c>
      <c r="B440" s="73" t="e">
        <f>VLOOKUP(A440,SÜRELER!A:B,2,0)</f>
        <v>#N/A</v>
      </c>
      <c r="C440" s="33">
        <v>6</v>
      </c>
      <c r="D440" s="34"/>
      <c r="E440" s="35"/>
      <c r="G440" t="str">
        <f t="shared" si="7"/>
        <v>150060150060960</v>
      </c>
    </row>
    <row r="441" spans="1:7" ht="14.5" x14ac:dyDescent="0.35">
      <c r="A441" s="107" t="s">
        <v>3874</v>
      </c>
      <c r="B441" s="73" t="e">
        <f>VLOOKUP(A441,SÜRELER!A:B,2,0)</f>
        <v>#N/A</v>
      </c>
      <c r="C441" s="33">
        <v>17</v>
      </c>
      <c r="D441" s="34"/>
      <c r="E441" s="35"/>
      <c r="G441" t="str">
        <f t="shared" si="7"/>
        <v>150060150060961</v>
      </c>
    </row>
    <row r="442" spans="1:7" ht="14.5" x14ac:dyDescent="0.35">
      <c r="A442" s="107" t="s">
        <v>3875</v>
      </c>
      <c r="B442" s="73" t="e">
        <f>VLOOKUP(A442,SÜRELER!A:B,2,0)</f>
        <v>#N/A</v>
      </c>
      <c r="C442" s="33">
        <v>5</v>
      </c>
      <c r="D442" s="34"/>
      <c r="E442" s="35"/>
      <c r="G442" t="str">
        <f t="shared" si="7"/>
        <v>150060150060962</v>
      </c>
    </row>
    <row r="443" spans="1:7" ht="14.5" x14ac:dyDescent="0.35">
      <c r="A443" s="107" t="s">
        <v>3876</v>
      </c>
      <c r="B443" s="73" t="e">
        <f>VLOOKUP(A443,SÜRELER!A:B,2,0)</f>
        <v>#N/A</v>
      </c>
      <c r="C443" s="43">
        <v>10</v>
      </c>
      <c r="D443" s="44"/>
      <c r="E443" s="45"/>
      <c r="G443" t="str">
        <f t="shared" si="7"/>
        <v>150060150060963</v>
      </c>
    </row>
    <row r="444" spans="1:7" ht="14.5" x14ac:dyDescent="0.35">
      <c r="A444" s="107" t="s">
        <v>3877</v>
      </c>
      <c r="B444" s="73" t="e">
        <f>VLOOKUP(A444,SÜRELER!A:B,2,0)</f>
        <v>#N/A</v>
      </c>
      <c r="C444" s="43">
        <v>5</v>
      </c>
      <c r="D444" s="44"/>
      <c r="E444" s="45"/>
      <c r="G444" t="str">
        <f t="shared" si="7"/>
        <v>150060150060964</v>
      </c>
    </row>
    <row r="445" spans="1:7" ht="14.5" x14ac:dyDescent="0.35">
      <c r="A445" s="107" t="s">
        <v>3878</v>
      </c>
      <c r="B445" s="73" t="e">
        <f>VLOOKUP(A445,SÜRELER!A:B,2,0)</f>
        <v>#N/A</v>
      </c>
      <c r="C445" s="33">
        <v>3</v>
      </c>
      <c r="D445" s="34"/>
      <c r="E445" s="35"/>
      <c r="G445" t="str">
        <f t="shared" si="7"/>
        <v>150060150060965</v>
      </c>
    </row>
    <row r="446" spans="1:7" ht="14.5" x14ac:dyDescent="0.35">
      <c r="A446" s="107" t="s">
        <v>3879</v>
      </c>
      <c r="B446" s="73" t="e">
        <f>VLOOKUP(A446,SÜRELER!A:B,2,0)</f>
        <v>#N/A</v>
      </c>
      <c r="C446" s="33">
        <v>5</v>
      </c>
      <c r="D446" s="34"/>
      <c r="E446" s="35"/>
      <c r="G446" t="str">
        <f t="shared" si="7"/>
        <v>150060150060967</v>
      </c>
    </row>
    <row r="447" spans="1:7" ht="14.5" x14ac:dyDescent="0.35">
      <c r="A447" s="107" t="s">
        <v>3880</v>
      </c>
      <c r="B447" s="73" t="e">
        <f>VLOOKUP(A447,SÜRELER!A:B,2,0)</f>
        <v>#N/A</v>
      </c>
      <c r="C447" s="43">
        <v>5</v>
      </c>
      <c r="D447" s="44"/>
      <c r="E447" s="45"/>
      <c r="G447" t="str">
        <f t="shared" si="7"/>
        <v>150060150060973</v>
      </c>
    </row>
    <row r="448" spans="1:7" ht="14.5" x14ac:dyDescent="0.35">
      <c r="A448" s="107" t="s">
        <v>3881</v>
      </c>
      <c r="B448" s="73" t="e">
        <f>VLOOKUP(A448,SÜRELER!A:B,2,0)</f>
        <v>#N/A</v>
      </c>
      <c r="C448" s="43">
        <v>5</v>
      </c>
      <c r="D448" s="44"/>
      <c r="E448" s="45"/>
      <c r="G448" t="str">
        <f t="shared" si="7"/>
        <v>150060150060974</v>
      </c>
    </row>
    <row r="449" spans="1:7" ht="14.5" x14ac:dyDescent="0.35">
      <c r="A449" s="107" t="s">
        <v>3882</v>
      </c>
      <c r="B449" s="73" t="e">
        <f>VLOOKUP(A449,SÜRELER!A:B,2,0)</f>
        <v>#N/A</v>
      </c>
      <c r="C449" s="33">
        <v>5</v>
      </c>
      <c r="D449" s="34"/>
      <c r="E449" s="35"/>
      <c r="G449" t="str">
        <f t="shared" si="7"/>
        <v>150060150060975</v>
      </c>
    </row>
    <row r="450" spans="1:7" ht="14.5" x14ac:dyDescent="0.35">
      <c r="A450" s="107" t="s">
        <v>3883</v>
      </c>
      <c r="B450" s="73" t="e">
        <f>VLOOKUP(A450,SÜRELER!A:B,2,0)</f>
        <v>#N/A</v>
      </c>
      <c r="C450" s="33">
        <v>5</v>
      </c>
      <c r="D450" s="34"/>
      <c r="E450" s="35"/>
      <c r="G450" t="str">
        <f t="shared" si="7"/>
        <v>150060150060976</v>
      </c>
    </row>
    <row r="451" spans="1:7" ht="14.5" x14ac:dyDescent="0.35">
      <c r="A451" s="107" t="s">
        <v>3884</v>
      </c>
      <c r="B451" s="73" t="e">
        <f>VLOOKUP(A451,SÜRELER!A:B,2,0)</f>
        <v>#N/A</v>
      </c>
      <c r="C451" s="33">
        <v>2</v>
      </c>
      <c r="D451" s="34"/>
      <c r="E451" s="35"/>
      <c r="G451" t="str">
        <f t="shared" si="7"/>
        <v>150060150060978</v>
      </c>
    </row>
    <row r="452" spans="1:7" ht="14.5" x14ac:dyDescent="0.35">
      <c r="A452" s="107" t="s">
        <v>3885</v>
      </c>
      <c r="B452" s="73" t="e">
        <f>VLOOKUP(A452,SÜRELER!A:B,2,0)</f>
        <v>#N/A</v>
      </c>
      <c r="C452" s="33">
        <v>5</v>
      </c>
      <c r="D452" s="34"/>
      <c r="E452" s="35"/>
      <c r="G452" t="str">
        <f t="shared" si="7"/>
        <v>150060150060979</v>
      </c>
    </row>
    <row r="453" spans="1:7" ht="14.5" x14ac:dyDescent="0.35">
      <c r="A453" s="107" t="s">
        <v>3886</v>
      </c>
      <c r="B453" s="73" t="e">
        <f>VLOOKUP(A453,SÜRELER!A:B,2,0)</f>
        <v>#N/A</v>
      </c>
      <c r="C453" s="33">
        <v>5</v>
      </c>
      <c r="D453" s="34"/>
      <c r="E453" s="35"/>
      <c r="G453" t="str">
        <f t="shared" si="7"/>
        <v>150060150060981</v>
      </c>
    </row>
    <row r="454" spans="1:7" ht="14.5" x14ac:dyDescent="0.35">
      <c r="A454" s="107" t="s">
        <v>3887</v>
      </c>
      <c r="B454" s="73" t="e">
        <f>VLOOKUP(A454,SÜRELER!A:B,2,0)</f>
        <v>#N/A</v>
      </c>
      <c r="C454" s="33">
        <v>7.5</v>
      </c>
      <c r="D454" s="34"/>
      <c r="E454" s="35"/>
      <c r="G454" t="str">
        <f t="shared" si="7"/>
        <v>150060150060982</v>
      </c>
    </row>
    <row r="455" spans="1:7" ht="14.5" x14ac:dyDescent="0.35">
      <c r="A455" s="107" t="s">
        <v>3888</v>
      </c>
      <c r="B455" s="73" t="e">
        <f>VLOOKUP(A455,SÜRELER!A:B,2,0)</f>
        <v>#N/A</v>
      </c>
      <c r="C455" s="33">
        <v>8</v>
      </c>
      <c r="D455" s="34"/>
      <c r="E455" s="35"/>
      <c r="G455" t="str">
        <f t="shared" si="7"/>
        <v>150060150060983</v>
      </c>
    </row>
    <row r="456" spans="1:7" ht="14.5" x14ac:dyDescent="0.35">
      <c r="A456" s="107" t="s">
        <v>3889</v>
      </c>
      <c r="B456" s="73" t="e">
        <f>VLOOKUP(A456,SÜRELER!A:B,2,0)</f>
        <v>#N/A</v>
      </c>
      <c r="C456" s="33">
        <v>7.5</v>
      </c>
      <c r="D456" s="34"/>
      <c r="E456" s="35"/>
      <c r="G456" t="str">
        <f t="shared" si="7"/>
        <v>150060150060984</v>
      </c>
    </row>
    <row r="457" spans="1:7" ht="14.5" x14ac:dyDescent="0.35">
      <c r="A457" s="107" t="s">
        <v>3890</v>
      </c>
      <c r="B457" s="73" t="e">
        <f>VLOOKUP(A457,SÜRELER!A:B,2,0)</f>
        <v>#N/A</v>
      </c>
      <c r="C457" s="33">
        <v>15</v>
      </c>
      <c r="D457" s="34"/>
      <c r="E457" s="35"/>
      <c r="G457" t="str">
        <f t="shared" si="7"/>
        <v>150060150060986</v>
      </c>
    </row>
    <row r="458" spans="1:7" ht="14.5" x14ac:dyDescent="0.35">
      <c r="A458" s="107" t="s">
        <v>3891</v>
      </c>
      <c r="B458" s="73" t="e">
        <f>VLOOKUP(A458,SÜRELER!A:B,2,0)</f>
        <v>#N/A</v>
      </c>
      <c r="C458" s="33">
        <v>0</v>
      </c>
      <c r="D458" s="34"/>
      <c r="E458" s="35"/>
      <c r="G458" t="str">
        <f t="shared" si="7"/>
        <v>150060150060987</v>
      </c>
    </row>
    <row r="459" spans="1:7" ht="14.5" x14ac:dyDescent="0.35">
      <c r="A459" s="107" t="s">
        <v>3892</v>
      </c>
      <c r="B459" s="73" t="e">
        <f>VLOOKUP(A459,SÜRELER!A:B,2,0)</f>
        <v>#N/A</v>
      </c>
      <c r="C459" s="33">
        <v>3</v>
      </c>
      <c r="D459" s="34"/>
      <c r="E459" s="35"/>
      <c r="G459" t="str">
        <f t="shared" si="7"/>
        <v>150060150060988</v>
      </c>
    </row>
    <row r="460" spans="1:7" ht="14.5" x14ac:dyDescent="0.35">
      <c r="A460" s="107" t="s">
        <v>3893</v>
      </c>
      <c r="B460" s="73" t="e">
        <f>VLOOKUP(A460,SÜRELER!A:B,2,0)</f>
        <v>#N/A</v>
      </c>
      <c r="C460" s="33">
        <v>3</v>
      </c>
      <c r="D460" s="34"/>
      <c r="E460" s="35"/>
      <c r="G460" t="str">
        <f t="shared" si="7"/>
        <v>150060150060989</v>
      </c>
    </row>
    <row r="461" spans="1:7" ht="14.5" x14ac:dyDescent="0.35">
      <c r="A461" s="107" t="s">
        <v>3894</v>
      </c>
      <c r="B461" s="73" t="e">
        <f>VLOOKUP(A461,SÜRELER!A:B,2,0)</f>
        <v>#N/A</v>
      </c>
      <c r="C461" s="33">
        <v>3</v>
      </c>
      <c r="D461" s="34"/>
      <c r="E461" s="35"/>
      <c r="G461" t="str">
        <f t="shared" si="7"/>
        <v>150060150060990</v>
      </c>
    </row>
    <row r="462" spans="1:7" ht="14.5" x14ac:dyDescent="0.35">
      <c r="A462" s="107" t="s">
        <v>3895</v>
      </c>
      <c r="B462" s="73" t="e">
        <f>VLOOKUP(A462,SÜRELER!A:B,2,0)</f>
        <v>#N/A</v>
      </c>
      <c r="C462" s="33">
        <v>3</v>
      </c>
      <c r="D462" s="34"/>
      <c r="E462" s="35"/>
      <c r="G462" t="str">
        <f t="shared" si="7"/>
        <v>150060150060991</v>
      </c>
    </row>
    <row r="463" spans="1:7" ht="14.5" x14ac:dyDescent="0.35">
      <c r="A463" s="107" t="s">
        <v>3896</v>
      </c>
      <c r="B463" s="73" t="e">
        <f>VLOOKUP(A463,SÜRELER!A:B,2,0)</f>
        <v>#N/A</v>
      </c>
      <c r="C463" s="33">
        <v>3</v>
      </c>
      <c r="D463" s="34"/>
      <c r="E463" s="35"/>
      <c r="G463" t="str">
        <f t="shared" si="7"/>
        <v>150060150060992</v>
      </c>
    </row>
    <row r="464" spans="1:7" ht="14.5" x14ac:dyDescent="0.35">
      <c r="A464" s="107" t="s">
        <v>3897</v>
      </c>
      <c r="B464" s="73" t="e">
        <f>VLOOKUP(A464,SÜRELER!A:B,2,0)</f>
        <v>#N/A</v>
      </c>
      <c r="C464" s="33">
        <v>3</v>
      </c>
      <c r="D464" s="34"/>
      <c r="E464" s="35"/>
      <c r="G464" t="str">
        <f t="shared" si="7"/>
        <v>150060150060993</v>
      </c>
    </row>
    <row r="465" spans="1:7" ht="14.5" x14ac:dyDescent="0.35">
      <c r="A465" s="107" t="s">
        <v>3898</v>
      </c>
      <c r="B465" s="73" t="e">
        <f>VLOOKUP(A465,SÜRELER!A:B,2,0)</f>
        <v>#N/A</v>
      </c>
      <c r="C465" s="33">
        <v>3</v>
      </c>
      <c r="D465" s="34"/>
      <c r="E465" s="35"/>
      <c r="G465" t="str">
        <f t="shared" si="7"/>
        <v>150060150060994</v>
      </c>
    </row>
    <row r="466" spans="1:7" ht="14.5" x14ac:dyDescent="0.35">
      <c r="A466" s="107" t="s">
        <v>3899</v>
      </c>
      <c r="B466" s="73" t="e">
        <f>VLOOKUP(A466,SÜRELER!A:B,2,0)</f>
        <v>#N/A</v>
      </c>
      <c r="C466" s="33">
        <v>3</v>
      </c>
      <c r="D466" s="34"/>
      <c r="E466" s="35"/>
      <c r="G466" t="str">
        <f t="shared" ref="G466:G470" si="8">CONCATENATE($F$23,A466,)</f>
        <v>150060150060995</v>
      </c>
    </row>
    <row r="467" spans="1:7" ht="14.5" x14ac:dyDescent="0.35">
      <c r="A467" s="107" t="s">
        <v>3900</v>
      </c>
      <c r="B467" s="73" t="e">
        <f>VLOOKUP(A467,SÜRELER!A:B,2,0)</f>
        <v>#N/A</v>
      </c>
      <c r="C467" s="33">
        <v>10</v>
      </c>
      <c r="D467" s="34"/>
      <c r="E467" s="35"/>
      <c r="G467" t="str">
        <f t="shared" si="8"/>
        <v>150060150060996</v>
      </c>
    </row>
    <row r="468" spans="1:7" ht="14.5" x14ac:dyDescent="0.35">
      <c r="A468" s="107" t="s">
        <v>3901</v>
      </c>
      <c r="B468" s="73" t="e">
        <f>VLOOKUP(A468,SÜRELER!A:B,2,0)</f>
        <v>#N/A</v>
      </c>
      <c r="C468" s="33">
        <v>10</v>
      </c>
      <c r="D468" s="34"/>
      <c r="E468" s="35"/>
      <c r="G468" t="str">
        <f t="shared" si="8"/>
        <v>150060150060997</v>
      </c>
    </row>
    <row r="469" spans="1:7" ht="14.5" x14ac:dyDescent="0.35">
      <c r="A469" s="107" t="s">
        <v>3902</v>
      </c>
      <c r="B469" s="73" t="e">
        <f>VLOOKUP(A469,SÜRELER!A:B,2,0)</f>
        <v>#N/A</v>
      </c>
      <c r="C469" s="33">
        <v>10</v>
      </c>
      <c r="D469" s="34"/>
      <c r="E469" s="35"/>
      <c r="G469" t="str">
        <f t="shared" si="8"/>
        <v>150060150060998</v>
      </c>
    </row>
    <row r="470" spans="1:7" ht="14.5" x14ac:dyDescent="0.35">
      <c r="A470" s="107" t="s">
        <v>3903</v>
      </c>
      <c r="B470" s="73" t="e">
        <f>VLOOKUP(A470,SÜRELER!A:B,2,0)</f>
        <v>#N/A</v>
      </c>
      <c r="C470" s="33">
        <v>10</v>
      </c>
      <c r="D470" s="34"/>
      <c r="E470" s="35"/>
      <c r="G470" t="str">
        <f t="shared" si="8"/>
        <v>150060150060999</v>
      </c>
    </row>
    <row r="471" spans="1:7" ht="14.5" x14ac:dyDescent="0.35">
      <c r="A471" s="107" t="s">
        <v>3904</v>
      </c>
      <c r="B471" s="73" t="str">
        <f>VLOOKUP(A471,SÜRELER!A:B,2,0)</f>
        <v>Lens Dış,Sağ,Kırmızı+Pembe,913N Ask</v>
      </c>
      <c r="C471" s="33">
        <v>10</v>
      </c>
      <c r="D471" s="34"/>
      <c r="E471" s="35"/>
      <c r="F471">
        <v>15006</v>
      </c>
      <c r="G471" t="str">
        <f>CONCATENATE($F$471,A471,)</f>
        <v>15006150061000</v>
      </c>
    </row>
    <row r="472" spans="1:7" ht="14.5" x14ac:dyDescent="0.35">
      <c r="A472" s="107" t="s">
        <v>3905</v>
      </c>
      <c r="B472" s="73" t="str">
        <f>VLOOKUP(A472,SÜRELER!A:B,2,0)</f>
        <v>Lens Dış,Sol,Kırmızı+Pembe,913N Ask</v>
      </c>
      <c r="C472" s="33">
        <v>10</v>
      </c>
      <c r="D472" s="34"/>
      <c r="E472" s="35"/>
      <c r="G472" t="str">
        <f t="shared" ref="G472:G535" si="9">CONCATENATE($F$471,A472,)</f>
        <v>15006150061001</v>
      </c>
    </row>
    <row r="473" spans="1:7" ht="14.5" x14ac:dyDescent="0.35">
      <c r="A473" s="107" t="s">
        <v>3906</v>
      </c>
      <c r="B473" s="73" t="e">
        <f>VLOOKUP(A473,SÜRELER!A:B,2,0)</f>
        <v>#N/A</v>
      </c>
      <c r="C473" s="33">
        <v>10</v>
      </c>
      <c r="D473" s="34"/>
      <c r="E473" s="35"/>
      <c r="G473" t="str">
        <f t="shared" si="9"/>
        <v>15006150061002</v>
      </c>
    </row>
    <row r="474" spans="1:7" ht="14.5" x14ac:dyDescent="0.35">
      <c r="A474" s="107" t="s">
        <v>3907</v>
      </c>
      <c r="B474" s="73" t="e">
        <f>VLOOKUP(A474,SÜRELER!A:B,2,0)</f>
        <v>#N/A</v>
      </c>
      <c r="C474" s="33">
        <v>10</v>
      </c>
      <c r="D474" s="34"/>
      <c r="E474" s="35"/>
      <c r="G474" t="str">
        <f t="shared" si="9"/>
        <v>15006150061003</v>
      </c>
    </row>
    <row r="475" spans="1:7" ht="14.5" x14ac:dyDescent="0.35">
      <c r="A475" s="107" t="s">
        <v>3908</v>
      </c>
      <c r="B475" s="73" t="str">
        <f>VLOOKUP(A475,SÜRELER!A:B,2,0)</f>
        <v>Gövde Sağ,001A Ask</v>
      </c>
      <c r="C475" s="33">
        <v>3</v>
      </c>
      <c r="D475" s="34"/>
      <c r="E475" s="35"/>
      <c r="G475" t="str">
        <f t="shared" si="9"/>
        <v>15006150061004</v>
      </c>
    </row>
    <row r="476" spans="1:7" ht="14.5" x14ac:dyDescent="0.35">
      <c r="A476" s="107" t="s">
        <v>3909</v>
      </c>
      <c r="B476" s="73" t="str">
        <f>VLOOKUP(A476,SÜRELER!A:B,2,0)</f>
        <v>Gövde Sol,001A Ask</v>
      </c>
      <c r="C476" s="33">
        <v>3</v>
      </c>
      <c r="D476" s="34"/>
      <c r="E476" s="35"/>
      <c r="G476" t="str">
        <f t="shared" si="9"/>
        <v>15006150061005</v>
      </c>
    </row>
    <row r="477" spans="1:7" ht="14.5" x14ac:dyDescent="0.35">
      <c r="A477" s="107" t="s">
        <v>3910</v>
      </c>
      <c r="B477" s="73" t="str">
        <f>VLOOKUP(A477,SÜRELER!A:B,2,0)</f>
        <v>Lens A,Sis,Sağ,001A Ask</v>
      </c>
      <c r="C477" s="33">
        <v>8</v>
      </c>
      <c r="D477" s="34"/>
      <c r="E477" s="35"/>
      <c r="G477" t="str">
        <f t="shared" si="9"/>
        <v>15006150061006</v>
      </c>
    </row>
    <row r="478" spans="1:7" ht="14.5" x14ac:dyDescent="0.35">
      <c r="A478" s="107" t="s">
        <v>3911</v>
      </c>
      <c r="B478" s="73" t="str">
        <f>VLOOKUP(A478,SÜRELER!A:B,2,0)</f>
        <v>Lens A,Sis,Sol,001A Ask</v>
      </c>
      <c r="C478" s="33">
        <v>8</v>
      </c>
      <c r="D478" s="34"/>
      <c r="E478" s="35"/>
      <c r="G478" t="str">
        <f t="shared" si="9"/>
        <v>15006150061007</v>
      </c>
    </row>
    <row r="479" spans="1:7" ht="14.5" x14ac:dyDescent="0.35">
      <c r="A479" s="107" t="s">
        <v>3912</v>
      </c>
      <c r="B479" s="73" t="str">
        <f>VLOOKUP(A479,SÜRELER!A:B,2,0)</f>
        <v>Lens B,Geri Vites,Sağ,001A Ask</v>
      </c>
      <c r="C479" s="33">
        <v>8</v>
      </c>
      <c r="D479" s="34"/>
      <c r="E479" s="35"/>
      <c r="G479" t="str">
        <f t="shared" si="9"/>
        <v>15006150061008</v>
      </c>
    </row>
    <row r="480" spans="1:7" ht="14.5" x14ac:dyDescent="0.35">
      <c r="A480" s="107" t="s">
        <v>3913</v>
      </c>
      <c r="B480" s="73" t="str">
        <f>VLOOKUP(A480,SÜRELER!A:B,2,0)</f>
        <v>Lens B,Geri Vites,Sol,001A Ask</v>
      </c>
      <c r="C480" s="33">
        <v>8</v>
      </c>
      <c r="D480" s="34"/>
      <c r="E480" s="35"/>
      <c r="G480" t="str">
        <f t="shared" si="9"/>
        <v>15006150061009</v>
      </c>
    </row>
    <row r="481" spans="1:7" ht="14.5" x14ac:dyDescent="0.35">
      <c r="A481" s="107" t="s">
        <v>3914</v>
      </c>
      <c r="B481" s="73" t="str">
        <f>VLOOKUP(A481,SÜRELER!A:B,2,0)</f>
        <v>Braket A,Sinyal,Sağ,001A Ask</v>
      </c>
      <c r="C481" s="33">
        <v>8</v>
      </c>
      <c r="D481" s="34"/>
      <c r="E481" s="35"/>
      <c r="G481" t="str">
        <f t="shared" si="9"/>
        <v>15006150061010</v>
      </c>
    </row>
    <row r="482" spans="1:7" ht="14.5" x14ac:dyDescent="0.35">
      <c r="A482" s="107" t="s">
        <v>3915</v>
      </c>
      <c r="B482" s="73" t="str">
        <f>VLOOKUP(A482,SÜRELER!A:B,2,0)</f>
        <v>Braket A,Sinyal,Sol,001A Ask</v>
      </c>
      <c r="C482" s="33">
        <v>8</v>
      </c>
      <c r="D482" s="34"/>
      <c r="E482" s="35"/>
      <c r="G482" t="str">
        <f t="shared" si="9"/>
        <v>15006150061011</v>
      </c>
    </row>
    <row r="483" spans="1:7" ht="14.5" x14ac:dyDescent="0.35">
      <c r="A483" s="107" t="s">
        <v>3916</v>
      </c>
      <c r="B483" s="73" t="str">
        <f>VLOOKUP(A483,SÜRELER!A:B,2,0)</f>
        <v>Refl. A,Sis-Geri Vites,Sağ,001A Ask</v>
      </c>
      <c r="C483" s="33">
        <v>7</v>
      </c>
      <c r="D483" s="34"/>
      <c r="E483" s="35"/>
      <c r="G483" t="str">
        <f t="shared" si="9"/>
        <v>15006150061012</v>
      </c>
    </row>
    <row r="484" spans="1:7" ht="14.5" x14ac:dyDescent="0.35">
      <c r="A484" s="107" t="s">
        <v>3917</v>
      </c>
      <c r="B484" s="73" t="str">
        <f>VLOOKUP(A484,SÜRELER!A:B,2,0)</f>
        <v>Refl. A,Sis-Geri Vites,Sol,001A Ask</v>
      </c>
      <c r="C484" s="33">
        <v>7</v>
      </c>
      <c r="D484" s="34"/>
      <c r="E484" s="35"/>
      <c r="G484" t="str">
        <f t="shared" si="9"/>
        <v>15006150061013</v>
      </c>
    </row>
    <row r="485" spans="1:7" ht="14.5" x14ac:dyDescent="0.35">
      <c r="A485" s="107" t="s">
        <v>3918</v>
      </c>
      <c r="B485" s="73" t="str">
        <f>VLOOKUP(A485,SÜRELER!A:B,2,0)</f>
        <v>Reflektör B,Stop,Sağ,001A Ask</v>
      </c>
      <c r="C485" s="33">
        <v>3</v>
      </c>
      <c r="D485" s="34"/>
      <c r="E485" s="35"/>
      <c r="G485" t="str">
        <f t="shared" si="9"/>
        <v>15006150061014</v>
      </c>
    </row>
    <row r="486" spans="1:7" ht="14.5" x14ac:dyDescent="0.35">
      <c r="A486" s="107" t="s">
        <v>3919</v>
      </c>
      <c r="B486" s="73" t="str">
        <f>VLOOKUP(A486,SÜRELER!A:B,2,0)</f>
        <v>Reflektör B,Stop,Sol,001A Ask</v>
      </c>
      <c r="C486" s="33">
        <v>3</v>
      </c>
      <c r="D486" s="34"/>
      <c r="E486" s="35"/>
      <c r="G486" t="str">
        <f t="shared" si="9"/>
        <v>15006150061015</v>
      </c>
    </row>
    <row r="487" spans="1:7" ht="14.5" x14ac:dyDescent="0.35">
      <c r="A487" s="107" t="s">
        <v>3920</v>
      </c>
      <c r="B487" s="73" t="str">
        <f>VLOOKUP(A487,SÜRELER!A:B,2,0)</f>
        <v>Ara Çerçeve,Braketli,Sağ,001A Ask</v>
      </c>
      <c r="C487" s="33">
        <v>3</v>
      </c>
      <c r="D487" s="34"/>
      <c r="E487" s="35"/>
      <c r="G487" t="str">
        <f t="shared" si="9"/>
        <v>15006150061016</v>
      </c>
    </row>
    <row r="488" spans="1:7" ht="14.5" x14ac:dyDescent="0.35">
      <c r="A488" s="107" t="s">
        <v>3921</v>
      </c>
      <c r="B488" s="73" t="str">
        <f>VLOOKUP(A488,SÜRELER!A:B,2,0)</f>
        <v>Ara Çerçeve,Braketli,Sol,001A Ask</v>
      </c>
      <c r="C488" s="33">
        <v>3</v>
      </c>
      <c r="D488" s="34"/>
      <c r="E488" s="35"/>
      <c r="G488" t="str">
        <f t="shared" si="9"/>
        <v>15006150061017</v>
      </c>
    </row>
    <row r="489" spans="1:7" ht="14.5" x14ac:dyDescent="0.35">
      <c r="A489" s="107" t="s">
        <v>3922</v>
      </c>
      <c r="B489" s="73" t="str">
        <f>VLOOKUP(A489,SÜRELER!A:B,2,0)</f>
        <v>Refl.A,Sis-Geri Vites,Sağ,001A Ask SD</v>
      </c>
      <c r="C489" s="33">
        <v>3</v>
      </c>
      <c r="D489" s="34"/>
      <c r="E489" s="35"/>
      <c r="G489" t="str">
        <f t="shared" si="9"/>
        <v>15006150061019</v>
      </c>
    </row>
    <row r="490" spans="1:7" ht="14.5" x14ac:dyDescent="0.35">
      <c r="A490" s="107" t="s">
        <v>3923</v>
      </c>
      <c r="B490" s="73" t="str">
        <f>VLOOKUP(A490,SÜRELER!A:B,2,0)</f>
        <v>Refl.A,Sis-Geri Vites,Sol,001A Ask SD</v>
      </c>
      <c r="C490" s="33">
        <v>3</v>
      </c>
      <c r="D490" s="34"/>
      <c r="E490" s="35"/>
      <c r="G490" t="str">
        <f t="shared" si="9"/>
        <v>15006150061020</v>
      </c>
    </row>
    <row r="491" spans="1:7" ht="14.5" x14ac:dyDescent="0.35">
      <c r="A491" s="107" t="s">
        <v>3924</v>
      </c>
      <c r="B491" s="73" t="str">
        <f>VLOOKUP(A491,SÜRELER!A:B,2,0)</f>
        <v>Lens İç,Geri Vites,Sağ,913N Ask</v>
      </c>
      <c r="C491" s="33">
        <v>10</v>
      </c>
      <c r="D491" s="34"/>
      <c r="E491" s="35"/>
      <c r="G491" t="str">
        <f t="shared" si="9"/>
        <v>15006150061021</v>
      </c>
    </row>
    <row r="492" spans="1:7" ht="14.5" x14ac:dyDescent="0.35">
      <c r="A492" s="107" t="s">
        <v>3925</v>
      </c>
      <c r="B492" s="73" t="str">
        <f>VLOOKUP(A492,SÜRELER!A:B,2,0)</f>
        <v>Lens İç,Geri Vites,Sol,913N Ask</v>
      </c>
      <c r="C492" s="33">
        <v>10</v>
      </c>
      <c r="D492" s="34"/>
      <c r="E492" s="35"/>
      <c r="G492" t="str">
        <f t="shared" si="9"/>
        <v>15006150061022</v>
      </c>
    </row>
    <row r="493" spans="1:7" ht="14.5" x14ac:dyDescent="0.35">
      <c r="A493" s="107" t="s">
        <v>3926</v>
      </c>
      <c r="B493" s="73" t="str">
        <f>VLOOKUP(A493,SÜRELER!A:B,2,0)</f>
        <v>Lens İç,Sinyal,Sağ,913N Ask</v>
      </c>
      <c r="C493" s="33">
        <v>3</v>
      </c>
      <c r="D493" s="34"/>
      <c r="E493" s="35"/>
      <c r="G493" t="str">
        <f t="shared" si="9"/>
        <v>15006150061023</v>
      </c>
    </row>
    <row r="494" spans="1:7" ht="14.5" x14ac:dyDescent="0.35">
      <c r="A494" s="107" t="s">
        <v>3927</v>
      </c>
      <c r="B494" s="73" t="str">
        <f>VLOOKUP(A494,SÜRELER!A:B,2,0)</f>
        <v>Lens İç,Sinyal,Sol,913N Ask</v>
      </c>
      <c r="C494" s="33">
        <v>3</v>
      </c>
      <c r="D494" s="34"/>
      <c r="E494" s="35"/>
      <c r="G494" t="str">
        <f t="shared" si="9"/>
        <v>15006150061024</v>
      </c>
    </row>
    <row r="495" spans="1:7" ht="14.5" x14ac:dyDescent="0.35">
      <c r="A495" s="107" t="s">
        <v>3928</v>
      </c>
      <c r="B495" s="73" t="str">
        <f>VLOOKUP(A495,SÜRELER!A:B,2,0)</f>
        <v>Lens İç,Geri Vites,Sağ,914N Ask</v>
      </c>
      <c r="C495" s="33">
        <v>3</v>
      </c>
      <c r="D495" s="34"/>
      <c r="E495" s="35"/>
      <c r="G495" t="str">
        <f t="shared" si="9"/>
        <v>15006150061025</v>
      </c>
    </row>
    <row r="496" spans="1:7" ht="14.5" x14ac:dyDescent="0.35">
      <c r="A496" s="107" t="s">
        <v>3929</v>
      </c>
      <c r="B496" s="73" t="str">
        <f>VLOOKUP(A496,SÜRELER!A:B,2,0)</f>
        <v>Lens İç,Geri Vites,Sol,914N Ask</v>
      </c>
      <c r="C496" s="33">
        <v>3</v>
      </c>
      <c r="D496" s="34"/>
      <c r="E496" s="35"/>
      <c r="G496" t="str">
        <f t="shared" si="9"/>
        <v>15006150061026</v>
      </c>
    </row>
    <row r="497" spans="1:7" ht="14.5" x14ac:dyDescent="0.35">
      <c r="A497" s="107" t="s">
        <v>3930</v>
      </c>
      <c r="B497" s="73" t="str">
        <f>VLOOKUP(A497,SÜRELER!A:B,2,0)</f>
        <v>Lens İç,Sinyal,914N Ask</v>
      </c>
      <c r="C497" s="33">
        <v>3</v>
      </c>
      <c r="D497" s="34"/>
      <c r="E497" s="35"/>
      <c r="G497" t="str">
        <f t="shared" si="9"/>
        <v>15006150061027</v>
      </c>
    </row>
    <row r="498" spans="1:7" ht="14.5" x14ac:dyDescent="0.35">
      <c r="A498" s="107" t="s">
        <v>3931</v>
      </c>
      <c r="B498" s="73" t="str">
        <f>VLOOKUP(A498,SÜRELER!A:B,2,0)</f>
        <v>Lens İç,Sis,Sağ,914N Ask</v>
      </c>
      <c r="C498" s="33">
        <v>3</v>
      </c>
      <c r="D498" s="34"/>
      <c r="E498" s="35"/>
      <c r="G498" t="str">
        <f t="shared" si="9"/>
        <v>15006150061028</v>
      </c>
    </row>
    <row r="499" spans="1:7" ht="14.5" x14ac:dyDescent="0.35">
      <c r="A499" s="107" t="s">
        <v>3932</v>
      </c>
      <c r="B499" s="73" t="str">
        <f>VLOOKUP(A499,SÜRELER!A:B,2,0)</f>
        <v>Lens İç,Sis,Sol,914N Ask</v>
      </c>
      <c r="C499" s="33">
        <v>3</v>
      </c>
      <c r="D499" s="34"/>
      <c r="E499" s="35"/>
      <c r="G499" t="str">
        <f t="shared" si="9"/>
        <v>15006150061029</v>
      </c>
    </row>
    <row r="500" spans="1:7" ht="14.5" x14ac:dyDescent="0.35">
      <c r="A500" s="107" t="s">
        <v>3933</v>
      </c>
      <c r="B500" s="73" t="str">
        <f>VLOOKUP(A500,SÜRELER!A:B,2,0)</f>
        <v>Lens Refleks,Sağ,914N Ask</v>
      </c>
      <c r="C500" s="33">
        <v>3</v>
      </c>
      <c r="D500" s="34"/>
      <c r="E500" s="35"/>
      <c r="G500" t="str">
        <f t="shared" si="9"/>
        <v>15006150061030</v>
      </c>
    </row>
    <row r="501" spans="1:7" ht="14.5" x14ac:dyDescent="0.35">
      <c r="A501" s="107" t="s">
        <v>3934</v>
      </c>
      <c r="B501" s="73" t="str">
        <f>VLOOKUP(A501,SÜRELER!A:B,2,0)</f>
        <v>Lens Refleks,Sol,914N Ask</v>
      </c>
      <c r="C501" s="33">
        <v>3</v>
      </c>
      <c r="D501" s="34"/>
      <c r="E501" s="35"/>
      <c r="G501" t="str">
        <f t="shared" si="9"/>
        <v>15006150061031</v>
      </c>
    </row>
    <row r="502" spans="1:7" ht="14.5" x14ac:dyDescent="0.35">
      <c r="A502" s="107" t="s">
        <v>3935</v>
      </c>
      <c r="B502" s="73" t="str">
        <f>VLOOKUP(A502,SÜRELER!A:B,2,0)</f>
        <v>Gövde Sağ,913N Ask</v>
      </c>
      <c r="C502" s="33">
        <v>3</v>
      </c>
      <c r="D502" s="34"/>
      <c r="E502" s="35"/>
      <c r="G502" t="str">
        <f t="shared" si="9"/>
        <v>15006150061032</v>
      </c>
    </row>
    <row r="503" spans="1:7" ht="14.5" x14ac:dyDescent="0.35">
      <c r="A503" s="107" t="s">
        <v>3936</v>
      </c>
      <c r="B503" s="73" t="str">
        <f>VLOOKUP(A503,SÜRELER!A:B,2,0)</f>
        <v>Gövde Sol,913N Ask</v>
      </c>
      <c r="C503" s="33">
        <v>3</v>
      </c>
      <c r="D503" s="34"/>
      <c r="E503" s="35"/>
      <c r="G503" t="str">
        <f t="shared" si="9"/>
        <v>15006150061033</v>
      </c>
    </row>
    <row r="504" spans="1:7" ht="14.5" x14ac:dyDescent="0.35">
      <c r="A504" s="107" t="s">
        <v>3937</v>
      </c>
      <c r="B504" s="73" t="str">
        <f>VLOOKUP(A504,SÜRELER!A:B,2,0)</f>
        <v>Gövde,Sağ,Sol Dir.914N Ask</v>
      </c>
      <c r="C504" s="33">
        <v>3</v>
      </c>
      <c r="D504" s="34"/>
      <c r="E504" s="35"/>
      <c r="G504" t="str">
        <f t="shared" si="9"/>
        <v>15006150061034</v>
      </c>
    </row>
    <row r="505" spans="1:7" ht="14.5" x14ac:dyDescent="0.35">
      <c r="A505" s="107" t="s">
        <v>3938</v>
      </c>
      <c r="B505" s="73" t="str">
        <f>VLOOKUP(A505,SÜRELER!A:B,2,0)</f>
        <v>Gövde,Sol,Sol Dir.914N Ask</v>
      </c>
      <c r="C505" s="33">
        <v>3</v>
      </c>
      <c r="D505" s="34"/>
      <c r="E505" s="35"/>
      <c r="G505" t="str">
        <f t="shared" si="9"/>
        <v>15006150061035</v>
      </c>
    </row>
    <row r="506" spans="1:7" ht="14.5" x14ac:dyDescent="0.35">
      <c r="A506" s="107" t="s">
        <v>3939</v>
      </c>
      <c r="B506" s="73" t="str">
        <f>VLOOKUP(A506,SÜRELER!A:B,2,0)</f>
        <v>Gövde,Sağ,Sağ Dir.914N Ask</v>
      </c>
      <c r="C506" s="33">
        <v>3</v>
      </c>
      <c r="D506" s="34"/>
      <c r="E506" s="35"/>
      <c r="G506" t="str">
        <f t="shared" si="9"/>
        <v>15006150061036</v>
      </c>
    </row>
    <row r="507" spans="1:7" ht="14.5" x14ac:dyDescent="0.35">
      <c r="A507" s="107" t="s">
        <v>3940</v>
      </c>
      <c r="B507" s="73" t="str">
        <f>VLOOKUP(A507,SÜRELER!A:B,2,0)</f>
        <v>Gövde,Sol,Sağ Dir.914N Ask</v>
      </c>
      <c r="C507" s="33">
        <v>3</v>
      </c>
      <c r="D507" s="34"/>
      <c r="E507" s="35"/>
      <c r="G507" t="str">
        <f t="shared" si="9"/>
        <v>15006150061037</v>
      </c>
    </row>
    <row r="508" spans="1:7" ht="14.5" x14ac:dyDescent="0.35">
      <c r="A508" s="107" t="s">
        <v>3941</v>
      </c>
      <c r="B508" s="73" t="str">
        <f>VLOOKUP(A508,SÜRELER!A:B,2,0)</f>
        <v>Refl.Büyük,Sağ,Kaplı,913N Ask</v>
      </c>
      <c r="C508" s="33">
        <v>10</v>
      </c>
      <c r="D508" s="34"/>
      <c r="E508" s="35"/>
      <c r="G508" t="str">
        <f t="shared" si="9"/>
        <v>15006150061038</v>
      </c>
    </row>
    <row r="509" spans="1:7" ht="14.5" x14ac:dyDescent="0.35">
      <c r="A509" s="107" t="s">
        <v>3942</v>
      </c>
      <c r="B509" s="73" t="str">
        <f>VLOOKUP(A509,SÜRELER!A:B,2,0)</f>
        <v>Refl.Büyük,Sol,Kaplı,913N Ask</v>
      </c>
      <c r="C509" s="33">
        <v>10</v>
      </c>
      <c r="D509" s="34"/>
      <c r="E509" s="35"/>
      <c r="G509" t="str">
        <f t="shared" si="9"/>
        <v>15006150061039</v>
      </c>
    </row>
    <row r="510" spans="1:7" ht="14.5" x14ac:dyDescent="0.35">
      <c r="A510" s="107" t="s">
        <v>3943</v>
      </c>
      <c r="B510" s="73" t="str">
        <f>VLOOKUP(A510,SÜRELER!A:B,2,0)</f>
        <v>Refl.Büyük,Sağ,Sağ Dir.913N Ask</v>
      </c>
      <c r="C510" s="33">
        <v>10</v>
      </c>
      <c r="D510" s="34"/>
      <c r="E510" s="35"/>
      <c r="G510" t="str">
        <f t="shared" si="9"/>
        <v>15006150061040</v>
      </c>
    </row>
    <row r="511" spans="1:7" ht="14.5" x14ac:dyDescent="0.35">
      <c r="A511" s="107" t="s">
        <v>3944</v>
      </c>
      <c r="B511" s="73" t="str">
        <f>VLOOKUP(A511,SÜRELER!A:B,2,0)</f>
        <v>Refl.Büyük,Sol,Sağ Dir.913N Ask</v>
      </c>
      <c r="C511" s="33">
        <v>10</v>
      </c>
      <c r="D511" s="34"/>
      <c r="E511" s="35"/>
      <c r="G511" t="str">
        <f t="shared" si="9"/>
        <v>15006150061041</v>
      </c>
    </row>
    <row r="512" spans="1:7" ht="14.5" x14ac:dyDescent="0.35">
      <c r="A512" s="107" t="s">
        <v>3945</v>
      </c>
      <c r="B512" s="73" t="str">
        <f>VLOOKUP(A512,SÜRELER!A:B,2,0)</f>
        <v>Refl.Büyük,Sağ,914N Ask</v>
      </c>
      <c r="C512" s="33">
        <v>3</v>
      </c>
      <c r="D512" s="34"/>
      <c r="E512" s="35"/>
      <c r="G512" t="str">
        <f t="shared" si="9"/>
        <v>15006150061042</v>
      </c>
    </row>
    <row r="513" spans="1:7" ht="14.5" x14ac:dyDescent="0.35">
      <c r="A513" s="107" t="s">
        <v>3946</v>
      </c>
      <c r="B513" s="73" t="str">
        <f>VLOOKUP(A513,SÜRELER!A:B,2,0)</f>
        <v>Refl.Büyük,Sol,914N Ask</v>
      </c>
      <c r="C513" s="33">
        <v>3</v>
      </c>
      <c r="D513" s="34"/>
      <c r="E513" s="35"/>
      <c r="G513" t="str">
        <f t="shared" si="9"/>
        <v>15006150061043</v>
      </c>
    </row>
    <row r="514" spans="1:7" ht="14.5" x14ac:dyDescent="0.35">
      <c r="A514" s="107" t="s">
        <v>3947</v>
      </c>
      <c r="B514" s="73" t="str">
        <f>VLOOKUP(A514,SÜRELER!A:B,2,0)</f>
        <v>Reflektör Sis,Sağ,914N Ask</v>
      </c>
      <c r="C514" s="33">
        <v>3</v>
      </c>
      <c r="D514" s="34"/>
      <c r="E514" s="35"/>
      <c r="G514" t="str">
        <f t="shared" si="9"/>
        <v>15006150061044</v>
      </c>
    </row>
    <row r="515" spans="1:7" ht="14.5" x14ac:dyDescent="0.35">
      <c r="A515" s="107" t="s">
        <v>3948</v>
      </c>
      <c r="B515" s="73" t="str">
        <f>VLOOKUP(A515,SÜRELER!A:B,2,0)</f>
        <v>Reflektör Sis,Sol,914N Ask</v>
      </c>
      <c r="C515" s="33">
        <v>3</v>
      </c>
      <c r="D515" s="34"/>
      <c r="E515" s="35"/>
      <c r="G515" t="str">
        <f t="shared" si="9"/>
        <v>15006150061045</v>
      </c>
    </row>
    <row r="516" spans="1:7" ht="14.5" x14ac:dyDescent="0.35">
      <c r="A516" s="107" t="s">
        <v>3949</v>
      </c>
      <c r="B516" s="73" t="str">
        <f>VLOOKUP(A516,SÜRELER!A:B,2,0)</f>
        <v>Gövde</v>
      </c>
      <c r="C516" s="33">
        <v>7</v>
      </c>
      <c r="D516" s="34"/>
      <c r="E516" s="35"/>
      <c r="G516" t="str">
        <f t="shared" si="9"/>
        <v>15006150061046</v>
      </c>
    </row>
    <row r="517" spans="1:7" ht="14.5" x14ac:dyDescent="0.35">
      <c r="A517" s="107" t="s">
        <v>3950</v>
      </c>
      <c r="B517" s="73" t="str">
        <f>VLOOKUP(A517,SÜRELER!A:B,2,0)</f>
        <v>Ampul tutucu</v>
      </c>
      <c r="C517" s="33">
        <v>1</v>
      </c>
      <c r="D517" s="34"/>
      <c r="E517" s="35"/>
      <c r="G517" t="str">
        <f t="shared" si="9"/>
        <v>15006150061047</v>
      </c>
    </row>
    <row r="518" spans="1:7" ht="14.5" x14ac:dyDescent="0.35">
      <c r="A518" s="107" t="s">
        <v>3951</v>
      </c>
      <c r="B518" s="73" t="str">
        <f>VLOOKUP(A518,SÜRELER!A:B,2,0)</f>
        <v>Lens NSL 3300</v>
      </c>
      <c r="C518" s="33">
        <v>6</v>
      </c>
      <c r="D518" s="34"/>
      <c r="E518" s="35"/>
      <c r="G518" t="str">
        <f t="shared" si="9"/>
        <v>15006150061048</v>
      </c>
    </row>
    <row r="519" spans="1:7" ht="14.5" x14ac:dyDescent="0.35">
      <c r="A519" s="107" t="s">
        <v>3952</v>
      </c>
      <c r="B519" s="73" t="str">
        <f>VLOOKUP(A519,SÜRELER!A:B,2,0)</f>
        <v>Gövde NSL 3300</v>
      </c>
      <c r="C519" s="33">
        <v>2</v>
      </c>
      <c r="D519" s="34"/>
      <c r="E519" s="35"/>
      <c r="G519" t="str">
        <f t="shared" si="9"/>
        <v>15006150061049</v>
      </c>
    </row>
    <row r="520" spans="1:7" ht="14.5" x14ac:dyDescent="0.35">
      <c r="A520" s="107" t="s">
        <v>3953</v>
      </c>
      <c r="B520" s="73" t="str">
        <f>VLOOKUP(A520,SÜRELER!A:B,2,0)</f>
        <v>Kırmızı Dış lens SL NL NSL</v>
      </c>
      <c r="C520" s="33">
        <v>12</v>
      </c>
      <c r="D520" s="34"/>
      <c r="E520" s="35"/>
      <c r="G520" t="str">
        <f t="shared" si="9"/>
        <v>15006150061051</v>
      </c>
    </row>
    <row r="521" spans="1:7" ht="14.5" x14ac:dyDescent="0.35">
      <c r="A521" s="107" t="s">
        <v>3954</v>
      </c>
      <c r="B521" s="73" t="str">
        <f>VLOOKUP(A521,SÜRELER!A:B,2,0)</f>
        <v>Lens Dış Çerçeve SL BL HL</v>
      </c>
      <c r="C521" s="33">
        <v>6</v>
      </c>
      <c r="D521" s="34"/>
      <c r="E521" s="35"/>
      <c r="G521" t="str">
        <f t="shared" si="9"/>
        <v>15006150061052</v>
      </c>
    </row>
    <row r="522" spans="1:7" ht="14.5" x14ac:dyDescent="0.35">
      <c r="A522" s="107" t="s">
        <v>3955</v>
      </c>
      <c r="B522" s="73" t="str">
        <f>VLOOKUP(A522,SÜRELER!A:B,2,0)</f>
        <v>Kapak</v>
      </c>
      <c r="C522" s="33">
        <v>13</v>
      </c>
      <c r="D522" s="34"/>
      <c r="E522" s="35"/>
      <c r="G522" t="str">
        <f t="shared" si="9"/>
        <v>15006150061053</v>
      </c>
    </row>
    <row r="523" spans="1:7" ht="14.5" x14ac:dyDescent="0.35">
      <c r="A523" s="107" t="s">
        <v>3956</v>
      </c>
      <c r="B523" s="73" t="str">
        <f>VLOOKUP(A523,SÜRELER!A:B,2,0)</f>
        <v>Lens Çerçeve</v>
      </c>
      <c r="C523" s="33">
        <v>4</v>
      </c>
      <c r="D523" s="34"/>
      <c r="E523" s="35"/>
      <c r="G523" t="str">
        <f t="shared" si="9"/>
        <v>15006150061054</v>
      </c>
    </row>
    <row r="524" spans="1:7" ht="14.5" x14ac:dyDescent="0.35">
      <c r="A524" s="107" t="s">
        <v>3957</v>
      </c>
      <c r="B524" s="73" t="str">
        <f>VLOOKUP(A524,SÜRELER!A:B,2,0)</f>
        <v>Gövde Ünimog Sol</v>
      </c>
      <c r="C524" s="33">
        <v>3</v>
      </c>
      <c r="D524" s="34"/>
      <c r="E524" s="35"/>
      <c r="G524" t="str">
        <f t="shared" si="9"/>
        <v>15006150061055</v>
      </c>
    </row>
    <row r="525" spans="1:7" ht="14.5" x14ac:dyDescent="0.35">
      <c r="A525" s="107" t="s">
        <v>3958</v>
      </c>
      <c r="B525" s="73" t="str">
        <f>VLOOKUP(A525,SÜRELER!A:B,2,0)</f>
        <v>Gövde ünimog Sağ FRA</v>
      </c>
      <c r="C525" s="33">
        <v>3</v>
      </c>
      <c r="D525" s="34"/>
      <c r="E525" s="35"/>
      <c r="G525" t="str">
        <f t="shared" si="9"/>
        <v>15006150061056</v>
      </c>
    </row>
    <row r="526" spans="1:7" ht="14.5" x14ac:dyDescent="0.35">
      <c r="A526" s="107" t="s">
        <v>3959</v>
      </c>
      <c r="B526" s="73" t="str">
        <f>VLOOKUP(A526,SÜRELER!A:B,2,0)</f>
        <v>REFLEKTÖR HC377</v>
      </c>
      <c r="C526" s="33">
        <v>4</v>
      </c>
      <c r="D526" s="34"/>
      <c r="E526" s="35"/>
      <c r="G526" t="str">
        <f t="shared" si="9"/>
        <v>15006150061057</v>
      </c>
    </row>
    <row r="527" spans="1:7" ht="14.5" x14ac:dyDescent="0.35">
      <c r="A527" s="107" t="s">
        <v>3960</v>
      </c>
      <c r="B527" s="73" t="str">
        <f>VLOOKUP(A527,SÜRELER!A:B,2,0)</f>
        <v>beyaz kapak Sol</v>
      </c>
      <c r="C527" s="33">
        <v>3</v>
      </c>
      <c r="D527" s="34"/>
      <c r="E527" s="35"/>
      <c r="G527" t="str">
        <f t="shared" si="9"/>
        <v>15006150061058</v>
      </c>
    </row>
    <row r="528" spans="1:7" ht="14.5" x14ac:dyDescent="0.35">
      <c r="A528" s="107" t="s">
        <v>3961</v>
      </c>
      <c r="B528" s="73" t="str">
        <f>VLOOKUP(A528,SÜRELER!A:B,2,0)</f>
        <v>beyaz kapak Sağ</v>
      </c>
      <c r="C528" s="33">
        <v>3</v>
      </c>
      <c r="D528" s="34"/>
      <c r="E528" s="35"/>
      <c r="G528" t="str">
        <f t="shared" si="9"/>
        <v>15006150061059</v>
      </c>
    </row>
    <row r="529" spans="1:7" ht="14.5" x14ac:dyDescent="0.35">
      <c r="A529" s="107" t="s">
        <v>3962</v>
      </c>
      <c r="B529" s="73" t="str">
        <f>VLOOKUP(A529,SÜRELER!A:B,2,0)</f>
        <v>Blende Siyah Sol HL MCC</v>
      </c>
      <c r="C529" s="33">
        <v>10</v>
      </c>
      <c r="D529" s="34"/>
      <c r="E529" s="35"/>
      <c r="G529" t="str">
        <f t="shared" si="9"/>
        <v>15006150061060</v>
      </c>
    </row>
    <row r="530" spans="1:7" ht="14.5" x14ac:dyDescent="0.35">
      <c r="A530" s="107" t="s">
        <v>3963</v>
      </c>
      <c r="B530" s="73" t="str">
        <f>VLOOKUP(A530,SÜRELER!A:B,2,0)</f>
        <v>Kırmızı spoiler lens</v>
      </c>
      <c r="C530" s="33">
        <v>42</v>
      </c>
      <c r="D530" s="34"/>
      <c r="E530" s="35"/>
      <c r="G530" t="str">
        <f t="shared" si="9"/>
        <v>15006150061061</v>
      </c>
    </row>
    <row r="531" spans="1:7" ht="14.5" x14ac:dyDescent="0.35">
      <c r="A531" s="107" t="s">
        <v>3964</v>
      </c>
      <c r="B531" s="73" t="str">
        <f>VLOOKUP(A531,SÜRELER!A:B,2,0)</f>
        <v>ABDECKUNG</v>
      </c>
      <c r="C531" s="57">
        <v>8</v>
      </c>
      <c r="D531" s="58"/>
      <c r="E531" s="59"/>
      <c r="G531" t="str">
        <f t="shared" si="9"/>
        <v>15006150061062</v>
      </c>
    </row>
    <row r="532" spans="1:7" ht="14.5" x14ac:dyDescent="0.35">
      <c r="A532" s="107" t="s">
        <v>3965</v>
      </c>
      <c r="B532" s="73" t="str">
        <f>VLOOKUP(A532,SÜRELER!A:B,2,0)</f>
        <v>Yan Çıta Sağ</v>
      </c>
      <c r="C532" s="33">
        <v>10</v>
      </c>
      <c r="D532" s="34"/>
      <c r="E532" s="35"/>
      <c r="G532" t="str">
        <f t="shared" si="9"/>
        <v>15006150061063</v>
      </c>
    </row>
    <row r="533" spans="1:7" ht="14.5" x14ac:dyDescent="0.35">
      <c r="A533" s="107" t="s">
        <v>3966</v>
      </c>
      <c r="B533" s="73" t="str">
        <f>VLOOKUP(A533,SÜRELER!A:B,2,0)</f>
        <v>Yan Çıta Sol HL MCO</v>
      </c>
      <c r="C533" s="33">
        <v>10</v>
      </c>
      <c r="D533" s="34"/>
      <c r="E533" s="35"/>
      <c r="G533" t="str">
        <f t="shared" si="9"/>
        <v>15006150061064</v>
      </c>
    </row>
    <row r="534" spans="1:7" ht="14.5" x14ac:dyDescent="0.35">
      <c r="A534" s="107" t="s">
        <v>3967</v>
      </c>
      <c r="B534" s="73" t="str">
        <f>VLOOKUP(A534,SÜRELER!A:B,2,0)</f>
        <v>Şeffaf kapak Sol HL</v>
      </c>
      <c r="C534" s="33">
        <v>10</v>
      </c>
      <c r="D534" s="34"/>
      <c r="E534" s="35"/>
      <c r="G534" t="str">
        <f t="shared" si="9"/>
        <v>15006150061065</v>
      </c>
    </row>
    <row r="535" spans="1:7" ht="14.5" x14ac:dyDescent="0.35">
      <c r="A535" s="107" t="s">
        <v>3968</v>
      </c>
      <c r="B535" s="73" t="str">
        <f>VLOOKUP(A535,SÜRELER!A:B,2,0)</f>
        <v>Şeffaf Kapak Sağ HL</v>
      </c>
      <c r="C535" s="33">
        <v>10</v>
      </c>
      <c r="D535" s="34"/>
      <c r="E535" s="35"/>
      <c r="G535" t="str">
        <f t="shared" si="9"/>
        <v>15006150061066</v>
      </c>
    </row>
    <row r="536" spans="1:7" ht="14.5" x14ac:dyDescent="0.35">
      <c r="A536" s="107" t="s">
        <v>3969</v>
      </c>
      <c r="B536" s="73" t="str">
        <f>VLOOKUP(A536,SÜRELER!A:B,2,0)</f>
        <v>Blende Sol Siyah HL</v>
      </c>
      <c r="C536" s="33">
        <v>17</v>
      </c>
      <c r="D536" s="34"/>
      <c r="E536" s="35"/>
      <c r="G536" t="str">
        <f t="shared" ref="G536:G599" si="10">CONCATENATE($F$471,A536,)</f>
        <v>15006150061067</v>
      </c>
    </row>
    <row r="537" spans="1:7" ht="14.5" x14ac:dyDescent="0.35">
      <c r="A537" s="107" t="s">
        <v>3970</v>
      </c>
      <c r="B537" s="73" t="str">
        <f>VLOOKUP(A537,SÜRELER!A:B,2,0)</f>
        <v>Blende Sağ Siyah HL</v>
      </c>
      <c r="C537" s="33">
        <v>17</v>
      </c>
      <c r="D537" s="34"/>
      <c r="E537" s="35"/>
      <c r="G537" t="str">
        <f t="shared" si="10"/>
        <v>15006150061068</v>
      </c>
    </row>
    <row r="538" spans="1:7" ht="14.5" x14ac:dyDescent="0.35">
      <c r="A538" s="107" t="s">
        <v>3971</v>
      </c>
      <c r="B538" s="73" t="str">
        <f>VLOOKUP(A538,SÜRELER!A:B,2,0)</f>
        <v>Blende Siyah Sağ HL MCC</v>
      </c>
      <c r="C538" s="33">
        <v>10</v>
      </c>
      <c r="D538" s="34"/>
      <c r="E538" s="35"/>
      <c r="G538" t="str">
        <f t="shared" si="10"/>
        <v>15006150061069</v>
      </c>
    </row>
    <row r="539" spans="1:7" ht="14.5" x14ac:dyDescent="0.35">
      <c r="A539" s="107" t="s">
        <v>3972</v>
      </c>
      <c r="B539" s="73" t="str">
        <f>VLOOKUP(A539,SÜRELER!A:B,2,0)</f>
        <v>Refleks Lens  Signum  sol</v>
      </c>
      <c r="C539" s="43"/>
      <c r="D539" s="44"/>
      <c r="E539" s="45"/>
      <c r="G539" t="str">
        <f t="shared" si="10"/>
        <v>15006150061070</v>
      </c>
    </row>
    <row r="540" spans="1:7" ht="14.5" x14ac:dyDescent="0.35">
      <c r="A540" s="107" t="s">
        <v>3973</v>
      </c>
      <c r="B540" s="73" t="str">
        <f>VLOOKUP(A540,SÜRELER!A:B,2,0)</f>
        <v>Refleks lens sağ</v>
      </c>
      <c r="C540" s="57"/>
      <c r="D540" s="58"/>
      <c r="E540" s="59"/>
      <c r="G540" t="str">
        <f t="shared" si="10"/>
        <v>15006150061071</v>
      </c>
    </row>
    <row r="541" spans="1:7" ht="14.5" x14ac:dyDescent="0.35">
      <c r="A541" s="107" t="s">
        <v>3974</v>
      </c>
      <c r="B541" s="73" t="str">
        <f>VLOOKUP(A541,SÜRELER!A:B,2,0)</f>
        <v>Dış Lens Ø90 Drl Ledli</v>
      </c>
      <c r="C541" s="43">
        <v>10</v>
      </c>
      <c r="D541" s="44"/>
      <c r="E541" s="45"/>
      <c r="G541" t="str">
        <f t="shared" si="10"/>
        <v>15006150061072</v>
      </c>
    </row>
    <row r="542" spans="1:7" ht="14.5" x14ac:dyDescent="0.35">
      <c r="A542" s="107" t="s">
        <v>3975</v>
      </c>
      <c r="B542" s="73" t="str">
        <f>VLOOKUP(A542,SÜRELER!A:B,2,0)</f>
        <v>REFLEKTÖR,KOMPLE,FREN-POZİSYON,Ø125</v>
      </c>
      <c r="C542" s="43">
        <v>10</v>
      </c>
      <c r="D542" s="44"/>
      <c r="E542" s="45"/>
      <c r="G542" t="str">
        <f t="shared" si="10"/>
        <v>15006150061073</v>
      </c>
    </row>
    <row r="543" spans="1:7" ht="14.5" x14ac:dyDescent="0.35">
      <c r="A543" s="107" t="s">
        <v>3976</v>
      </c>
      <c r="B543" s="73" t="str">
        <f>VLOOKUP(A543,SÜRELER!A:B,2,0)</f>
        <v>REFLEKTÖR,KOMPLE,SİNYAL,PY21W,Ø125</v>
      </c>
      <c r="C543" s="43">
        <v>10</v>
      </c>
      <c r="D543" s="44"/>
      <c r="E543" s="45"/>
      <c r="G543" t="str">
        <f t="shared" si="10"/>
        <v>15006150061074</v>
      </c>
    </row>
    <row r="544" spans="1:7" ht="14.5" x14ac:dyDescent="0.35">
      <c r="A544" s="107" t="s">
        <v>3977</v>
      </c>
      <c r="B544" s="73" t="str">
        <f>VLOOKUP(A544,SÜRELER!A:B,2,0)</f>
        <v>Reflektör L LL O.OBERFLAECHBEH</v>
      </c>
      <c r="C544" s="43">
        <v>10</v>
      </c>
      <c r="D544" s="44"/>
      <c r="E544" s="45"/>
      <c r="G544" t="str">
        <f t="shared" si="10"/>
        <v>15006150061075</v>
      </c>
    </row>
    <row r="545" spans="1:7" ht="14.5" x14ac:dyDescent="0.35">
      <c r="A545" s="107" t="s">
        <v>3978</v>
      </c>
      <c r="B545" s="73" t="str">
        <f>VLOOKUP(A545,SÜRELER!A:B,2,0)</f>
        <v>Reflektör R LL O.OBERFLAECHBEH</v>
      </c>
      <c r="C545" s="43">
        <v>10</v>
      </c>
      <c r="D545" s="44"/>
      <c r="E545" s="45"/>
      <c r="G545" t="str">
        <f t="shared" si="10"/>
        <v>15006150061076</v>
      </c>
    </row>
    <row r="546" spans="1:7" ht="14.5" x14ac:dyDescent="0.35">
      <c r="A546" s="107" t="s">
        <v>3979</v>
      </c>
      <c r="B546" s="73" t="str">
        <f>VLOOKUP(A546,SÜRELER!A:B,2,0)</f>
        <v>REFLEKTÖR,KOMPLE,GERİVİTES-SİNYAL,Ø125</v>
      </c>
      <c r="C546" s="43">
        <v>10</v>
      </c>
      <c r="D546" s="58"/>
      <c r="E546" s="59"/>
      <c r="G546" t="str">
        <f t="shared" si="10"/>
        <v>15006150061077</v>
      </c>
    </row>
    <row r="547" spans="1:7" ht="14.5" x14ac:dyDescent="0.35">
      <c r="A547" s="107" t="s">
        <v>3980</v>
      </c>
      <c r="B547" s="73" t="str">
        <f>VLOOKUP(A547,SÜRELER!A:B,2,0)</f>
        <v>REFLEKTÖR,KOMPLE,SİS,Ø 125,DAİRESEL</v>
      </c>
      <c r="C547" s="43">
        <v>10</v>
      </c>
      <c r="D547" s="58"/>
      <c r="E547" s="59"/>
      <c r="G547" t="str">
        <f t="shared" si="10"/>
        <v>15006150061078</v>
      </c>
    </row>
    <row r="548" spans="1:7" ht="14.5" x14ac:dyDescent="0.35">
      <c r="A548" s="107" t="s">
        <v>3981</v>
      </c>
      <c r="B548" s="73" t="str">
        <f>VLOOKUP(A548,SÜRELER!A:B,2,0)</f>
        <v>423 Reflektör Sol</v>
      </c>
      <c r="C548" s="33">
        <v>12</v>
      </c>
      <c r="D548" s="34"/>
      <c r="E548" s="35"/>
      <c r="G548" t="str">
        <f t="shared" si="10"/>
        <v>15006150061079</v>
      </c>
    </row>
    <row r="549" spans="1:7" ht="14.5" x14ac:dyDescent="0.35">
      <c r="A549" s="107" t="s">
        <v>3982</v>
      </c>
      <c r="B549" s="73" t="str">
        <f>VLOOKUP(A549,SÜRELER!A:B,2,0)</f>
        <v>Reflektör,Ø90 DRL,Ledli</v>
      </c>
      <c r="C549" s="43">
        <v>5</v>
      </c>
      <c r="D549" s="58"/>
      <c r="E549" s="59"/>
      <c r="G549" t="str">
        <f t="shared" si="10"/>
        <v>15006150061080</v>
      </c>
    </row>
    <row r="550" spans="1:7" ht="14.5" x14ac:dyDescent="0.35">
      <c r="A550" s="107" t="s">
        <v>3983</v>
      </c>
      <c r="B550" s="73" t="str">
        <f>VLOOKUP(A550,SÜRELER!A:B,2,0)</f>
        <v>turuncu lens iç lensi eksik</v>
      </c>
      <c r="C550" s="43">
        <v>10</v>
      </c>
      <c r="D550" s="58"/>
      <c r="E550" s="59"/>
      <c r="G550" t="str">
        <f t="shared" si="10"/>
        <v>15006150061081</v>
      </c>
    </row>
    <row r="551" spans="1:7" ht="14.5" x14ac:dyDescent="0.35">
      <c r="A551" s="107" t="s">
        <v>3984</v>
      </c>
      <c r="B551" s="73" t="str">
        <f>VLOOKUP(A551,SÜRELER!A:B,2,0)</f>
        <v>Çerçeve SWL OPEL Sol</v>
      </c>
      <c r="C551" s="43">
        <v>10</v>
      </c>
      <c r="D551" s="58"/>
      <c r="E551" s="59"/>
      <c r="G551" t="str">
        <f t="shared" si="10"/>
        <v>15006150061082</v>
      </c>
    </row>
    <row r="552" spans="1:7" ht="14.5" x14ac:dyDescent="0.35">
      <c r="A552" s="107" t="s">
        <v>3985</v>
      </c>
      <c r="B552" s="73" t="str">
        <f>VLOOKUP(A552,SÜRELER!A:B,2,0)</f>
        <v>Çerçeve SWL OPEL Sağ</v>
      </c>
      <c r="C552" s="43">
        <v>10</v>
      </c>
      <c r="D552" s="58"/>
      <c r="E552" s="59"/>
      <c r="G552" t="str">
        <f t="shared" si="10"/>
        <v>15006150061083</v>
      </c>
    </row>
    <row r="553" spans="1:7" ht="14.5" x14ac:dyDescent="0.35">
      <c r="A553" s="107" t="s">
        <v>3986</v>
      </c>
      <c r="B553" s="73" t="str">
        <f>VLOOKUP(A553,SÜRELER!A:B,2,0)</f>
        <v>Çerçeve HDL OPEL Sol</v>
      </c>
      <c r="C553" s="43">
        <v>10</v>
      </c>
      <c r="D553" s="58"/>
      <c r="E553" s="59"/>
      <c r="G553" t="str">
        <f t="shared" si="10"/>
        <v>15006150061084</v>
      </c>
    </row>
    <row r="554" spans="1:7" ht="14.5" x14ac:dyDescent="0.35">
      <c r="A554" s="107" t="s">
        <v>3987</v>
      </c>
      <c r="B554" s="73" t="str">
        <f>VLOOKUP(A554,SÜRELER!A:B,2,0)</f>
        <v>Çerçeve HDL OPEL Sağ</v>
      </c>
      <c r="C554" s="43">
        <v>10</v>
      </c>
      <c r="D554" s="58"/>
      <c r="E554" s="59"/>
      <c r="G554" t="str">
        <f t="shared" si="10"/>
        <v>15006150061085</v>
      </c>
    </row>
    <row r="555" spans="1:7" ht="14.5" x14ac:dyDescent="0.35">
      <c r="A555" s="107" t="s">
        <v>3988</v>
      </c>
      <c r="B555" s="73" t="str">
        <f>VLOOKUP(A555,SÜRELER!A:B,2,0)</f>
        <v>HDL Soket Plastiği OPEL Sol</v>
      </c>
      <c r="C555" s="43">
        <v>10</v>
      </c>
      <c r="D555" s="44"/>
      <c r="E555" s="45"/>
      <c r="G555" t="str">
        <f t="shared" si="10"/>
        <v>15006150061086</v>
      </c>
    </row>
    <row r="556" spans="1:7" ht="14.5" x14ac:dyDescent="0.35">
      <c r="A556" s="107" t="s">
        <v>3989</v>
      </c>
      <c r="B556" s="73" t="str">
        <f>VLOOKUP(A556,SÜRELER!A:B,2,0)</f>
        <v>HDL Soket Plastiği OPEL Sağ</v>
      </c>
      <c r="C556" s="43">
        <v>10</v>
      </c>
      <c r="D556" s="58"/>
      <c r="E556" s="59"/>
      <c r="G556" t="str">
        <f t="shared" si="10"/>
        <v>15006150061087</v>
      </c>
    </row>
    <row r="557" spans="1:7" ht="14.5" x14ac:dyDescent="0.35">
      <c r="A557" s="107" t="s">
        <v>3990</v>
      </c>
      <c r="B557" s="73" t="str">
        <f>VLOOKUP(A557,SÜRELER!A:B,2,0)</f>
        <v>Şeffaf Balon SWL</v>
      </c>
      <c r="C557" s="43">
        <v>10</v>
      </c>
      <c r="D557" s="58"/>
      <c r="E557" s="59"/>
      <c r="G557" t="str">
        <f t="shared" si="10"/>
        <v>15006150061088</v>
      </c>
    </row>
    <row r="558" spans="1:7" ht="14.5" x14ac:dyDescent="0.35">
      <c r="A558" s="107" t="s">
        <v>3991</v>
      </c>
      <c r="B558" s="73" t="str">
        <f>VLOOKUP(A558,SÜRELER!A:B,2,0)</f>
        <v>Vida adaptörü sol</v>
      </c>
      <c r="C558" s="43">
        <v>10</v>
      </c>
      <c r="D558" s="58"/>
      <c r="E558" s="59"/>
      <c r="G558" t="str">
        <f t="shared" si="10"/>
        <v>15006150061089</v>
      </c>
    </row>
    <row r="559" spans="1:7" ht="14.5" x14ac:dyDescent="0.35">
      <c r="A559" s="107" t="s">
        <v>3992</v>
      </c>
      <c r="B559" s="73" t="str">
        <f>VLOOKUP(A559,SÜRELER!A:B,2,0)</f>
        <v>Vida adaptörü sağ</v>
      </c>
      <c r="C559" s="43">
        <v>10</v>
      </c>
      <c r="D559" s="58"/>
      <c r="E559" s="59"/>
      <c r="G559" t="str">
        <f t="shared" si="10"/>
        <v>15006150061090</v>
      </c>
    </row>
    <row r="560" spans="1:7" ht="14.5" x14ac:dyDescent="0.35">
      <c r="A560" s="107" t="s">
        <v>3993</v>
      </c>
      <c r="B560" s="73" t="str">
        <f>VLOOKUP(A560,SÜRELER!A:B,2,0)</f>
        <v>Reflektör HDL Sol</v>
      </c>
      <c r="C560" s="43">
        <v>10</v>
      </c>
      <c r="D560" s="44"/>
      <c r="E560" s="45"/>
      <c r="G560" t="str">
        <f t="shared" si="10"/>
        <v>15006150061091</v>
      </c>
    </row>
    <row r="561" spans="1:7" ht="14.5" x14ac:dyDescent="0.35">
      <c r="A561" s="107" t="s">
        <v>3994</v>
      </c>
      <c r="B561" s="73" t="str">
        <f>VLOOKUP(A561,SÜRELER!A:B,2,0)</f>
        <v>Reflektör HDL Sağ</v>
      </c>
      <c r="C561" s="43">
        <v>10</v>
      </c>
      <c r="D561" s="44"/>
      <c r="E561" s="45"/>
      <c r="G561" t="str">
        <f t="shared" si="10"/>
        <v>15006150061092</v>
      </c>
    </row>
    <row r="562" spans="1:7" ht="14.5" x14ac:dyDescent="0.35">
      <c r="A562" s="107" t="s">
        <v>3995</v>
      </c>
      <c r="B562" s="73" t="str">
        <f>VLOOKUP(A562,SÜRELER!A:B,2,0)</f>
        <v>Reflektör Swl Sol</v>
      </c>
      <c r="C562" s="43">
        <v>10</v>
      </c>
      <c r="D562" s="34"/>
      <c r="E562" s="35"/>
      <c r="G562" t="str">
        <f t="shared" si="10"/>
        <v>15006150061093</v>
      </c>
    </row>
    <row r="563" spans="1:7" ht="14.5" x14ac:dyDescent="0.35">
      <c r="A563" s="107" t="s">
        <v>3996</v>
      </c>
      <c r="B563" s="73" t="str">
        <f>VLOOKUP(A563,SÜRELER!A:B,2,0)</f>
        <v>Reflektör Swl Sağ</v>
      </c>
      <c r="C563" s="43">
        <v>10</v>
      </c>
      <c r="D563" s="34"/>
      <c r="E563" s="35"/>
      <c r="G563" t="str">
        <f t="shared" si="10"/>
        <v>15006150061094</v>
      </c>
    </row>
    <row r="564" spans="1:7" ht="14.5" x14ac:dyDescent="0.35">
      <c r="A564" s="107" t="s">
        <v>3997</v>
      </c>
      <c r="B564" s="73" t="str">
        <f>VLOOKUP(A564,SÜRELER!A:B,2,0)</f>
        <v>Reflektör Signum Sol</v>
      </c>
      <c r="C564" s="43">
        <v>10</v>
      </c>
      <c r="D564" s="58"/>
      <c r="E564" s="59"/>
      <c r="G564" t="str">
        <f t="shared" si="10"/>
        <v>15006150061095</v>
      </c>
    </row>
    <row r="565" spans="1:7" ht="14.5" x14ac:dyDescent="0.35">
      <c r="A565" s="107" t="s">
        <v>3998</v>
      </c>
      <c r="B565" s="73" t="str">
        <f>VLOOKUP(A565,SÜRELER!A:B,2,0)</f>
        <v>Reflektör Signum Sağ</v>
      </c>
      <c r="C565" s="43">
        <v>10</v>
      </c>
      <c r="D565" s="58"/>
      <c r="E565" s="59"/>
      <c r="G565" t="str">
        <f t="shared" si="10"/>
        <v>15006150061096</v>
      </c>
    </row>
    <row r="566" spans="1:7" ht="14.5" x14ac:dyDescent="0.35">
      <c r="A566" s="107" t="s">
        <v>3999</v>
      </c>
      <c r="B566" s="73" t="str">
        <f>VLOOKUP(A566,SÜRELER!A:B,2,0)</f>
        <v>Çerçeve Signum Sol</v>
      </c>
      <c r="C566" s="33">
        <v>10</v>
      </c>
      <c r="D566" s="34"/>
      <c r="E566" s="35"/>
      <c r="G566" t="str">
        <f t="shared" si="10"/>
        <v>15006150061097</v>
      </c>
    </row>
    <row r="567" spans="1:7" ht="14.5" x14ac:dyDescent="0.35">
      <c r="A567" s="107" t="s">
        <v>4000</v>
      </c>
      <c r="B567" s="73" t="str">
        <f>VLOOKUP(A567,SÜRELER!A:B,2,0)</f>
        <v>Çerçeve Signum Sağ</v>
      </c>
      <c r="C567" s="33">
        <v>10</v>
      </c>
      <c r="D567" s="34"/>
      <c r="E567" s="35"/>
      <c r="G567" t="str">
        <f t="shared" si="10"/>
        <v>15006150061098</v>
      </c>
    </row>
    <row r="568" spans="1:7" ht="14.5" x14ac:dyDescent="0.35">
      <c r="A568" s="107" t="s">
        <v>4001</v>
      </c>
      <c r="B568" s="73" t="str">
        <f>VLOOKUP(A568,SÜRELER!A:B,2,0)</f>
        <v>342013 turuncu+seffaf çakılmış</v>
      </c>
      <c r="C568" s="33">
        <v>10</v>
      </c>
      <c r="D568" s="58"/>
      <c r="E568" s="59"/>
      <c r="G568" t="str">
        <f t="shared" si="10"/>
        <v>15006150061099</v>
      </c>
    </row>
    <row r="569" spans="1:7" ht="14.5" x14ac:dyDescent="0.35">
      <c r="A569" s="107" t="s">
        <v>4002</v>
      </c>
      <c r="B569" s="73" t="str">
        <f>VLOOKUP(A569,SÜRELER!A:B,2,0)</f>
        <v>Spoiler gövdesi AU MCC</v>
      </c>
      <c r="C569" s="33">
        <v>15</v>
      </c>
      <c r="D569" s="34"/>
      <c r="E569" s="35"/>
      <c r="G569" t="str">
        <f t="shared" si="10"/>
        <v>15006150061100</v>
      </c>
    </row>
    <row r="570" spans="1:7" ht="14.5" x14ac:dyDescent="0.35">
      <c r="A570" s="107" t="s">
        <v>4003</v>
      </c>
      <c r="B570" s="73" t="str">
        <f>VLOOKUP(A570,SÜRELER!A:B,2,0)</f>
        <v>Spoiler Reflektör 253222</v>
      </c>
      <c r="C570" s="33">
        <v>5</v>
      </c>
      <c r="D570" s="34"/>
      <c r="E570" s="35"/>
      <c r="G570" t="str">
        <f t="shared" si="10"/>
        <v>15006150061101</v>
      </c>
    </row>
    <row r="571" spans="1:7" ht="14.5" x14ac:dyDescent="0.35">
      <c r="A571" s="107" t="s">
        <v>4004</v>
      </c>
      <c r="B571" s="73" t="str">
        <f>VLOOKUP(A571,SÜRELER!A:B,2,0)</f>
        <v>Gövde HL 380</v>
      </c>
      <c r="C571" s="33">
        <v>15</v>
      </c>
      <c r="D571" s="34"/>
      <c r="E571" s="35"/>
      <c r="G571" t="str">
        <f t="shared" si="10"/>
        <v>15006150061102</v>
      </c>
    </row>
    <row r="572" spans="1:7" ht="14.5" x14ac:dyDescent="0.35">
      <c r="A572" s="107" t="s">
        <v>4005</v>
      </c>
      <c r="B572" s="73" t="str">
        <f>VLOOKUP(A572,SÜRELER!A:B,2,0)</f>
        <v>Spoiler AU MCO</v>
      </c>
      <c r="C572" s="33">
        <v>10</v>
      </c>
      <c r="D572" s="34"/>
      <c r="E572" s="35"/>
      <c r="G572" t="str">
        <f t="shared" si="10"/>
        <v>15006150061103</v>
      </c>
    </row>
    <row r="573" spans="1:7" ht="14.5" x14ac:dyDescent="0.35">
      <c r="A573" s="107" t="s">
        <v>4006</v>
      </c>
      <c r="B573" s="73" t="str">
        <f>VLOOKUP(A573,SÜRELER!A:B,2,0)</f>
        <v>LENS,NATUREL,Ø 125 DAİRESEL</v>
      </c>
      <c r="C573" s="33">
        <v>10</v>
      </c>
      <c r="D573" s="34"/>
      <c r="E573" s="35"/>
      <c r="G573" t="str">
        <f t="shared" si="10"/>
        <v>15006150061104</v>
      </c>
    </row>
    <row r="574" spans="1:7" ht="14.5" x14ac:dyDescent="0.35">
      <c r="A574" s="107" t="s">
        <v>4007</v>
      </c>
      <c r="B574" s="73" t="str">
        <f>VLOOKUP(A574,SÜRELER!A:B,2,0)</f>
        <v>LENS,TURUNCU,Ø 125 DAİRESEL</v>
      </c>
      <c r="C574" s="33">
        <v>10</v>
      </c>
      <c r="D574" s="34"/>
      <c r="E574" s="35"/>
      <c r="G574" t="str">
        <f t="shared" si="10"/>
        <v>15006150061105</v>
      </c>
    </row>
    <row r="575" spans="1:7" ht="14.5" x14ac:dyDescent="0.35">
      <c r="A575" s="107" t="s">
        <v>4008</v>
      </c>
      <c r="B575" s="73" t="str">
        <f>VLOOKUP(A575,SÜRELER!A:B,2,0)</f>
        <v>LENS,BEYAZ,CADEFACE,ÖN SİNYAL</v>
      </c>
      <c r="C575" s="33">
        <v>10</v>
      </c>
      <c r="D575" s="34"/>
      <c r="E575" s="35"/>
      <c r="G575" t="str">
        <f t="shared" si="10"/>
        <v>15006150061106</v>
      </c>
    </row>
    <row r="576" spans="1:7" ht="14.5" x14ac:dyDescent="0.35">
      <c r="A576" s="107" t="s">
        <v>4009</v>
      </c>
      <c r="B576" s="73" t="str">
        <f>VLOOKUP(A576,SÜRELER!A:B,2,0)</f>
        <v>GÖVDE,PY21W,CADEFACE,ÖN SİNYAL</v>
      </c>
      <c r="C576" s="33">
        <v>10</v>
      </c>
      <c r="D576" s="34"/>
      <c r="E576" s="35"/>
      <c r="G576" t="str">
        <f t="shared" si="10"/>
        <v>15006150061107</v>
      </c>
    </row>
    <row r="577" spans="1:7" ht="14.5" x14ac:dyDescent="0.35">
      <c r="A577" s="107" t="s">
        <v>4010</v>
      </c>
      <c r="B577" s="73" t="str">
        <f>VLOOKUP(A577,SÜRELER!A:B,2,0)</f>
        <v>LENS,TURUNCU,CADEFACE,ÖN SİNYAL</v>
      </c>
      <c r="C577" s="54">
        <v>10</v>
      </c>
      <c r="D577" s="34"/>
      <c r="E577" s="35"/>
      <c r="G577" t="str">
        <f t="shared" si="10"/>
        <v>15006150061108</v>
      </c>
    </row>
    <row r="578" spans="1:7" ht="14.5" x14ac:dyDescent="0.35">
      <c r="A578" s="107" t="s">
        <v>4011</v>
      </c>
      <c r="B578" s="73" t="str">
        <f>VLOOKUP(A578,SÜRELER!A:B,2,0)</f>
        <v>REFLEKTÖR,KOMPLE,GERİVİTES-SİNYAL,Ø125</v>
      </c>
      <c r="C578" s="33">
        <v>8</v>
      </c>
      <c r="D578" s="34"/>
      <c r="E578" s="35"/>
      <c r="G578" t="str">
        <f t="shared" si="10"/>
        <v>15006150061109</v>
      </c>
    </row>
    <row r="579" spans="1:7" ht="14.5" x14ac:dyDescent="0.35">
      <c r="A579" s="107" t="s">
        <v>4012</v>
      </c>
      <c r="B579" s="73" t="str">
        <f>VLOOKUP(A579,SÜRELER!A:B,2,0)</f>
        <v>LENS,TURUNCU,Ø 55 ÖN SİNYAL</v>
      </c>
      <c r="C579" s="33">
        <v>10</v>
      </c>
      <c r="D579" s="34"/>
      <c r="E579" s="35"/>
      <c r="G579" t="str">
        <f t="shared" si="10"/>
        <v>15006150061110</v>
      </c>
    </row>
    <row r="580" spans="1:7" ht="14.5" x14ac:dyDescent="0.35">
      <c r="A580" s="107" t="s">
        <v>4013</v>
      </c>
      <c r="B580" s="73" t="str">
        <f>VLOOKUP(A580,SÜRELER!A:B,2,0)</f>
        <v>GÖVDE,Ø 55 ÖN SİNYAL</v>
      </c>
      <c r="C580" s="33">
        <v>10</v>
      </c>
      <c r="D580" s="34"/>
      <c r="E580" s="35"/>
      <c r="G580" t="str">
        <f t="shared" si="10"/>
        <v>15006150061111</v>
      </c>
    </row>
    <row r="581" spans="1:7" ht="14.5" x14ac:dyDescent="0.35">
      <c r="A581" s="107" t="s">
        <v>4014</v>
      </c>
      <c r="B581" s="73" t="str">
        <f>VLOOKUP(A581,SÜRELER!A:B,2,0)</f>
        <v>GÖVDE,KABLOLU,SIDE MARKER</v>
      </c>
      <c r="C581" s="43">
        <v>8</v>
      </c>
      <c r="D581" s="44"/>
      <c r="E581" s="45"/>
      <c r="G581" t="str">
        <f t="shared" si="10"/>
        <v>15006150061112</v>
      </c>
    </row>
    <row r="582" spans="1:7" ht="14.5" x14ac:dyDescent="0.35">
      <c r="A582" s="107" t="s">
        <v>4015</v>
      </c>
      <c r="B582" s="73" t="str">
        <f>VLOOKUP(A582,SÜRELER!A:B,2,0)</f>
        <v>REFLEKTÖR,SİS,Ø98 ASK</v>
      </c>
      <c r="C582" s="43">
        <v>7.5</v>
      </c>
      <c r="D582" s="44"/>
      <c r="E582" s="45"/>
      <c r="G582" t="str">
        <f t="shared" si="10"/>
        <v>15006150061113</v>
      </c>
    </row>
    <row r="583" spans="1:7" ht="14.5" x14ac:dyDescent="0.35">
      <c r="A583" s="107" t="s">
        <v>4016</v>
      </c>
      <c r="B583" s="73" t="str">
        <f>VLOOKUP(A583,SÜRELER!A:B,2,0)</f>
        <v>LENS,SİS,Ø98 ASK</v>
      </c>
      <c r="C583" s="43">
        <v>7.5</v>
      </c>
      <c r="D583" s="44"/>
      <c r="E583" s="45"/>
      <c r="G583" t="str">
        <f t="shared" si="10"/>
        <v>15006150061114</v>
      </c>
    </row>
    <row r="584" spans="1:7" ht="14.5" x14ac:dyDescent="0.35">
      <c r="A584" s="107" t="s">
        <v>4017</v>
      </c>
      <c r="B584" s="73" t="str">
        <f>VLOOKUP(A584,SÜRELER!A:B,2,0)</f>
        <v>REFLEKTÖR,GERİ VİTES,Ø98 ASK</v>
      </c>
      <c r="C584" s="43">
        <v>7.5</v>
      </c>
      <c r="D584" s="44"/>
      <c r="E584" s="45"/>
      <c r="G584" t="str">
        <f t="shared" si="10"/>
        <v>15006150061115</v>
      </c>
    </row>
    <row r="585" spans="1:7" ht="14.5" x14ac:dyDescent="0.35">
      <c r="A585" s="107" t="s">
        <v>4018</v>
      </c>
      <c r="B585" s="73" t="str">
        <f>VLOOKUP(A585,SÜRELER!A:B,2,0)</f>
        <v>LENS,GERİ VİTES,Ø98 ASK</v>
      </c>
      <c r="C585" s="43">
        <v>7.5</v>
      </c>
      <c r="D585" s="44"/>
      <c r="E585" s="45"/>
      <c r="G585" t="str">
        <f t="shared" si="10"/>
        <v>15006150061116</v>
      </c>
    </row>
    <row r="586" spans="1:7" ht="14.5" x14ac:dyDescent="0.35">
      <c r="A586" s="107" t="s">
        <v>4019</v>
      </c>
      <c r="B586" s="73" t="str">
        <f>VLOOKUP(A586,SÜRELER!A:B,2,0)</f>
        <v>LENS,SİNYAL,Ø98 ASK</v>
      </c>
      <c r="C586" s="43">
        <v>7.5</v>
      </c>
      <c r="D586" s="44"/>
      <c r="E586" s="45"/>
      <c r="G586" t="str">
        <f t="shared" si="10"/>
        <v>15006150061117</v>
      </c>
    </row>
    <row r="587" spans="1:7" ht="14.5" x14ac:dyDescent="0.35">
      <c r="A587" s="107" t="s">
        <v>4020</v>
      </c>
      <c r="B587" s="73" t="str">
        <f>VLOOKUP(A587,SÜRELER!A:B,2,0)</f>
        <v>REFLEKTÖR,Ø98 ASK</v>
      </c>
      <c r="C587" s="43">
        <v>7.5</v>
      </c>
      <c r="D587" s="44"/>
      <c r="E587" s="45"/>
      <c r="G587" t="str">
        <f t="shared" si="10"/>
        <v>15006150061118</v>
      </c>
    </row>
    <row r="588" spans="1:7" ht="14.5" x14ac:dyDescent="0.35">
      <c r="A588" s="107" t="s">
        <v>4021</v>
      </c>
      <c r="B588" s="73" t="str">
        <f>VLOOKUP(A588,SÜRELER!A:B,2,0)</f>
        <v>LENS,REFLEX,Ø98 ASK</v>
      </c>
      <c r="C588" s="43">
        <v>7.5</v>
      </c>
      <c r="D588" s="44"/>
      <c r="E588" s="45"/>
      <c r="G588" t="str">
        <f t="shared" si="10"/>
        <v>15006150061119</v>
      </c>
    </row>
    <row r="589" spans="1:7" ht="14.5" x14ac:dyDescent="0.35">
      <c r="A589" s="107" t="s">
        <v>4022</v>
      </c>
      <c r="B589" s="73" t="str">
        <f>VLOOKUP(A589,SÜRELER!A:B,2,0)</f>
        <v>LENS,KOMPLE,SİNYAL,Ø98 ASK</v>
      </c>
      <c r="C589" s="43">
        <v>10</v>
      </c>
      <c r="D589" s="44"/>
      <c r="E589" s="45"/>
      <c r="G589" t="str">
        <f t="shared" si="10"/>
        <v>15006150061120</v>
      </c>
    </row>
    <row r="590" spans="1:7" ht="14.5" x14ac:dyDescent="0.35">
      <c r="A590" s="107" t="s">
        <v>4023</v>
      </c>
      <c r="B590" s="73" t="str">
        <f>VLOOKUP(A590,SÜRELER!A:B,2,0)</f>
        <v>LENS,POZİSYON,Ø98 ASK</v>
      </c>
      <c r="C590" s="43">
        <v>7.5</v>
      </c>
      <c r="D590" s="44"/>
      <c r="E590" s="45"/>
      <c r="G590" t="str">
        <f t="shared" si="10"/>
        <v>15006150061121</v>
      </c>
    </row>
    <row r="591" spans="1:7" ht="14.5" x14ac:dyDescent="0.35">
      <c r="A591" s="107" t="s">
        <v>4024</v>
      </c>
      <c r="B591" s="73" t="str">
        <f>VLOOKUP(A591,SÜRELER!A:B,2,0)</f>
        <v>LENS,REFLEX,Ø98 ASK</v>
      </c>
      <c r="C591" s="43">
        <v>7.5</v>
      </c>
      <c r="D591" s="44"/>
      <c r="E591" s="45"/>
      <c r="G591" t="str">
        <f t="shared" si="10"/>
        <v>15006150061122</v>
      </c>
    </row>
    <row r="592" spans="1:7" ht="14.5" x14ac:dyDescent="0.35">
      <c r="A592" s="107" t="s">
        <v>4025</v>
      </c>
      <c r="B592" s="73" t="str">
        <f>VLOOKUP(A592,SÜRELER!A:B,2,0)</f>
        <v>REFLEKTÖR,SAPLAMALI,Ø98 ASK</v>
      </c>
      <c r="C592" s="43">
        <v>7.5</v>
      </c>
      <c r="D592" s="44"/>
      <c r="E592" s="45"/>
      <c r="G592" t="str">
        <f t="shared" si="10"/>
        <v>15006150061123</v>
      </c>
    </row>
    <row r="593" spans="1:7" ht="14.5" x14ac:dyDescent="0.35">
      <c r="A593" s="107" t="s">
        <v>4026</v>
      </c>
      <c r="B593" s="73" t="str">
        <f>VLOOKUP(A593,SÜRELER!A:B,2,0)</f>
        <v>GÖVDE,Ø70 DRL,12/24V</v>
      </c>
      <c r="C593" s="43">
        <v>10</v>
      </c>
      <c r="D593" s="44"/>
      <c r="E593" s="45"/>
      <c r="G593" t="str">
        <f t="shared" si="10"/>
        <v>15006150061124</v>
      </c>
    </row>
    <row r="594" spans="1:7" ht="14.5" x14ac:dyDescent="0.35">
      <c r="A594" s="107" t="s">
        <v>4027</v>
      </c>
      <c r="B594" s="73" t="str">
        <f>VLOOKUP(A594,SÜRELER!A:B,2,0)</f>
        <v>GÖVDE,SAPLAMALI,Ø98 ASK</v>
      </c>
      <c r="C594" s="43">
        <v>7.5</v>
      </c>
      <c r="D594" s="44"/>
      <c r="E594" s="45"/>
      <c r="G594" t="str">
        <f t="shared" si="10"/>
        <v>15006150061125</v>
      </c>
    </row>
    <row r="595" spans="1:7" ht="14.5" x14ac:dyDescent="0.35">
      <c r="A595" s="107" t="s">
        <v>4028</v>
      </c>
      <c r="B595" s="73" t="str">
        <f>VLOOKUP(A595,SÜRELER!A:B,2,0)</f>
        <v>LENS,KIRMIZI,Ø 55 ARKA POZİSYON</v>
      </c>
      <c r="C595" s="53">
        <v>10</v>
      </c>
      <c r="D595" s="44"/>
      <c r="E595" s="45"/>
      <c r="G595" t="str">
        <f t="shared" si="10"/>
        <v>15006150061126</v>
      </c>
    </row>
    <row r="596" spans="1:7" ht="14.5" x14ac:dyDescent="0.35">
      <c r="A596" s="107" t="s">
        <v>4029</v>
      </c>
      <c r="B596" s="73" t="str">
        <f>VLOOKUP(A596,SÜRELER!A:B,2,0)</f>
        <v>LENS,KOMPLE,POZ.+STOP,Ø98 ASK</v>
      </c>
      <c r="C596" s="43">
        <v>10</v>
      </c>
      <c r="D596" s="44"/>
      <c r="E596" s="45"/>
      <c r="G596" t="str">
        <f t="shared" si="10"/>
        <v>15006150061127</v>
      </c>
    </row>
    <row r="597" spans="1:7" ht="14.5" x14ac:dyDescent="0.35">
      <c r="A597" s="107" t="s">
        <v>4030</v>
      </c>
      <c r="B597" s="73" t="str">
        <f>VLOOKUP(A597,SÜRELER!A:B,2,0)</f>
        <v>LENS,NATUREL,Ø 55 ÖN SİNYAL</v>
      </c>
      <c r="C597" s="43">
        <v>5</v>
      </c>
      <c r="D597" s="44"/>
      <c r="E597" s="45"/>
      <c r="G597" t="str">
        <f t="shared" si="10"/>
        <v>15006150061128</v>
      </c>
    </row>
    <row r="598" spans="1:7" ht="14.5" x14ac:dyDescent="0.35">
      <c r="A598" s="107" t="s">
        <v>4031</v>
      </c>
      <c r="B598" s="73" t="str">
        <f>VLOOKUP(A598,SÜRELER!A:B,2,0)</f>
        <v>LENS, KIRMIZI Ø125 DAİRESEL</v>
      </c>
      <c r="C598" s="33">
        <v>10</v>
      </c>
      <c r="D598" s="34"/>
      <c r="E598" s="35"/>
      <c r="G598" t="str">
        <f t="shared" si="10"/>
        <v>15006150061129</v>
      </c>
    </row>
    <row r="599" spans="1:7" ht="14.5" x14ac:dyDescent="0.35">
      <c r="A599" s="107" t="s">
        <v>4032</v>
      </c>
      <c r="B599" s="73" t="str">
        <f>VLOOKUP(A599,SÜRELER!A:B,2,0)</f>
        <v>LENS,KIRMIZI,REFLEKS</v>
      </c>
      <c r="C599" s="33">
        <v>10</v>
      </c>
      <c r="D599" s="34"/>
      <c r="E599" s="35"/>
      <c r="G599" t="str">
        <f t="shared" si="10"/>
        <v>15006150061130</v>
      </c>
    </row>
    <row r="600" spans="1:7" ht="14.5" x14ac:dyDescent="0.35">
      <c r="A600" s="107" t="s">
        <v>4033</v>
      </c>
      <c r="B600" s="73" t="str">
        <f>VLOOKUP(A600,SÜRELER!A:B,2,0)</f>
        <v>LENS,SIDE MARKER</v>
      </c>
      <c r="C600" s="33">
        <v>15</v>
      </c>
      <c r="D600" s="34"/>
      <c r="E600" s="35"/>
      <c r="G600" t="str">
        <f t="shared" ref="G600:G663" si="11">CONCATENATE($F$471,A600,)</f>
        <v>15006150061131</v>
      </c>
    </row>
    <row r="601" spans="1:7" ht="14.5" x14ac:dyDescent="0.35">
      <c r="A601" s="107" t="s">
        <v>4034</v>
      </c>
      <c r="B601" s="73" t="str">
        <f>VLOOKUP(A601,SÜRELER!A:B,2,0)</f>
        <v>REFLEKTÖR,KOMPLE,SİS,Ø 125,DAİRESEL</v>
      </c>
      <c r="C601" s="33">
        <v>8</v>
      </c>
      <c r="D601" s="34"/>
      <c r="E601" s="35"/>
      <c r="G601" t="str">
        <f t="shared" si="11"/>
        <v>15006150061132</v>
      </c>
    </row>
    <row r="602" spans="1:7" ht="14.5" x14ac:dyDescent="0.35">
      <c r="A602" s="107" t="s">
        <v>4035</v>
      </c>
      <c r="B602" s="73" t="str">
        <f>VLOOKUP(A602,SÜRELER!A:B,2,0)</f>
        <v>GÖVDE,P21W,CADEFACE,ÖN SİNYAL</v>
      </c>
      <c r="C602" s="53">
        <v>10</v>
      </c>
      <c r="D602" s="44"/>
      <c r="E602" s="45"/>
      <c r="G602" t="str">
        <f t="shared" si="11"/>
        <v>15006150061133</v>
      </c>
    </row>
    <row r="603" spans="1:7" ht="14.5" x14ac:dyDescent="0.35">
      <c r="A603" s="107" t="s">
        <v>4036</v>
      </c>
      <c r="B603" s="73" t="str">
        <f>VLOOKUP(A603,SÜRELER!A:B,2,0)</f>
        <v>REFLEKTÖR,KOMPLE,FREN-POZİSYON,Ø125</v>
      </c>
      <c r="C603" s="33">
        <v>8</v>
      </c>
      <c r="D603" s="34"/>
      <c r="E603" s="35"/>
      <c r="G603" t="str">
        <f t="shared" si="11"/>
        <v>15006150061134</v>
      </c>
    </row>
    <row r="604" spans="1:7" ht="14.5" x14ac:dyDescent="0.35">
      <c r="A604" s="107" t="s">
        <v>4037</v>
      </c>
      <c r="B604" s="73" t="str">
        <f>VLOOKUP(A604,SÜRELER!A:B,2,0)</f>
        <v>REFLEKTÖR,KOMPLE,SİNYAL,PY21W,Ø125</v>
      </c>
      <c r="C604" s="33">
        <v>8</v>
      </c>
      <c r="D604" s="34"/>
      <c r="E604" s="35"/>
      <c r="G604" t="str">
        <f t="shared" si="11"/>
        <v>15006150061135</v>
      </c>
    </row>
    <row r="605" spans="1:7" ht="14.5" x14ac:dyDescent="0.35">
      <c r="A605" s="107" t="s">
        <v>4038</v>
      </c>
      <c r="B605" s="73" t="str">
        <f>VLOOKUP(A605,SÜRELER!A:B,2,0)</f>
        <v>LENS,SİNYAL,Ø98 ASK</v>
      </c>
      <c r="C605" s="43">
        <v>7.5</v>
      </c>
      <c r="D605" s="44"/>
      <c r="E605" s="45"/>
      <c r="G605" t="str">
        <f t="shared" si="11"/>
        <v>15006150061136</v>
      </c>
    </row>
    <row r="606" spans="1:7" ht="14.5" x14ac:dyDescent="0.35">
      <c r="A606" s="107" t="s">
        <v>4039</v>
      </c>
      <c r="B606" s="73" t="str">
        <f>VLOOKUP(A606,SÜRELER!A:B,2,0)</f>
        <v>253 Reflektör Sol</v>
      </c>
      <c r="C606" s="33">
        <v>8</v>
      </c>
      <c r="D606" s="34"/>
      <c r="E606" s="35"/>
      <c r="G606" t="str">
        <f t="shared" si="11"/>
        <v>15006150061137</v>
      </c>
    </row>
    <row r="607" spans="1:7" ht="14.5" x14ac:dyDescent="0.35">
      <c r="A607" s="107" t="s">
        <v>4040</v>
      </c>
      <c r="B607" s="73" t="str">
        <f>VLOOKUP(A607,SÜRELER!A:B,2,0)</f>
        <v>253 reflektör sağ</v>
      </c>
      <c r="C607" s="33">
        <v>8</v>
      </c>
      <c r="D607" s="44"/>
      <c r="E607" s="45"/>
      <c r="G607" t="str">
        <f t="shared" si="11"/>
        <v>15006150061138</v>
      </c>
    </row>
    <row r="608" spans="1:7" ht="14.5" x14ac:dyDescent="0.35">
      <c r="A608" s="107" t="s">
        <v>4041</v>
      </c>
      <c r="B608" s="73" t="str">
        <f>VLOOKUP(A608,SÜRELER!A:B,2,0)</f>
        <v>253 Reflektör Sol</v>
      </c>
      <c r="C608" s="33">
        <v>3</v>
      </c>
      <c r="D608" s="34"/>
      <c r="E608" s="35"/>
      <c r="G608" t="str">
        <f t="shared" si="11"/>
        <v>15006150061139</v>
      </c>
    </row>
    <row r="609" spans="1:7" ht="14.5" x14ac:dyDescent="0.35">
      <c r="A609" s="107" t="s">
        <v>4042</v>
      </c>
      <c r="B609" s="73" t="str">
        <f>VLOOKUP(A609,SÜRELER!A:B,2,0)</f>
        <v>253 reflektör Sağ</v>
      </c>
      <c r="C609" s="33">
        <v>3</v>
      </c>
      <c r="D609" s="34"/>
      <c r="E609" s="35"/>
      <c r="G609" t="str">
        <f t="shared" si="11"/>
        <v>15006150061140</v>
      </c>
    </row>
    <row r="610" spans="1:7" ht="14.5" x14ac:dyDescent="0.35">
      <c r="A610" s="107" t="s">
        <v>4043</v>
      </c>
      <c r="B610" s="73" t="str">
        <f>VLOOKUP(A610,SÜRELER!A:B,2,0)</f>
        <v>423 reflektör Sag</v>
      </c>
      <c r="C610" s="33">
        <v>12</v>
      </c>
      <c r="D610" s="34"/>
      <c r="E610" s="35"/>
      <c r="G610" t="str">
        <f t="shared" si="11"/>
        <v>15006150061141</v>
      </c>
    </row>
    <row r="611" spans="1:7" ht="14.5" x14ac:dyDescent="0.35">
      <c r="A611" s="107" t="s">
        <v>4044</v>
      </c>
      <c r="B611" s="73" t="str">
        <f>VLOOKUP(A611,SÜRELER!A:B,2,0)</f>
        <v>423 reflektör Sol</v>
      </c>
      <c r="C611" s="33">
        <v>3</v>
      </c>
      <c r="D611" s="34"/>
      <c r="E611" s="35"/>
      <c r="G611" t="str">
        <f t="shared" si="11"/>
        <v>15006150061142</v>
      </c>
    </row>
    <row r="612" spans="1:7" ht="14.5" x14ac:dyDescent="0.35">
      <c r="A612" s="107" t="s">
        <v>4045</v>
      </c>
      <c r="B612" s="73" t="str">
        <f>VLOOKUP(A612,SÜRELER!A:B,2,0)</f>
        <v>423  reflektör Sağ</v>
      </c>
      <c r="C612" s="33">
        <v>3</v>
      </c>
      <c r="D612" s="34"/>
      <c r="E612" s="35"/>
      <c r="G612" t="str">
        <f t="shared" si="11"/>
        <v>15006150061143</v>
      </c>
    </row>
    <row r="613" spans="1:7" ht="14.5" x14ac:dyDescent="0.35">
      <c r="A613" s="107" t="s">
        <v>4046</v>
      </c>
      <c r="B613" s="73" t="str">
        <f>VLOOKUP(A613,SÜRELER!A:B,2,0)</f>
        <v>üst gövde bihalojen</v>
      </c>
      <c r="C613" s="33">
        <v>10</v>
      </c>
      <c r="D613" s="34"/>
      <c r="E613" s="35"/>
      <c r="G613" t="str">
        <f t="shared" si="11"/>
        <v>15006150061144</v>
      </c>
    </row>
    <row r="614" spans="1:7" ht="14.5" x14ac:dyDescent="0.35">
      <c r="A614" s="107" t="s">
        <v>4047</v>
      </c>
      <c r="B614" s="73" t="str">
        <f>VLOOKUP(A614,SÜRELER!A:B,2,0)</f>
        <v>refleks 378</v>
      </c>
      <c r="C614" s="33">
        <v>4</v>
      </c>
      <c r="D614" s="34"/>
      <c r="E614" s="35"/>
      <c r="G614" t="str">
        <f t="shared" si="11"/>
        <v>15006150061147</v>
      </c>
    </row>
    <row r="615" spans="1:7" ht="14.5" x14ac:dyDescent="0.35">
      <c r="A615" s="107" t="s">
        <v>4048</v>
      </c>
      <c r="B615" s="73" t="str">
        <f>VLOOKUP(A615,SÜRELER!A:B,2,0)</f>
        <v>refleks 380</v>
      </c>
      <c r="C615" s="33">
        <v>8</v>
      </c>
      <c r="D615" s="34"/>
      <c r="E615" s="35"/>
      <c r="G615" t="str">
        <f t="shared" si="11"/>
        <v>15006150061148</v>
      </c>
    </row>
    <row r="616" spans="1:7" ht="14.5" x14ac:dyDescent="0.35">
      <c r="A616" s="107" t="s">
        <v>4049</v>
      </c>
      <c r="B616" s="73" t="str">
        <f>VLOOKUP(A616,SÜRELER!A:B,2,0)</f>
        <v>Gövde R HL 377</v>
      </c>
      <c r="C616" s="33">
        <v>9</v>
      </c>
      <c r="D616" s="34"/>
      <c r="E616" s="35"/>
      <c r="G616" t="str">
        <f t="shared" si="11"/>
        <v>15006150061149</v>
      </c>
    </row>
    <row r="617" spans="1:7" ht="14.5" x14ac:dyDescent="0.35">
      <c r="A617" s="107" t="s">
        <v>4050</v>
      </c>
      <c r="B617" s="73" t="str">
        <f>VLOOKUP(A617,SÜRELER!A:B,2,0)</f>
        <v>Gövde L HL 377</v>
      </c>
      <c r="C617" s="33">
        <v>7</v>
      </c>
      <c r="D617" s="34"/>
      <c r="E617" s="35"/>
      <c r="G617" t="str">
        <f t="shared" si="11"/>
        <v>15006150061150</v>
      </c>
    </row>
    <row r="618" spans="1:7" ht="14.5" x14ac:dyDescent="0.35">
      <c r="A618" s="107" t="s">
        <v>4051</v>
      </c>
      <c r="B618" s="73" t="str">
        <f>VLOOKUP(A618,SÜRELER!A:B,2,0)</f>
        <v>Plastik Bağlantı Çerçevesi</v>
      </c>
      <c r="C618" s="43">
        <v>5</v>
      </c>
      <c r="D618" s="44"/>
      <c r="E618" s="45"/>
      <c r="G618" t="str">
        <f t="shared" si="11"/>
        <v>15006150061151</v>
      </c>
    </row>
    <row r="619" spans="1:7" ht="14.5" x14ac:dyDescent="0.35">
      <c r="A619" s="107" t="s">
        <v>4052</v>
      </c>
      <c r="B619" s="73" t="str">
        <f>VLOOKUP(A619,SÜRELER!A:B,2,0)</f>
        <v>292 Reflektör Sol</v>
      </c>
      <c r="C619" s="33">
        <v>4</v>
      </c>
      <c r="D619" s="34"/>
      <c r="E619" s="35"/>
      <c r="G619" t="str">
        <f t="shared" si="11"/>
        <v>15006150061152</v>
      </c>
    </row>
    <row r="620" spans="1:7" ht="14.5" x14ac:dyDescent="0.35">
      <c r="A620" s="107" t="s">
        <v>4053</v>
      </c>
      <c r="B620" s="73" t="str">
        <f>VLOOKUP(A620,SÜRELER!A:B,2,0)</f>
        <v>292 Reflektör Sağ</v>
      </c>
      <c r="C620" s="33">
        <v>4</v>
      </c>
      <c r="D620" s="34"/>
      <c r="E620" s="35"/>
      <c r="G620" t="str">
        <f t="shared" si="11"/>
        <v>15006150061153</v>
      </c>
    </row>
    <row r="621" spans="1:7" ht="14.5" x14ac:dyDescent="0.35">
      <c r="A621" s="107" t="s">
        <v>4054</v>
      </c>
      <c r="B621" s="73" t="str">
        <f>VLOOKUP(A621,SÜRELER!A:B,2,0)</f>
        <v>REFLEKTÖR,DRL,P21W</v>
      </c>
      <c r="C621" s="33">
        <v>3</v>
      </c>
      <c r="D621" s="34"/>
      <c r="E621" s="35"/>
      <c r="G621" t="str">
        <f t="shared" si="11"/>
        <v>15006150061154</v>
      </c>
    </row>
    <row r="622" spans="1:7" ht="14.5" x14ac:dyDescent="0.35">
      <c r="A622" s="107" t="s">
        <v>4055</v>
      </c>
      <c r="B622" s="73" t="str">
        <f>VLOOKUP(A622,SÜRELER!A:B,2,0)</f>
        <v>Bağlantı Braketi</v>
      </c>
      <c r="C622" s="33">
        <v>3</v>
      </c>
      <c r="D622" s="34"/>
      <c r="E622" s="35"/>
      <c r="G622" t="str">
        <f t="shared" si="11"/>
        <v>15006150061155</v>
      </c>
    </row>
    <row r="623" spans="1:7" ht="14.5" x14ac:dyDescent="0.35">
      <c r="A623" s="107" t="s">
        <v>4056</v>
      </c>
      <c r="B623" s="73" t="str">
        <f>VLOOKUP(A623,SÜRELER!A:B,2,0)</f>
        <v>Gövde HL 377 + KZL Sol</v>
      </c>
      <c r="C623" s="33">
        <v>9</v>
      </c>
      <c r="D623" s="34"/>
      <c r="E623" s="35"/>
      <c r="G623" t="str">
        <f t="shared" si="11"/>
        <v>15006150061156</v>
      </c>
    </row>
    <row r="624" spans="1:7" ht="14.5" x14ac:dyDescent="0.35">
      <c r="A624" s="107" t="s">
        <v>4057</v>
      </c>
      <c r="B624" s="73" t="str">
        <f>VLOOKUP(A624,SÜRELER!A:B,2,0)</f>
        <v>Gövde R HL 377 F. Zentral</v>
      </c>
      <c r="C624" s="33">
        <v>7</v>
      </c>
      <c r="D624" s="34"/>
      <c r="E624" s="35"/>
      <c r="G624" t="str">
        <f t="shared" si="11"/>
        <v>15006150061157</v>
      </c>
    </row>
    <row r="625" spans="1:7" ht="14.5" x14ac:dyDescent="0.35">
      <c r="A625" s="107" t="s">
        <v>4058</v>
      </c>
      <c r="B625" s="73" t="str">
        <f>VLOOKUP(A625,SÜRELER!A:B,2,0)</f>
        <v>kırmızı kapak sol</v>
      </c>
      <c r="C625" s="43">
        <v>8</v>
      </c>
      <c r="D625" s="44"/>
      <c r="E625" s="45"/>
      <c r="G625" t="str">
        <f t="shared" si="11"/>
        <v>15006150061158</v>
      </c>
    </row>
    <row r="626" spans="1:7" ht="14.5" x14ac:dyDescent="0.35">
      <c r="A626" s="107" t="s">
        <v>4059</v>
      </c>
      <c r="B626" s="73" t="str">
        <f>VLOOKUP(A626,SÜRELER!A:B,2,0)</f>
        <v>kırmızı kapak sağ</v>
      </c>
      <c r="C626" s="43">
        <v>8</v>
      </c>
      <c r="D626" s="44"/>
      <c r="E626" s="45"/>
      <c r="G626" t="str">
        <f t="shared" si="11"/>
        <v>15006150061159</v>
      </c>
    </row>
    <row r="627" spans="1:7" ht="14.5" x14ac:dyDescent="0.35">
      <c r="A627" s="107" t="s">
        <v>4060</v>
      </c>
      <c r="B627" s="73" t="str">
        <f>VLOOKUP(A627,SÜRELER!A:B,2,0)</f>
        <v>Gövde Ø58 Refleks delikli</v>
      </c>
      <c r="C627" s="33">
        <v>3</v>
      </c>
      <c r="D627" s="34"/>
      <c r="E627" s="35"/>
      <c r="G627" t="str">
        <f t="shared" si="11"/>
        <v>15006150061160</v>
      </c>
    </row>
    <row r="628" spans="1:7" ht="14.5" x14ac:dyDescent="0.35">
      <c r="A628" s="107" t="s">
        <v>4061</v>
      </c>
      <c r="B628" s="73" t="str">
        <f>VLOOKUP(A628,SÜRELER!A:B,2,0)</f>
        <v>Lens Ø58 Refleks delikli</v>
      </c>
      <c r="C628" s="33">
        <v>8</v>
      </c>
      <c r="D628" s="34"/>
      <c r="E628" s="35"/>
      <c r="G628" t="str">
        <f t="shared" si="11"/>
        <v>15006150061161</v>
      </c>
    </row>
    <row r="629" spans="1:7" ht="14.5" x14ac:dyDescent="0.35">
      <c r="A629" s="107" t="s">
        <v>4062</v>
      </c>
      <c r="B629" s="73" t="str">
        <f>VLOOKUP(A629,SÜRELER!A:B,2,0)</f>
        <v>Lens Ø58 Refleks delikli Turuncu</v>
      </c>
      <c r="C629" s="33">
        <v>8</v>
      </c>
      <c r="D629" s="34"/>
      <c r="E629" s="35"/>
      <c r="G629" t="str">
        <f t="shared" si="11"/>
        <v>15006150061162</v>
      </c>
    </row>
    <row r="630" spans="1:7" ht="14.5" x14ac:dyDescent="0.35">
      <c r="A630" s="107" t="s">
        <v>4063</v>
      </c>
      <c r="B630" s="73" t="str">
        <f>VLOOKUP(A630,SÜRELER!A:B,2,0)</f>
        <v>5'li gövde plaka lensi</v>
      </c>
      <c r="C630" s="33">
        <v>8</v>
      </c>
      <c r="D630" s="34"/>
      <c r="E630" s="35"/>
      <c r="G630" t="str">
        <f t="shared" si="11"/>
        <v>15006150061165</v>
      </c>
    </row>
    <row r="631" spans="1:7" ht="14.5" x14ac:dyDescent="0.35">
      <c r="A631" s="107" t="s">
        <v>4064</v>
      </c>
      <c r="B631" s="73" t="str">
        <f>VLOOKUP(A631,SÜRELER!A:B,2,0)</f>
        <v>GÖVDE,SOKETLİ,SIDE MARKER,FORD</v>
      </c>
      <c r="C631" s="43"/>
      <c r="D631" s="44"/>
      <c r="E631" s="45"/>
      <c r="G631" t="str">
        <f t="shared" si="11"/>
        <v>15006150061166</v>
      </c>
    </row>
    <row r="632" spans="1:7" ht="14.5" x14ac:dyDescent="0.35">
      <c r="A632" s="107" t="s">
        <v>4065</v>
      </c>
      <c r="B632" s="73" t="e">
        <f>VLOOKUP(A632,SÜRELER!A:B,2,0)</f>
        <v>#N/A</v>
      </c>
      <c r="C632" s="43"/>
      <c r="D632" s="44"/>
      <c r="E632" s="45"/>
      <c r="G632" t="str">
        <f t="shared" si="11"/>
        <v>15006150061167</v>
      </c>
    </row>
    <row r="633" spans="1:7" ht="14.5" x14ac:dyDescent="0.35">
      <c r="A633" s="107" t="s">
        <v>4066</v>
      </c>
      <c r="B633" s="73" t="str">
        <f>VLOOKUP(A633,SÜRELER!A:B,2,0)</f>
        <v>LENS,SİS,Ø98 ASK,AYG</v>
      </c>
      <c r="C633" s="43">
        <v>10</v>
      </c>
      <c r="D633" s="44"/>
      <c r="E633" s="45"/>
      <c r="G633" t="str">
        <f t="shared" si="11"/>
        <v>15006150061168</v>
      </c>
    </row>
    <row r="634" spans="1:7" ht="14.5" x14ac:dyDescent="0.35">
      <c r="A634" s="107" t="s">
        <v>4067</v>
      </c>
      <c r="B634" s="73" t="str">
        <f>VLOOKUP(A634,SÜRELER!A:B,2,0)</f>
        <v>LENS,GERİVİTES,Ø98 ASK,AYG</v>
      </c>
      <c r="C634" s="43">
        <v>10</v>
      </c>
      <c r="D634" s="44"/>
      <c r="E634" s="45"/>
      <c r="G634" t="str">
        <f t="shared" si="11"/>
        <v>15006150061169</v>
      </c>
    </row>
    <row r="635" spans="1:7" ht="14.5" x14ac:dyDescent="0.35">
      <c r="A635" s="107" t="s">
        <v>4068</v>
      </c>
      <c r="B635" s="73" t="e">
        <f>VLOOKUP(A635,SÜRELER!A:B,2,0)</f>
        <v>#N/A</v>
      </c>
      <c r="C635" s="43"/>
      <c r="D635" s="44"/>
      <c r="E635" s="45"/>
      <c r="G635" t="str">
        <f t="shared" si="11"/>
        <v>15006150061170</v>
      </c>
    </row>
    <row r="636" spans="1:7" ht="14.5" x14ac:dyDescent="0.35">
      <c r="A636" s="107" t="s">
        <v>4069</v>
      </c>
      <c r="B636" s="73" t="str">
        <f>VLOOKUP(A636,SÜRELER!A:B,2,0)</f>
        <v>Flanşlı pabuç W210M SWL Sol</v>
      </c>
      <c r="C636" s="43"/>
      <c r="D636" s="44"/>
      <c r="E636" s="45"/>
      <c r="G636" t="str">
        <f t="shared" si="11"/>
        <v>15006150061171</v>
      </c>
    </row>
    <row r="637" spans="1:7" ht="14.5" x14ac:dyDescent="0.35">
      <c r="A637" s="107" t="s">
        <v>4070</v>
      </c>
      <c r="B637" s="73" t="str">
        <f>VLOOKUP(A637,SÜRELER!A:B,2,0)</f>
        <v>Flanşlı pabuç W210M SWL Sağ</v>
      </c>
      <c r="C637" s="43"/>
      <c r="D637" s="44"/>
      <c r="E637" s="45"/>
      <c r="G637" t="str">
        <f t="shared" si="11"/>
        <v>15006150061172</v>
      </c>
    </row>
    <row r="638" spans="1:7" ht="14.5" x14ac:dyDescent="0.35">
      <c r="A638" s="107" t="s">
        <v>4071</v>
      </c>
      <c r="B638" s="73" t="str">
        <f>VLOOKUP(A638,SÜRELER!A:B,2,0)</f>
        <v>Reflektör W210M SWL Sol</v>
      </c>
      <c r="C638" s="33">
        <v>15</v>
      </c>
      <c r="D638" s="34"/>
      <c r="E638" s="35"/>
      <c r="G638" t="str">
        <f t="shared" si="11"/>
        <v>15006150061173</v>
      </c>
    </row>
    <row r="639" spans="1:7" ht="14.5" x14ac:dyDescent="0.35">
      <c r="A639" s="107" t="s">
        <v>4072</v>
      </c>
      <c r="B639" s="73" t="str">
        <f>VLOOKUP(A639,SÜRELER!A:B,2,0)</f>
        <v>Reflektör W210M SWL Sağ</v>
      </c>
      <c r="C639" s="33">
        <v>15</v>
      </c>
      <c r="D639" s="34"/>
      <c r="E639" s="35"/>
      <c r="G639" t="str">
        <f t="shared" si="11"/>
        <v>15006150061174</v>
      </c>
    </row>
    <row r="640" spans="1:7" ht="14.5" x14ac:dyDescent="0.35">
      <c r="A640" s="107" t="s">
        <v>4073</v>
      </c>
      <c r="B640" s="73" t="str">
        <f>VLOOKUP(A640,SÜRELER!A:B,2,0)</f>
        <v>Şeffaf lens W210M SWL Sol</v>
      </c>
      <c r="C640" s="33">
        <v>5</v>
      </c>
      <c r="D640" s="34"/>
      <c r="E640" s="35"/>
      <c r="G640" t="str">
        <f t="shared" si="11"/>
        <v>15006150061175</v>
      </c>
    </row>
    <row r="641" spans="1:7" ht="14.5" x14ac:dyDescent="0.35">
      <c r="A641" s="107" t="s">
        <v>4074</v>
      </c>
      <c r="B641" s="73" t="str">
        <f>VLOOKUP(A641,SÜRELER!A:B,2,0)</f>
        <v>Şeffaf lens W210M SWL Sağ</v>
      </c>
      <c r="C641" s="33">
        <v>5</v>
      </c>
      <c r="D641" s="34"/>
      <c r="E641" s="35"/>
      <c r="G641" t="str">
        <f t="shared" si="11"/>
        <v>15006150061176</v>
      </c>
    </row>
    <row r="642" spans="1:7" ht="14.5" x14ac:dyDescent="0.35">
      <c r="A642" s="107" t="s">
        <v>4075</v>
      </c>
      <c r="B642" s="73" t="str">
        <f>VLOOKUP(A642,SÜRELER!A:B,2,0)</f>
        <v>Bağlantı elemanı W210M SWL</v>
      </c>
      <c r="C642" s="33">
        <v>5</v>
      </c>
      <c r="D642" s="34"/>
      <c r="E642" s="35"/>
      <c r="G642" t="str">
        <f t="shared" si="11"/>
        <v>15006150061177</v>
      </c>
    </row>
    <row r="643" spans="1:7" ht="14.5" x14ac:dyDescent="0.35">
      <c r="A643" s="107" t="s">
        <v>4076</v>
      </c>
      <c r="B643" s="73" t="str">
        <f>VLOOKUP(A643,SÜRELER!A:B,2,0)</f>
        <v>Reflektör W211 Elegant Sol</v>
      </c>
      <c r="C643" s="33">
        <v>10</v>
      </c>
      <c r="D643" s="34"/>
      <c r="E643" s="35"/>
      <c r="G643" t="str">
        <f t="shared" si="11"/>
        <v>15006150061179</v>
      </c>
    </row>
    <row r="644" spans="1:7" ht="14.5" x14ac:dyDescent="0.35">
      <c r="A644" s="107" t="s">
        <v>4077</v>
      </c>
      <c r="B644" s="73" t="str">
        <f>VLOOKUP(A644,SÜRELER!A:B,2,0)</f>
        <v>Reflektör W211 Elegant Sag</v>
      </c>
      <c r="C644" s="33">
        <v>10</v>
      </c>
      <c r="D644" s="34"/>
      <c r="E644" s="35"/>
      <c r="G644" t="str">
        <f t="shared" si="11"/>
        <v>15006150061180</v>
      </c>
    </row>
    <row r="645" spans="1:7" ht="14.5" x14ac:dyDescent="0.35">
      <c r="A645" s="107" t="s">
        <v>4078</v>
      </c>
      <c r="B645" s="73" t="str">
        <f>VLOOKUP(A645,SÜRELER!A:B,2,0)</f>
        <v>Yan Çıta W211 + W211M Sol</v>
      </c>
      <c r="C645" s="33">
        <v>5</v>
      </c>
      <c r="D645" s="34"/>
      <c r="E645" s="35"/>
      <c r="G645" t="str">
        <f t="shared" si="11"/>
        <v>15006150061181</v>
      </c>
    </row>
    <row r="646" spans="1:7" ht="14.5" x14ac:dyDescent="0.35">
      <c r="A646" s="107" t="s">
        <v>4079</v>
      </c>
      <c r="B646" s="73" t="str">
        <f>VLOOKUP(A646,SÜRELER!A:B,2,0)</f>
        <v>Yan Çıta W211 + W211M Sağ</v>
      </c>
      <c r="C646" s="33">
        <v>5</v>
      </c>
      <c r="D646" s="34"/>
      <c r="E646" s="35"/>
      <c r="G646" t="str">
        <f t="shared" si="11"/>
        <v>15006150061182</v>
      </c>
    </row>
    <row r="647" spans="1:7" ht="14.5" x14ac:dyDescent="0.35">
      <c r="A647" s="107" t="s">
        <v>4080</v>
      </c>
      <c r="B647" s="73" t="str">
        <f>VLOOKUP(A647,SÜRELER!A:B,2,0)</f>
        <v>Reflektör W211 Avangart Sol</v>
      </c>
      <c r="C647" s="33">
        <v>10</v>
      </c>
      <c r="D647" s="34"/>
      <c r="E647" s="35"/>
      <c r="G647" t="str">
        <f t="shared" si="11"/>
        <v>15006150061183</v>
      </c>
    </row>
    <row r="648" spans="1:7" ht="14.5" x14ac:dyDescent="0.35">
      <c r="A648" s="107" t="s">
        <v>4081</v>
      </c>
      <c r="B648" s="73" t="str">
        <f>VLOOKUP(A648,SÜRELER!A:B,2,0)</f>
        <v>Reflektör W211 Avangart Sağ</v>
      </c>
      <c r="C648" s="33">
        <v>10</v>
      </c>
      <c r="D648" s="34"/>
      <c r="E648" s="35"/>
      <c r="G648" t="str">
        <f t="shared" si="11"/>
        <v>15006150061184</v>
      </c>
    </row>
    <row r="649" spans="1:7" ht="14.5" x14ac:dyDescent="0.35">
      <c r="A649" s="107" t="s">
        <v>4082</v>
      </c>
      <c r="B649" s="73" t="str">
        <f>VLOOKUP(A649,SÜRELER!A:B,2,0)</f>
        <v>Led reflektör W211 Sol</v>
      </c>
      <c r="C649" s="33">
        <v>10</v>
      </c>
      <c r="D649" s="34"/>
      <c r="E649" s="35"/>
      <c r="G649" t="str">
        <f t="shared" si="11"/>
        <v>15006150061185</v>
      </c>
    </row>
    <row r="650" spans="1:7" ht="14.5" x14ac:dyDescent="0.35">
      <c r="A650" s="107" t="s">
        <v>4083</v>
      </c>
      <c r="B650" s="73" t="str">
        <f>VLOOKUP(A650,SÜRELER!A:B,2,0)</f>
        <v>Led reflektör W211 Sağ</v>
      </c>
      <c r="C650" s="33">
        <v>10</v>
      </c>
      <c r="D650" s="34"/>
      <c r="E650" s="35"/>
      <c r="G650" t="str">
        <f t="shared" si="11"/>
        <v>15006150061186</v>
      </c>
    </row>
    <row r="651" spans="1:7" ht="14.5" x14ac:dyDescent="0.35">
      <c r="A651" s="107" t="s">
        <v>4084</v>
      </c>
      <c r="B651" s="73" t="str">
        <f>VLOOKUP(A651,SÜRELER!A:B,2,0)</f>
        <v>Reflektör W211M Elegant Sol</v>
      </c>
      <c r="C651" s="33">
        <v>10</v>
      </c>
      <c r="D651" s="34"/>
      <c r="E651" s="35"/>
      <c r="G651" t="str">
        <f t="shared" si="11"/>
        <v>15006150061187</v>
      </c>
    </row>
    <row r="652" spans="1:7" ht="14.5" x14ac:dyDescent="0.35">
      <c r="A652" s="107" t="s">
        <v>4085</v>
      </c>
      <c r="B652" s="73" t="str">
        <f>VLOOKUP(A652,SÜRELER!A:B,2,0)</f>
        <v>Reflektör W211M Elegant Sag</v>
      </c>
      <c r="C652" s="33">
        <v>10</v>
      </c>
      <c r="D652" s="34"/>
      <c r="E652" s="35"/>
      <c r="G652" t="str">
        <f t="shared" si="11"/>
        <v>15006150061188</v>
      </c>
    </row>
    <row r="653" spans="1:7" ht="14.5" x14ac:dyDescent="0.35">
      <c r="A653" s="107" t="s">
        <v>4086</v>
      </c>
      <c r="B653" s="73" t="str">
        <f>VLOOKUP(A653,SÜRELER!A:B,2,0)</f>
        <v>Reflektör W211M Avangart Sol</v>
      </c>
      <c r="C653" s="33">
        <v>10</v>
      </c>
      <c r="D653" s="34"/>
      <c r="E653" s="35"/>
      <c r="G653" t="str">
        <f t="shared" si="11"/>
        <v>15006150061189</v>
      </c>
    </row>
    <row r="654" spans="1:7" ht="14.5" x14ac:dyDescent="0.35">
      <c r="A654" s="107" t="s">
        <v>4087</v>
      </c>
      <c r="B654" s="73" t="str">
        <f>VLOOKUP(A654,SÜRELER!A:B,2,0)</f>
        <v>Reflektör W211M Avangart Sag</v>
      </c>
      <c r="C654" s="33">
        <v>10</v>
      </c>
      <c r="D654" s="34"/>
      <c r="E654" s="35"/>
      <c r="G654" t="str">
        <f t="shared" si="11"/>
        <v>15006150061190</v>
      </c>
    </row>
    <row r="655" spans="1:7" ht="14.5" x14ac:dyDescent="0.35">
      <c r="A655" s="107" t="s">
        <v>4088</v>
      </c>
      <c r="B655" s="73" t="str">
        <f>VLOOKUP(A655,SÜRELER!A:B,2,0)</f>
        <v>Çerçeve Sol R170</v>
      </c>
      <c r="C655" s="33">
        <v>5</v>
      </c>
      <c r="D655" s="34"/>
      <c r="E655" s="35"/>
      <c r="G655" t="str">
        <f t="shared" si="11"/>
        <v>15006150061191</v>
      </c>
    </row>
    <row r="656" spans="1:7" ht="14.5" x14ac:dyDescent="0.35">
      <c r="A656" s="107" t="s">
        <v>4089</v>
      </c>
      <c r="B656" s="73" t="str">
        <f>VLOOKUP(A656,SÜRELER!A:B,2,0)</f>
        <v>Çerçeve Sağ R170</v>
      </c>
      <c r="C656" s="33">
        <v>5</v>
      </c>
      <c r="D656" s="34"/>
      <c r="E656" s="35"/>
      <c r="G656" t="str">
        <f t="shared" si="11"/>
        <v>15006150061192</v>
      </c>
    </row>
    <row r="657" spans="1:7" ht="14.5" x14ac:dyDescent="0.35">
      <c r="A657" s="107" t="s">
        <v>4090</v>
      </c>
      <c r="B657" s="73" t="str">
        <f>VLOOKUP(A657,SÜRELER!A:B,2,0)</f>
        <v>Kapak Sol R170</v>
      </c>
      <c r="C657" s="33">
        <v>5</v>
      </c>
      <c r="D657" s="34"/>
      <c r="E657" s="35"/>
      <c r="G657" t="str">
        <f t="shared" si="11"/>
        <v>15006150061193</v>
      </c>
    </row>
    <row r="658" spans="1:7" ht="14.5" x14ac:dyDescent="0.35">
      <c r="A658" s="107" t="s">
        <v>4091</v>
      </c>
      <c r="B658" s="73" t="str">
        <f>VLOOKUP(A658,SÜRELER!A:B,2,0)</f>
        <v>Kapak Sağ R170</v>
      </c>
      <c r="C658" s="33">
        <v>5</v>
      </c>
      <c r="D658" s="34"/>
      <c r="E658" s="35"/>
      <c r="G658" t="str">
        <f t="shared" si="11"/>
        <v>15006150061194</v>
      </c>
    </row>
    <row r="659" spans="1:7" ht="14.5" x14ac:dyDescent="0.35">
      <c r="A659" s="107" t="s">
        <v>4092</v>
      </c>
      <c r="B659" s="73" t="str">
        <f>VLOOKUP(A659,SÜRELER!A:B,2,0)</f>
        <v>Reflektör Sol R170</v>
      </c>
      <c r="C659" s="33">
        <v>15</v>
      </c>
      <c r="D659" s="34"/>
      <c r="E659" s="35"/>
      <c r="G659" t="str">
        <f t="shared" si="11"/>
        <v>15006150061195</v>
      </c>
    </row>
    <row r="660" spans="1:7" ht="14.5" x14ac:dyDescent="0.35">
      <c r="A660" s="107" t="s">
        <v>4093</v>
      </c>
      <c r="B660" s="73" t="str">
        <f>VLOOKUP(A660,SÜRELER!A:B,2,0)</f>
        <v>Reflektör Sağ R170</v>
      </c>
      <c r="C660" s="33">
        <v>15</v>
      </c>
      <c r="D660" s="34"/>
      <c r="E660" s="35"/>
      <c r="G660" t="str">
        <f t="shared" si="11"/>
        <v>15006150061196</v>
      </c>
    </row>
    <row r="661" spans="1:7" ht="14.5" x14ac:dyDescent="0.35">
      <c r="A661" s="107" t="s">
        <v>4094</v>
      </c>
      <c r="B661" s="73" t="str">
        <f>VLOOKUP(A661,SÜRELER!A:B,2,0)</f>
        <v>Reflektör Sol R170 SAE</v>
      </c>
      <c r="C661" s="33">
        <v>15</v>
      </c>
      <c r="D661" s="34"/>
      <c r="E661" s="35"/>
      <c r="G661" t="str">
        <f t="shared" si="11"/>
        <v>15006150061197</v>
      </c>
    </row>
    <row r="662" spans="1:7" ht="14.5" x14ac:dyDescent="0.35">
      <c r="A662" s="107" t="s">
        <v>4095</v>
      </c>
      <c r="B662" s="73" t="str">
        <f>VLOOKUP(A662,SÜRELER!A:B,2,0)</f>
        <v>Reflektör Sağ R170 SAE</v>
      </c>
      <c r="C662" s="33">
        <v>15</v>
      </c>
      <c r="D662" s="34"/>
      <c r="E662" s="35"/>
      <c r="G662" t="str">
        <f t="shared" si="11"/>
        <v>15006150061198</v>
      </c>
    </row>
    <row r="663" spans="1:7" ht="14.5" x14ac:dyDescent="0.35">
      <c r="A663" s="107" t="s">
        <v>4096</v>
      </c>
      <c r="B663" s="73" t="str">
        <f>VLOOKUP(A663,SÜRELER!A:B,2,0)</f>
        <v>Reflektör Sol ASTRA A3301</v>
      </c>
      <c r="C663" s="33">
        <v>15</v>
      </c>
      <c r="D663" s="34"/>
      <c r="E663" s="35"/>
      <c r="G663" t="str">
        <f t="shared" si="11"/>
        <v>15006150061199</v>
      </c>
    </row>
    <row r="664" spans="1:7" ht="14.5" x14ac:dyDescent="0.35">
      <c r="A664" s="107" t="s">
        <v>4097</v>
      </c>
      <c r="B664" s="73" t="str">
        <f>VLOOKUP(A664,SÜRELER!A:B,2,0)</f>
        <v>Reflektör Sağ ASTRA A3301</v>
      </c>
      <c r="C664" s="33">
        <v>15</v>
      </c>
      <c r="D664" s="34"/>
      <c r="E664" s="35"/>
      <c r="G664" t="str">
        <f t="shared" ref="G664:G727" si="12">CONCATENATE($F$471,A664,)</f>
        <v>15006150061200</v>
      </c>
    </row>
    <row r="665" spans="1:7" ht="14.5" x14ac:dyDescent="0.35">
      <c r="A665" s="107" t="s">
        <v>4098</v>
      </c>
      <c r="B665" s="73" t="str">
        <f>VLOOKUP(A665,SÜRELER!A:B,2,0)</f>
        <v>REFLEKTÖR,SİS,Ø98 ASK,AYG</v>
      </c>
      <c r="C665" s="43">
        <v>5</v>
      </c>
      <c r="D665" s="44"/>
      <c r="E665" s="45"/>
      <c r="G665" t="str">
        <f t="shared" si="12"/>
        <v>15006150061201</v>
      </c>
    </row>
    <row r="666" spans="1:7" ht="14.5" x14ac:dyDescent="0.35">
      <c r="A666" s="107" t="s">
        <v>4099</v>
      </c>
      <c r="B666" s="73" t="str">
        <f>VLOOKUP(A666,SÜRELER!A:B,2,0)</f>
        <v>REFLEKTÖR,GERİVİTES,Ø98 ASK,AYG</v>
      </c>
      <c r="C666" s="43">
        <v>5</v>
      </c>
      <c r="D666" s="44"/>
      <c r="E666" s="45"/>
      <c r="G666" t="str">
        <f t="shared" si="12"/>
        <v>15006150061202</v>
      </c>
    </row>
    <row r="667" spans="1:7" ht="14.5" x14ac:dyDescent="0.35">
      <c r="A667" s="107" t="s">
        <v>4100</v>
      </c>
      <c r="B667" s="73" t="str">
        <f>VLOOKUP(A667,SÜRELER!A:B,2,0)</f>
        <v>Gövde Komple,Ø180 H,Farbalux</v>
      </c>
      <c r="C667" s="43">
        <v>5</v>
      </c>
      <c r="D667" s="44"/>
      <c r="E667" s="45"/>
      <c r="G667" t="str">
        <f t="shared" si="12"/>
        <v>15006150061203</v>
      </c>
    </row>
    <row r="668" spans="1:7" ht="14.5" x14ac:dyDescent="0.35">
      <c r="A668" s="107" t="s">
        <v>4101</v>
      </c>
      <c r="B668" s="73" t="str">
        <f>VLOOKUP(A668,SÜRELER!A:B,2,0)</f>
        <v>Gövde Komple,Ayar Motorlu,Ø180 H,Farbalux</v>
      </c>
      <c r="C668" s="43">
        <v>5</v>
      </c>
      <c r="D668" s="44"/>
      <c r="E668" s="45"/>
      <c r="G668" t="str">
        <f t="shared" si="12"/>
        <v>15006150061204</v>
      </c>
    </row>
    <row r="669" spans="1:7" ht="14.5" x14ac:dyDescent="0.35">
      <c r="A669" s="107" t="s">
        <v>4102</v>
      </c>
      <c r="B669" s="73" t="str">
        <f>VLOOKUP(A669,SÜRELER!A:B,2,0)</f>
        <v>Ara çerçeve,Ø130 H,Farbalux</v>
      </c>
      <c r="C669" s="43">
        <v>8</v>
      </c>
      <c r="D669" s="44"/>
      <c r="E669" s="45"/>
      <c r="G669" t="str">
        <f t="shared" si="12"/>
        <v>15006150061205</v>
      </c>
    </row>
    <row r="670" spans="1:7" ht="14.5" x14ac:dyDescent="0.35">
      <c r="A670" s="107" t="s">
        <v>4103</v>
      </c>
      <c r="B670" s="73" t="str">
        <f>VLOOKUP(A670,SÜRELER!A:B,2,0)</f>
        <v>Gövde Komple,Sol,Bagaj,L38</v>
      </c>
      <c r="C670" s="43">
        <v>5</v>
      </c>
      <c r="D670" s="44"/>
      <c r="E670" s="45"/>
      <c r="G670" t="str">
        <f t="shared" si="12"/>
        <v>15006150061206</v>
      </c>
    </row>
    <row r="671" spans="1:7" ht="14.5" x14ac:dyDescent="0.35">
      <c r="A671" s="107" t="s">
        <v>4104</v>
      </c>
      <c r="B671" s="73" t="str">
        <f>VLOOKUP(A671,SÜRELER!A:B,2,0)</f>
        <v>Gövde Komple,Sağ,Bagaj,L38</v>
      </c>
      <c r="C671" s="43">
        <v>5</v>
      </c>
      <c r="D671" s="44"/>
      <c r="E671" s="45"/>
      <c r="G671" t="str">
        <f t="shared" si="12"/>
        <v>15006150061207</v>
      </c>
    </row>
    <row r="672" spans="1:7" ht="14.5" x14ac:dyDescent="0.35">
      <c r="A672" s="107" t="s">
        <v>4105</v>
      </c>
      <c r="B672" s="73" t="str">
        <f>VLOOKUP(A672,SÜRELER!A:B,2,0)</f>
        <v>Gövde Komple,Sol,Çamurluk,L38</v>
      </c>
      <c r="C672" s="43">
        <v>10</v>
      </c>
      <c r="D672" s="44"/>
      <c r="E672" s="45"/>
      <c r="G672" t="str">
        <f t="shared" si="12"/>
        <v>15006150061208</v>
      </c>
    </row>
    <row r="673" spans="1:7" ht="14.5" x14ac:dyDescent="0.35">
      <c r="A673" s="107" t="s">
        <v>4106</v>
      </c>
      <c r="B673" s="73" t="str">
        <f>VLOOKUP(A673,SÜRELER!A:B,2,0)</f>
        <v>Gövde Komple,Sağ,Çamurluk,L38</v>
      </c>
      <c r="C673" s="43">
        <v>10</v>
      </c>
      <c r="D673" s="44"/>
      <c r="E673" s="45"/>
      <c r="G673" t="str">
        <f t="shared" si="12"/>
        <v>15006150061209</v>
      </c>
    </row>
    <row r="674" spans="1:7" ht="14.5" x14ac:dyDescent="0.35">
      <c r="A674" s="107" t="s">
        <v>4107</v>
      </c>
      <c r="B674" s="73" t="str">
        <f>VLOOKUP(A674,SÜRELER!A:B,2,0)</f>
        <v>İç Lens,Optik,Sol,Bagaj,L38</v>
      </c>
      <c r="C674" s="43"/>
      <c r="D674" s="44"/>
      <c r="E674" s="45"/>
      <c r="G674" t="str">
        <f t="shared" si="12"/>
        <v>15006150061210</v>
      </c>
    </row>
    <row r="675" spans="1:7" ht="14.5" x14ac:dyDescent="0.35">
      <c r="A675" s="107" t="s">
        <v>4108</v>
      </c>
      <c r="B675" s="73" t="str">
        <f>VLOOKUP(A675,SÜRELER!A:B,2,0)</f>
        <v>Gövde Sol S211 SWL</v>
      </c>
      <c r="C675" s="33">
        <v>15</v>
      </c>
      <c r="D675" s="34"/>
      <c r="E675" s="35"/>
      <c r="G675" t="str">
        <f t="shared" si="12"/>
        <v>15006150061211</v>
      </c>
    </row>
    <row r="676" spans="1:7" ht="14.5" x14ac:dyDescent="0.35">
      <c r="A676" s="107" t="s">
        <v>4109</v>
      </c>
      <c r="B676" s="73" t="str">
        <f>VLOOKUP(A676,SÜRELER!A:B,2,0)</f>
        <v>Gövde Sağ S211 SWL</v>
      </c>
      <c r="C676" s="33">
        <v>15</v>
      </c>
      <c r="D676" s="34"/>
      <c r="E676" s="35"/>
      <c r="G676" t="str">
        <f t="shared" si="12"/>
        <v>15006150061212</v>
      </c>
    </row>
    <row r="677" spans="1:7" ht="14.5" x14ac:dyDescent="0.35">
      <c r="A677" s="107" t="s">
        <v>4110</v>
      </c>
      <c r="B677" s="73" t="str">
        <f>VLOOKUP(A677,SÜRELER!A:B,2,0)</f>
        <v>Gövde Sol S211 Avangart SWL</v>
      </c>
      <c r="C677" s="33">
        <v>15</v>
      </c>
      <c r="D677" s="34"/>
      <c r="E677" s="35"/>
      <c r="G677" t="str">
        <f t="shared" si="12"/>
        <v>15006150061213</v>
      </c>
    </row>
    <row r="678" spans="1:7" ht="14.5" x14ac:dyDescent="0.35">
      <c r="A678" s="107" t="s">
        <v>4111</v>
      </c>
      <c r="B678" s="73" t="str">
        <f>VLOOKUP(A678,SÜRELER!A:B,2,0)</f>
        <v>Gövde Sağ S211 Avangart SWL</v>
      </c>
      <c r="C678" s="33">
        <v>15</v>
      </c>
      <c r="D678" s="34"/>
      <c r="E678" s="35"/>
      <c r="G678" t="str">
        <f t="shared" si="12"/>
        <v>15006150061214</v>
      </c>
    </row>
    <row r="679" spans="1:7" ht="14.5" x14ac:dyDescent="0.35">
      <c r="A679" s="107" t="s">
        <v>4112</v>
      </c>
      <c r="B679" s="73" t="str">
        <f>VLOOKUP(A679,SÜRELER!A:B,2,0)</f>
        <v>Çerçeve Sol S211 SWL</v>
      </c>
      <c r="C679" s="43">
        <v>5</v>
      </c>
      <c r="D679" s="44"/>
      <c r="E679" s="45"/>
      <c r="G679" t="str">
        <f t="shared" si="12"/>
        <v>15006150061215</v>
      </c>
    </row>
    <row r="680" spans="1:7" ht="14.5" x14ac:dyDescent="0.35">
      <c r="A680" s="107" t="s">
        <v>4113</v>
      </c>
      <c r="B680" s="73" t="str">
        <f>VLOOKUP(A680,SÜRELER!A:B,2,0)</f>
        <v>Çerçeve Sağ S211 SWL</v>
      </c>
      <c r="C680" s="43">
        <v>5</v>
      </c>
      <c r="D680" s="44"/>
      <c r="E680" s="45"/>
      <c r="G680" t="str">
        <f t="shared" si="12"/>
        <v>15006150061216</v>
      </c>
    </row>
    <row r="681" spans="1:7" ht="14.5" x14ac:dyDescent="0.35">
      <c r="A681" s="107" t="s">
        <v>4114</v>
      </c>
      <c r="B681" s="73" t="str">
        <f>VLOOKUP(A681,SÜRELER!A:B,2,0)</f>
        <v>Yan refleks Sol S211 SWL</v>
      </c>
      <c r="C681" s="43">
        <v>5</v>
      </c>
      <c r="D681" s="44"/>
      <c r="E681" s="45"/>
      <c r="G681" t="str">
        <f t="shared" si="12"/>
        <v>15006150061217</v>
      </c>
    </row>
    <row r="682" spans="1:7" ht="14.5" x14ac:dyDescent="0.35">
      <c r="A682" s="107" t="s">
        <v>4115</v>
      </c>
      <c r="B682" s="73" t="str">
        <f>VLOOKUP(A682,SÜRELER!A:B,2,0)</f>
        <v>Yan refleks Sağ S211 SWL</v>
      </c>
      <c r="C682" s="43">
        <v>5</v>
      </c>
      <c r="D682" s="44"/>
      <c r="E682" s="45"/>
      <c r="G682" t="str">
        <f t="shared" si="12"/>
        <v>15006150061218</v>
      </c>
    </row>
    <row r="683" spans="1:7" ht="14.5" x14ac:dyDescent="0.35">
      <c r="A683" s="107" t="s">
        <v>4116</v>
      </c>
      <c r="B683" s="73" t="str">
        <f>VLOOKUP(A683,SÜRELER!A:B,2,0)</f>
        <v>Gövde Sol S211 HDL</v>
      </c>
      <c r="C683" s="43">
        <v>15</v>
      </c>
      <c r="D683" s="44"/>
      <c r="E683" s="45"/>
      <c r="G683" t="str">
        <f t="shared" si="12"/>
        <v>15006150061219</v>
      </c>
    </row>
    <row r="684" spans="1:7" ht="14.5" x14ac:dyDescent="0.35">
      <c r="A684" s="107" t="s">
        <v>4117</v>
      </c>
      <c r="B684" s="73" t="str">
        <f>VLOOKUP(A684,SÜRELER!A:B,2,0)</f>
        <v>Gövde Sağ S211 HDL</v>
      </c>
      <c r="C684" s="43">
        <v>15</v>
      </c>
      <c r="D684" s="44"/>
      <c r="E684" s="45"/>
      <c r="G684" t="str">
        <f t="shared" si="12"/>
        <v>15006150061220</v>
      </c>
    </row>
    <row r="685" spans="1:7" ht="14.5" x14ac:dyDescent="0.35">
      <c r="A685" s="107" t="s">
        <v>4118</v>
      </c>
      <c r="B685" s="73" t="str">
        <f>VLOOKUP(A685,SÜRELER!A:B,2,0)</f>
        <v>Çerçeve Sol S211 HDL</v>
      </c>
      <c r="C685" s="43">
        <v>5</v>
      </c>
      <c r="D685" s="44"/>
      <c r="E685" s="45"/>
      <c r="G685" t="str">
        <f t="shared" si="12"/>
        <v>15006150061221</v>
      </c>
    </row>
    <row r="686" spans="1:7" ht="14.5" x14ac:dyDescent="0.35">
      <c r="A686" s="107" t="s">
        <v>4119</v>
      </c>
      <c r="B686" s="73" t="str">
        <f>VLOOKUP(A686,SÜRELER!A:B,2,0)</f>
        <v>Çerçeve Sağ S211 HDL</v>
      </c>
      <c r="C686" s="43">
        <v>5</v>
      </c>
      <c r="D686" s="44"/>
      <c r="E686" s="45"/>
      <c r="G686" t="str">
        <f t="shared" si="12"/>
        <v>15006150061222</v>
      </c>
    </row>
    <row r="687" spans="1:7" ht="14.5" x14ac:dyDescent="0.35">
      <c r="A687" s="107" t="s">
        <v>4120</v>
      </c>
      <c r="B687" s="73" t="str">
        <f>VLOOKUP(A687,SÜRELER!A:B,2,0)</f>
        <v>Refleks Sol S211 HDL</v>
      </c>
      <c r="C687" s="43">
        <v>5</v>
      </c>
      <c r="D687" s="44"/>
      <c r="E687" s="45"/>
      <c r="G687" t="str">
        <f t="shared" si="12"/>
        <v>15006150061223</v>
      </c>
    </row>
    <row r="688" spans="1:7" ht="14.5" x14ac:dyDescent="0.35">
      <c r="A688" s="107" t="s">
        <v>4121</v>
      </c>
      <c r="B688" s="73" t="str">
        <f>VLOOKUP(A688,SÜRELER!A:B,2,0)</f>
        <v>Refleks Sag S211 HDL</v>
      </c>
      <c r="C688" s="43">
        <v>5</v>
      </c>
      <c r="D688" s="44"/>
      <c r="E688" s="45"/>
      <c r="G688" t="str">
        <f t="shared" si="12"/>
        <v>15006150061224</v>
      </c>
    </row>
    <row r="689" spans="1:7" ht="14.5" x14ac:dyDescent="0.35">
      <c r="A689" s="107" t="s">
        <v>4122</v>
      </c>
      <c r="B689" s="73" t="str">
        <f>VLOOKUP(A689,SÜRELER!A:B,2,0)</f>
        <v>Reflektör W169 Sol</v>
      </c>
      <c r="C689" s="43">
        <v>8</v>
      </c>
      <c r="D689" s="44"/>
      <c r="E689" s="45"/>
      <c r="G689" t="str">
        <f t="shared" si="12"/>
        <v>15006150061225</v>
      </c>
    </row>
    <row r="690" spans="1:7" ht="14.5" x14ac:dyDescent="0.35">
      <c r="A690" s="107" t="s">
        <v>4123</v>
      </c>
      <c r="B690" s="73" t="str">
        <f>VLOOKUP(A690,SÜRELER!A:B,2,0)</f>
        <v>Reflektör W169 Sağ</v>
      </c>
      <c r="C690" s="43">
        <v>8</v>
      </c>
      <c r="D690" s="44"/>
      <c r="E690" s="45"/>
      <c r="G690" t="str">
        <f t="shared" si="12"/>
        <v>15006150061226</v>
      </c>
    </row>
    <row r="691" spans="1:7" ht="14.5" x14ac:dyDescent="0.35">
      <c r="A691" s="107" t="s">
        <v>4124</v>
      </c>
      <c r="B691" s="73" t="str">
        <f>VLOOKUP(A691,SÜRELER!A:B,2,0)</f>
        <v>optik lens ZAFIRA sol BL/SL</v>
      </c>
      <c r="C691" s="43">
        <v>10</v>
      </c>
      <c r="D691" s="44"/>
      <c r="E691" s="45"/>
      <c r="G691" t="str">
        <f t="shared" si="12"/>
        <v>15006150061227</v>
      </c>
    </row>
    <row r="692" spans="1:7" ht="14.5" x14ac:dyDescent="0.35">
      <c r="A692" s="107" t="s">
        <v>4125</v>
      </c>
      <c r="B692" s="73" t="str">
        <f>VLOOKUP(A692,SÜRELER!A:B,2,0)</f>
        <v>optik lens ZAFIRA sağ BL/SL (Küçük)</v>
      </c>
      <c r="C692" s="43">
        <v>10</v>
      </c>
      <c r="D692" s="44"/>
      <c r="E692" s="45"/>
      <c r="G692" t="str">
        <f t="shared" si="12"/>
        <v>15006150061228</v>
      </c>
    </row>
    <row r="693" spans="1:7" ht="14.5" x14ac:dyDescent="0.35">
      <c r="A693" s="107" t="s">
        <v>4126</v>
      </c>
      <c r="B693" s="73" t="str">
        <f>VLOOKUP(A693,SÜRELER!A:B,2,0)</f>
        <v>Reflektör ZAFIRA sol</v>
      </c>
      <c r="C693" s="43">
        <v>25</v>
      </c>
      <c r="D693" s="44"/>
      <c r="E693" s="45"/>
      <c r="G693" t="str">
        <f t="shared" si="12"/>
        <v>15006150061229</v>
      </c>
    </row>
    <row r="694" spans="1:7" ht="14.5" x14ac:dyDescent="0.35">
      <c r="A694" s="107" t="s">
        <v>4127</v>
      </c>
      <c r="B694" s="73" t="str">
        <f>VLOOKUP(A694,SÜRELER!A:B,2,0)</f>
        <v>Reflektör ZAFIRA sağ</v>
      </c>
      <c r="C694" s="43">
        <v>25</v>
      </c>
      <c r="D694" s="44"/>
      <c r="E694" s="45"/>
      <c r="G694" t="str">
        <f t="shared" si="12"/>
        <v>15006150061230</v>
      </c>
    </row>
    <row r="695" spans="1:7" ht="14.5" x14ac:dyDescent="0.35">
      <c r="A695" s="107" t="s">
        <v>4128</v>
      </c>
      <c r="B695" s="73" t="str">
        <f>VLOOKUP(A695,SÜRELER!A:B,2,0)</f>
        <v>Gövde ZAFIRA sol</v>
      </c>
      <c r="C695" s="43">
        <v>10</v>
      </c>
      <c r="D695" s="44"/>
      <c r="E695" s="45"/>
      <c r="G695" t="str">
        <f t="shared" si="12"/>
        <v>15006150061231</v>
      </c>
    </row>
    <row r="696" spans="1:7" ht="14.5" x14ac:dyDescent="0.35">
      <c r="A696" s="107" t="s">
        <v>4129</v>
      </c>
      <c r="B696" s="73" t="str">
        <f>VLOOKUP(A696,SÜRELER!A:B,2,0)</f>
        <v>Gövde ZAFIRA sağ</v>
      </c>
      <c r="C696" s="43">
        <v>10</v>
      </c>
      <c r="D696" s="44"/>
      <c r="E696" s="45"/>
      <c r="G696" t="str">
        <f t="shared" si="12"/>
        <v>15006150061232</v>
      </c>
    </row>
    <row r="697" spans="1:7" ht="14.5" x14ac:dyDescent="0.35">
      <c r="A697" s="107" t="s">
        <v>4130</v>
      </c>
      <c r="B697" s="73" t="str">
        <f>VLOOKUP(A697,SÜRELER!A:B,2,0)</f>
        <v>Çerçeve ZAFIRA sol</v>
      </c>
      <c r="C697" s="43">
        <v>5</v>
      </c>
      <c r="D697" s="44"/>
      <c r="E697" s="45"/>
      <c r="G697" t="str">
        <f t="shared" si="12"/>
        <v>15006150061233</v>
      </c>
    </row>
    <row r="698" spans="1:7" ht="14.5" x14ac:dyDescent="0.35">
      <c r="A698" s="107" t="s">
        <v>4131</v>
      </c>
      <c r="B698" s="73" t="str">
        <f>VLOOKUP(A698,SÜRELER!A:B,2,0)</f>
        <v>Çerçeve ZAFIRA sağ</v>
      </c>
      <c r="C698" s="43">
        <v>5</v>
      </c>
      <c r="D698" s="44"/>
      <c r="E698" s="45"/>
      <c r="G698" t="str">
        <f t="shared" si="12"/>
        <v>15006150061234</v>
      </c>
    </row>
    <row r="699" spans="1:7" ht="14.5" x14ac:dyDescent="0.35">
      <c r="A699" s="107" t="s">
        <v>4132</v>
      </c>
      <c r="B699" s="73" t="str">
        <f>VLOOKUP(A699,SÜRELER!A:B,2,0)</f>
        <v>Plastik,Reflektör,Sol,Bagaj,L38</v>
      </c>
      <c r="C699" s="43">
        <v>0</v>
      </c>
      <c r="D699" s="44"/>
      <c r="E699" s="45"/>
      <c r="G699" t="str">
        <f t="shared" si="12"/>
        <v>15006150061235</v>
      </c>
    </row>
    <row r="700" spans="1:7" ht="14.5" x14ac:dyDescent="0.35">
      <c r="A700" s="107" t="s">
        <v>4133</v>
      </c>
      <c r="B700" s="73" t="str">
        <f>VLOOKUP(A700,SÜRELER!A:B,2,0)</f>
        <v>Plastik,Reflektör,Sol,Bagaj,L38,Sağ Direksiyon</v>
      </c>
      <c r="C700" s="43">
        <v>5</v>
      </c>
      <c r="D700" s="44"/>
      <c r="E700" s="45"/>
      <c r="G700" t="str">
        <f t="shared" si="12"/>
        <v>15006150061236</v>
      </c>
    </row>
    <row r="701" spans="1:7" ht="14.5" x14ac:dyDescent="0.35">
      <c r="A701" s="107" t="s">
        <v>4134</v>
      </c>
      <c r="B701" s="73" t="str">
        <f>VLOOKUP(A701,SÜRELER!A:B,2,0)</f>
        <v>Plastik,Reflektör,Sağ,Bagaj,L38</v>
      </c>
      <c r="C701" s="43">
        <v>0</v>
      </c>
      <c r="D701" s="44"/>
      <c r="E701" s="45"/>
      <c r="G701" t="str">
        <f t="shared" si="12"/>
        <v>15006150061237</v>
      </c>
    </row>
    <row r="702" spans="1:7" ht="14.5" x14ac:dyDescent="0.35">
      <c r="A702" s="107" t="s">
        <v>4135</v>
      </c>
      <c r="B702" s="73" t="str">
        <f>VLOOKUP(A702,SÜRELER!A:B,2,0)</f>
        <v>Plastik,Reflektör,Sol,Çamurluk,L38</v>
      </c>
      <c r="C702" s="43">
        <v>8</v>
      </c>
      <c r="D702" s="44"/>
      <c r="E702" s="45"/>
      <c r="G702" t="str">
        <f t="shared" si="12"/>
        <v>15006150061238</v>
      </c>
    </row>
    <row r="703" spans="1:7" ht="14.5" x14ac:dyDescent="0.35">
      <c r="A703" s="107" t="s">
        <v>4136</v>
      </c>
      <c r="B703" s="73" t="str">
        <f>VLOOKUP(A703,SÜRELER!A:B,2,0)</f>
        <v>Plastik,Reflektör,Sağ,Çamurluk,L38</v>
      </c>
      <c r="C703" s="43">
        <v>8</v>
      </c>
      <c r="D703" s="44"/>
      <c r="E703" s="45"/>
      <c r="G703" t="str">
        <f t="shared" si="12"/>
        <v>15006150061239</v>
      </c>
    </row>
    <row r="704" spans="1:7" ht="14.5" x14ac:dyDescent="0.35">
      <c r="A704" s="107" t="s">
        <v>4137</v>
      </c>
      <c r="B704" s="73" t="str">
        <f>VLOOKUP(A704,SÜRELER!A:B,2,0)</f>
        <v>İç Lens,Sol,Stop,Çamurluk,L38</v>
      </c>
      <c r="C704" s="43">
        <v>8</v>
      </c>
      <c r="D704" s="44"/>
      <c r="E704" s="45"/>
      <c r="G704" t="str">
        <f t="shared" si="12"/>
        <v>15006150061240</v>
      </c>
    </row>
    <row r="705" spans="1:7" ht="14.5" x14ac:dyDescent="0.35">
      <c r="A705" s="107" t="s">
        <v>4138</v>
      </c>
      <c r="B705" s="73" t="str">
        <f>VLOOKUP(A705,SÜRELER!A:B,2,0)</f>
        <v>İç Lens,Sağ,Stop,Çamurluk,L38</v>
      </c>
      <c r="C705" s="43">
        <v>8</v>
      </c>
      <c r="D705" s="44"/>
      <c r="E705" s="45"/>
      <c r="G705" t="str">
        <f t="shared" si="12"/>
        <v>15006150061241</v>
      </c>
    </row>
    <row r="706" spans="1:7" ht="14.5" x14ac:dyDescent="0.35">
      <c r="A706" s="107" t="s">
        <v>4139</v>
      </c>
      <c r="B706" s="73" t="str">
        <f>VLOOKUP(A706,SÜRELER!A:B,2,0)</f>
        <v>Yan Çıta,Sol,Çamurluk,L38,ASK</v>
      </c>
      <c r="C706" s="43">
        <v>8</v>
      </c>
      <c r="D706" s="44"/>
      <c r="E706" s="45"/>
      <c r="G706" t="str">
        <f t="shared" si="12"/>
        <v>15006150061242</v>
      </c>
    </row>
    <row r="707" spans="1:7" ht="14.5" x14ac:dyDescent="0.35">
      <c r="A707" s="107" t="s">
        <v>4140</v>
      </c>
      <c r="B707" s="73" t="str">
        <f>VLOOKUP(A707,SÜRELER!A:B,2,0)</f>
        <v>Yan Çıta,Sağ,Çamurluk,L38,ASK</v>
      </c>
      <c r="C707" s="43">
        <v>8</v>
      </c>
      <c r="D707" s="44"/>
      <c r="E707" s="45"/>
      <c r="G707" t="str">
        <f t="shared" si="12"/>
        <v>15006150061243</v>
      </c>
    </row>
    <row r="708" spans="1:7" ht="14.5" x14ac:dyDescent="0.35">
      <c r="A708" s="107" t="s">
        <v>4141</v>
      </c>
      <c r="B708" s="73" t="str">
        <f>VLOOKUP(A708,SÜRELER!A:B,2,0)</f>
        <v>Gövde Sol,KC4,ASK</v>
      </c>
      <c r="C708" s="43">
        <v>8</v>
      </c>
      <c r="D708" s="44"/>
      <c r="E708" s="45"/>
      <c r="G708" t="str">
        <f t="shared" si="12"/>
        <v>15006150061244</v>
      </c>
    </row>
    <row r="709" spans="1:7" ht="14.5" x14ac:dyDescent="0.35">
      <c r="A709" s="107" t="s">
        <v>4142</v>
      </c>
      <c r="B709" s="73" t="str">
        <f>VLOOKUP(A709,SÜRELER!A:B,2,0)</f>
        <v>Gövde Sağ,KC4,ASK</v>
      </c>
      <c r="C709" s="43">
        <v>8</v>
      </c>
      <c r="D709" s="44"/>
      <c r="E709" s="45"/>
      <c r="G709" t="str">
        <f t="shared" si="12"/>
        <v>15006150061245</v>
      </c>
    </row>
    <row r="710" spans="1:7" ht="14.5" x14ac:dyDescent="0.35">
      <c r="A710" s="107" t="s">
        <v>4143</v>
      </c>
      <c r="B710" s="73" t="str">
        <f>VLOOKUP(A710,SÜRELER!A:B,2,0)</f>
        <v>Gövde Sol,NC-4,ASK</v>
      </c>
      <c r="C710" s="43">
        <v>8</v>
      </c>
      <c r="D710" s="44"/>
      <c r="E710" s="45"/>
      <c r="G710" t="str">
        <f t="shared" si="12"/>
        <v>15006150061246</v>
      </c>
    </row>
    <row r="711" spans="1:7" ht="14.5" x14ac:dyDescent="0.35">
      <c r="A711" s="107" t="s">
        <v>4144</v>
      </c>
      <c r="B711" s="73" t="str">
        <f>VLOOKUP(A711,SÜRELER!A:B,2,0)</f>
        <v>Gövde Sağ,NC-4,ASK</v>
      </c>
      <c r="C711" s="43">
        <v>8</v>
      </c>
      <c r="D711" s="44"/>
      <c r="E711" s="45"/>
      <c r="G711" t="str">
        <f t="shared" si="12"/>
        <v>15006150061247</v>
      </c>
    </row>
    <row r="712" spans="1:7" ht="14.5" x14ac:dyDescent="0.35">
      <c r="A712" s="107" t="s">
        <v>4145</v>
      </c>
      <c r="B712" s="73" t="str">
        <f>VLOOKUP(A712,SÜRELER!A:B,2,0)</f>
        <v>Gövde Sol,Setra ASK</v>
      </c>
      <c r="C712" s="43">
        <v>8</v>
      </c>
      <c r="D712" s="44"/>
      <c r="E712" s="45"/>
      <c r="G712" t="str">
        <f t="shared" si="12"/>
        <v>15006150061248</v>
      </c>
    </row>
    <row r="713" spans="1:7" ht="14.5" x14ac:dyDescent="0.35">
      <c r="A713" s="107" t="s">
        <v>4146</v>
      </c>
      <c r="B713" s="73" t="str">
        <f>VLOOKUP(A713,SÜRELER!A:B,2,0)</f>
        <v>Gövde Sağ,Setra ASK</v>
      </c>
      <c r="C713" s="43">
        <v>8</v>
      </c>
      <c r="D713" s="44"/>
      <c r="E713" s="45"/>
      <c r="G713" t="str">
        <f t="shared" si="12"/>
        <v>15006150061249</v>
      </c>
    </row>
    <row r="714" spans="1:7" ht="14.5" x14ac:dyDescent="0.35">
      <c r="A714" s="107" t="s">
        <v>4147</v>
      </c>
      <c r="B714" s="73" t="str">
        <f>VLOOKUP(A714,SÜRELER!A:B,2,0)</f>
        <v>Gövde Üst,Delikli,Mercekli Far</v>
      </c>
      <c r="C714" s="43">
        <v>5</v>
      </c>
      <c r="D714" s="44"/>
      <c r="E714" s="45"/>
      <c r="G714" t="str">
        <f t="shared" si="12"/>
        <v>15006150061250</v>
      </c>
    </row>
    <row r="715" spans="1:7" ht="14.5" x14ac:dyDescent="0.35">
      <c r="A715" s="107" t="s">
        <v>3436</v>
      </c>
      <c r="B715" s="73" t="str">
        <f>VLOOKUP(A715,SÜRELER!A:B,2,0)</f>
        <v>Gövde Alt,Tırnaklı,Mercekli Far</v>
      </c>
      <c r="C715" s="43">
        <v>5</v>
      </c>
      <c r="D715" s="44"/>
      <c r="E715" s="45"/>
      <c r="G715" t="str">
        <f t="shared" si="12"/>
        <v>15006150061251</v>
      </c>
    </row>
    <row r="716" spans="1:7" ht="14.5" x14ac:dyDescent="0.35">
      <c r="A716" s="107" t="s">
        <v>4148</v>
      </c>
      <c r="B716" s="73" t="str">
        <f>VLOOKUP(A716,SÜRELER!A:B,2,0)</f>
        <v>Gövde Alt,Tırnaklı,12V,Ayar Motorlu,Mercekli Far</v>
      </c>
      <c r="C716" s="43">
        <v>5</v>
      </c>
      <c r="D716" s="44"/>
      <c r="E716" s="45"/>
      <c r="G716" t="str">
        <f t="shared" si="12"/>
        <v>15006150061252</v>
      </c>
    </row>
    <row r="717" spans="1:7" ht="14.5" x14ac:dyDescent="0.35">
      <c r="A717" s="107" t="s">
        <v>4149</v>
      </c>
      <c r="B717" s="73" t="str">
        <f>VLOOKUP(A717,SÜRELER!A:B,2,0)</f>
        <v>Ara Çerçeve,Mercekli Far</v>
      </c>
      <c r="C717" s="43">
        <v>8</v>
      </c>
      <c r="D717" s="44"/>
      <c r="E717" s="45"/>
      <c r="G717" t="str">
        <f t="shared" si="12"/>
        <v>15006150061253</v>
      </c>
    </row>
    <row r="718" spans="1:7" ht="14.5" x14ac:dyDescent="0.35">
      <c r="A718" s="107" t="s">
        <v>4150</v>
      </c>
      <c r="B718" s="73" t="str">
        <f>VLOOKUP(A718,SÜRELER!A:B,2,0)</f>
        <v>Gövde Üst,Mercekli Far</v>
      </c>
      <c r="C718" s="43">
        <v>5</v>
      </c>
      <c r="D718" s="44"/>
      <c r="E718" s="45"/>
      <c r="G718" t="str">
        <f t="shared" si="12"/>
        <v>15006150061254</v>
      </c>
    </row>
    <row r="719" spans="1:7" ht="14.5" x14ac:dyDescent="0.35">
      <c r="A719" s="107" t="s">
        <v>3437</v>
      </c>
      <c r="B719" s="73" t="str">
        <f>VLOOKUP(A719,SÜRELER!A:B,2,0)</f>
        <v>Gövde Üst,Kısa Hüzme,Plakalı,Mercekli Far</v>
      </c>
      <c r="C719" s="43">
        <v>5</v>
      </c>
      <c r="D719" s="44"/>
      <c r="E719" s="45"/>
      <c r="G719" t="str">
        <f t="shared" si="12"/>
        <v>15006150061255</v>
      </c>
    </row>
    <row r="720" spans="1:7" ht="14.5" x14ac:dyDescent="0.35">
      <c r="A720" s="107" t="s">
        <v>4151</v>
      </c>
      <c r="B720" s="73" t="str">
        <f>VLOOKUP(A720,SÜRELER!A:B,2,0)</f>
        <v>Gövde Üst,Kısa Hüzme,Ledli,Mercekli Far</v>
      </c>
      <c r="C720" s="43">
        <v>5</v>
      </c>
      <c r="D720" s="44"/>
      <c r="E720" s="45"/>
      <c r="G720" t="str">
        <f t="shared" si="12"/>
        <v>15006150061256</v>
      </c>
    </row>
    <row r="721" spans="1:7" ht="14.5" x14ac:dyDescent="0.35">
      <c r="A721" s="107" t="s">
        <v>4152</v>
      </c>
      <c r="B721" s="73" t="str">
        <f>VLOOKUP(A721,SÜRELER!A:B,2,0)</f>
        <v>Gövde Alt,Tırnaklı,Komple,24V,Ayar Motorlu,Mercekli Far</v>
      </c>
      <c r="C721" s="43">
        <v>5</v>
      </c>
      <c r="D721" s="44"/>
      <c r="E721" s="45"/>
      <c r="G721" t="str">
        <f t="shared" si="12"/>
        <v>15006150061257</v>
      </c>
    </row>
    <row r="722" spans="1:7" ht="14.5" x14ac:dyDescent="0.35">
      <c r="A722" s="107" t="s">
        <v>4153</v>
      </c>
      <c r="B722" s="73" t="str">
        <f>VLOOKUP(A722,SÜRELER!A:B,2,0)</f>
        <v>Ara Çerçeve,Led Delikli,Mercekli Far</v>
      </c>
      <c r="C722" s="43">
        <v>8</v>
      </c>
      <c r="D722" s="44"/>
      <c r="E722" s="45"/>
      <c r="G722" t="str">
        <f t="shared" si="12"/>
        <v>15006150061258</v>
      </c>
    </row>
    <row r="723" spans="1:7" ht="14.5" x14ac:dyDescent="0.35">
      <c r="A723" s="107" t="s">
        <v>4154</v>
      </c>
      <c r="B723" s="73" t="str">
        <f>VLOOKUP(A723,SÜRELER!A:B,2,0)</f>
        <v>Ara Çerçeve,Led Delikli,Kapsız,Mercekli Far</v>
      </c>
      <c r="C723" s="43">
        <v>8</v>
      </c>
      <c r="D723" s="44"/>
      <c r="E723" s="45"/>
      <c r="G723" t="str">
        <f t="shared" si="12"/>
        <v>15006150061259</v>
      </c>
    </row>
    <row r="724" spans="1:7" ht="14.5" x14ac:dyDescent="0.35">
      <c r="A724" s="107" t="s">
        <v>4155</v>
      </c>
      <c r="B724" s="73" t="str">
        <f>VLOOKUP(A724,SÜRELER!A:B,2,0)</f>
        <v>Reflektör,Ø 180 Vidali,Psiz</v>
      </c>
      <c r="C724" s="43">
        <v>5</v>
      </c>
      <c r="D724" s="44"/>
      <c r="E724" s="45"/>
      <c r="G724" t="str">
        <f t="shared" si="12"/>
        <v>15006150061260</v>
      </c>
    </row>
    <row r="725" spans="1:7" ht="14.5" x14ac:dyDescent="0.35">
      <c r="A725" s="107" t="s">
        <v>4156</v>
      </c>
      <c r="B725" s="73" t="str">
        <f>VLOOKUP(A725,SÜRELER!A:B,2,0)</f>
        <v>Ara Çerçeve,Uzun Hüzme,FB,Manuel</v>
      </c>
      <c r="C725" s="43">
        <v>5</v>
      </c>
      <c r="D725" s="44"/>
      <c r="E725" s="45"/>
      <c r="G725" t="str">
        <f t="shared" si="12"/>
        <v>15006150061261</v>
      </c>
    </row>
    <row r="726" spans="1:7" ht="14.5" x14ac:dyDescent="0.35">
      <c r="A726" s="107" t="s">
        <v>4157</v>
      </c>
      <c r="B726" s="73" t="str">
        <f>VLOOKUP(A726,SÜRELER!A:B,2,0)</f>
        <v>Lens Tutucu,FB</v>
      </c>
      <c r="C726" s="43">
        <v>5</v>
      </c>
      <c r="D726" s="44"/>
      <c r="E726" s="45"/>
      <c r="G726" t="str">
        <f t="shared" si="12"/>
        <v>15006150061262</v>
      </c>
    </row>
    <row r="727" spans="1:7" ht="14.5" x14ac:dyDescent="0.35">
      <c r="A727" s="107" t="s">
        <v>4158</v>
      </c>
      <c r="B727" s="73" t="str">
        <f>VLOOKUP(A727,SÜRELER!A:B,2,0)</f>
        <v>Dış Lens,Led,Enj.Baskı,Mercekli Far</v>
      </c>
      <c r="C727" s="43">
        <v>10</v>
      </c>
      <c r="D727" s="44"/>
      <c r="E727" s="45"/>
      <c r="G727" t="str">
        <f t="shared" si="12"/>
        <v>15006150061263</v>
      </c>
    </row>
    <row r="728" spans="1:7" ht="14.5" x14ac:dyDescent="0.35">
      <c r="A728" s="107" t="s">
        <v>4159</v>
      </c>
      <c r="B728" s="73" t="str">
        <f>VLOOKUP(A728,SÜRELER!A:B,2,0)</f>
        <v>Ara Çerçeve,Kısa Hüzme,FB</v>
      </c>
      <c r="C728" s="43">
        <v>5</v>
      </c>
      <c r="D728" s="44"/>
      <c r="E728" s="45"/>
      <c r="G728" t="str">
        <f t="shared" ref="G728:G791" si="13">CONCATENATE($F$471,A728,)</f>
        <v>15006150061264</v>
      </c>
    </row>
    <row r="729" spans="1:7" ht="14.5" x14ac:dyDescent="0.35">
      <c r="A729" s="107" t="s">
        <v>4160</v>
      </c>
      <c r="B729" s="73" t="str">
        <f>VLOOKUP(A729,SÜRELER!A:B,2,0)</f>
        <v>Gövde Alt,Tırnaklı,Mercekli Far (1251 kalıbı)</v>
      </c>
      <c r="C729" s="43">
        <v>5</v>
      </c>
      <c r="D729" s="44"/>
      <c r="E729" s="45"/>
      <c r="G729" t="str">
        <f t="shared" si="13"/>
        <v>15006150061265</v>
      </c>
    </row>
    <row r="730" spans="1:7" ht="14.5" x14ac:dyDescent="0.35">
      <c r="A730" s="107" t="s">
        <v>4161</v>
      </c>
      <c r="B730" s="73" t="str">
        <f>VLOOKUP(A730,SÜRELER!A:B,2,0)</f>
        <v>Gövde Alt,Tırnaklı,12V,A.Mot.Merc.Far (1252 Kalıbı)</v>
      </c>
      <c r="C730" s="43"/>
      <c r="D730" s="44"/>
      <c r="E730" s="45"/>
      <c r="G730" t="str">
        <f t="shared" si="13"/>
        <v>15006150061266</v>
      </c>
    </row>
    <row r="731" spans="1:7" ht="14.5" x14ac:dyDescent="0.35">
      <c r="A731" s="107" t="s">
        <v>4162</v>
      </c>
      <c r="B731" s="73" t="str">
        <f>VLOOKUP(A731,SÜRELER!A:B,2,0)</f>
        <v>Gövde Alt,Tırnaklı,24V,A.Mot.Merc.Far (1257 Kalıbı)</v>
      </c>
      <c r="C731" s="43"/>
      <c r="D731" s="44"/>
      <c r="E731" s="45"/>
      <c r="G731" t="str">
        <f t="shared" si="13"/>
        <v>15006150061267</v>
      </c>
    </row>
    <row r="732" spans="1:7" ht="14.5" x14ac:dyDescent="0.35">
      <c r="A732" s="107" t="s">
        <v>4163</v>
      </c>
      <c r="B732" s="73" t="str">
        <f>VLOOKUP(A732,SÜRELER!A:B,2,0)</f>
        <v>Gövde Sol,Sinyal+Pozisyon,Otokar</v>
      </c>
      <c r="C732" s="43">
        <v>5</v>
      </c>
      <c r="D732" s="44"/>
      <c r="E732" s="45"/>
      <c r="G732" t="str">
        <f t="shared" si="13"/>
        <v>15006150061268</v>
      </c>
    </row>
    <row r="733" spans="1:7" ht="14.5" x14ac:dyDescent="0.35">
      <c r="A733" s="107" t="s">
        <v>4164</v>
      </c>
      <c r="B733" s="73" t="str">
        <f>VLOOKUP(A733,SÜRELER!A:B,2,0)</f>
        <v>Gövde Sağ,Sinyal+Pozisyon,Otokar</v>
      </c>
      <c r="C733" s="43">
        <v>5</v>
      </c>
      <c r="D733" s="44"/>
      <c r="E733" s="45"/>
      <c r="G733" t="str">
        <f t="shared" si="13"/>
        <v>15006150061269</v>
      </c>
    </row>
    <row r="734" spans="1:7" ht="14.5" x14ac:dyDescent="0.35">
      <c r="A734" s="107" t="s">
        <v>4165</v>
      </c>
      <c r="B734" s="73" t="str">
        <f>VLOOKUP(A734,SÜRELER!A:B,2,0)</f>
        <v>Reflektör Sol,Sinyal+Pozisyon,Otokar</v>
      </c>
      <c r="C734" s="43">
        <v>5</v>
      </c>
      <c r="D734" s="44"/>
      <c r="E734" s="45"/>
      <c r="G734" t="str">
        <f t="shared" si="13"/>
        <v>15006150061270</v>
      </c>
    </row>
    <row r="735" spans="1:7" ht="14.5" x14ac:dyDescent="0.35">
      <c r="A735" s="107" t="s">
        <v>4166</v>
      </c>
      <c r="B735" s="73" t="str">
        <f>VLOOKUP(A735,SÜRELER!A:B,2,0)</f>
        <v>Reflektör Sağ,Sinyal+Pozisyon,Otokar</v>
      </c>
      <c r="C735" s="43">
        <v>5</v>
      </c>
      <c r="D735" s="44"/>
      <c r="E735" s="45"/>
      <c r="G735" t="str">
        <f t="shared" si="13"/>
        <v>15006150061271</v>
      </c>
    </row>
    <row r="736" spans="1:7" ht="14.5" x14ac:dyDescent="0.35">
      <c r="A736" s="107" t="s">
        <v>4167</v>
      </c>
      <c r="B736" s="73" t="str">
        <f>VLOOKUP(A736,SÜRELER!A:B,2,0)</f>
        <v>Lens Sol,Sinyal+Pozisyon,Otokar</v>
      </c>
      <c r="C736" s="43">
        <v>10</v>
      </c>
      <c r="D736" s="44"/>
      <c r="E736" s="45"/>
      <c r="G736" t="str">
        <f t="shared" si="13"/>
        <v>15006150061272</v>
      </c>
    </row>
    <row r="737" spans="1:7" ht="14.5" x14ac:dyDescent="0.35">
      <c r="A737" s="107" t="s">
        <v>4168</v>
      </c>
      <c r="B737" s="73" t="str">
        <f>VLOOKUP(A737,SÜRELER!A:B,2,0)</f>
        <v>Lens Sağ,Sinyal+Pozisyon,Otokar</v>
      </c>
      <c r="C737" s="43">
        <v>10</v>
      </c>
      <c r="D737" s="44"/>
      <c r="E737" s="45"/>
      <c r="G737" t="str">
        <f t="shared" si="13"/>
        <v>15006150061273</v>
      </c>
    </row>
    <row r="738" spans="1:7" ht="14.5" x14ac:dyDescent="0.35">
      <c r="A738" s="107" t="s">
        <v>4169</v>
      </c>
      <c r="B738" s="73" t="str">
        <f>VLOOKUP(A738,SÜRELER!A:B,2,0)</f>
        <v>Kapsül</v>
      </c>
      <c r="C738" s="43">
        <v>5</v>
      </c>
      <c r="D738" s="44"/>
      <c r="E738" s="45"/>
      <c r="G738" t="str">
        <f t="shared" si="13"/>
        <v>15006150061274</v>
      </c>
    </row>
    <row r="739" spans="1:7" ht="14.5" x14ac:dyDescent="0.35">
      <c r="A739" s="107" t="s">
        <v>4170</v>
      </c>
      <c r="B739" s="73" t="str">
        <f>VLOOKUP(A739,SÜRELER!A:B,2,0)</f>
        <v>Dış Lens Ø55 Ayg Şeffaf</v>
      </c>
      <c r="C739" s="57">
        <v>10</v>
      </c>
      <c r="D739" s="58"/>
      <c r="E739" s="59"/>
      <c r="G739" t="str">
        <f t="shared" si="13"/>
        <v>15006150061275</v>
      </c>
    </row>
    <row r="740" spans="1:7" ht="14.5" x14ac:dyDescent="0.35">
      <c r="A740" s="107" t="s">
        <v>4171</v>
      </c>
      <c r="B740" s="73" t="str">
        <f>VLOOKUP(A740,SÜRELER!A:B,2,0)</f>
        <v>Reflektör Ø55 Ayg</v>
      </c>
      <c r="C740" s="57">
        <v>10</v>
      </c>
      <c r="D740" s="58"/>
      <c r="E740" s="59"/>
      <c r="G740" t="str">
        <f t="shared" si="13"/>
        <v>15006150061276</v>
      </c>
    </row>
    <row r="741" spans="1:7" ht="14.5" x14ac:dyDescent="0.35">
      <c r="A741" s="107" t="s">
        <v>4172</v>
      </c>
      <c r="B741" s="73" t="str">
        <f>VLOOKUP(A741,SÜRELER!A:B,2,0)</f>
        <v>Gövde Ø55 Ayg</v>
      </c>
      <c r="C741" s="57">
        <v>10</v>
      </c>
      <c r="D741" s="58"/>
      <c r="E741" s="59"/>
      <c r="G741" t="str">
        <f t="shared" si="13"/>
        <v>15006150061277</v>
      </c>
    </row>
    <row r="742" spans="1:7" ht="14.5" x14ac:dyDescent="0.35">
      <c r="A742" s="107" t="s">
        <v>4173</v>
      </c>
      <c r="B742" s="73" t="str">
        <f>VLOOKUP(A742,SÜRELER!A:B,2,0)</f>
        <v>Govde,Sol,Sis Ref.,681N ASK</v>
      </c>
      <c r="C742" s="57">
        <v>10</v>
      </c>
      <c r="D742" s="58"/>
      <c r="E742" s="59"/>
      <c r="G742" t="str">
        <f t="shared" si="13"/>
        <v>15006150061278</v>
      </c>
    </row>
    <row r="743" spans="1:7" ht="14.5" x14ac:dyDescent="0.35">
      <c r="A743" s="107" t="s">
        <v>4174</v>
      </c>
      <c r="B743" s="73" t="str">
        <f>VLOOKUP(A743,SÜRELER!A:B,2,0)</f>
        <v>Govde,Sag,681N ASK</v>
      </c>
      <c r="C743" s="57">
        <v>10</v>
      </c>
      <c r="D743" s="58"/>
      <c r="E743" s="59"/>
      <c r="G743" t="str">
        <f t="shared" si="13"/>
        <v>15006150061279</v>
      </c>
    </row>
    <row r="744" spans="1:7" ht="14.5" x14ac:dyDescent="0.35">
      <c r="A744" s="107" t="s">
        <v>4175</v>
      </c>
      <c r="B744" s="73" t="str">
        <f>VLOOKUP(A744,SÜRELER!A:B,2,0)</f>
        <v>Govde,Sol,Sol,Trafik,681N ASK</v>
      </c>
      <c r="C744" s="57">
        <v>10</v>
      </c>
      <c r="D744" s="58"/>
      <c r="E744" s="59"/>
      <c r="G744" t="str">
        <f t="shared" si="13"/>
        <v>15006150061280</v>
      </c>
    </row>
    <row r="745" spans="1:7" ht="14.5" x14ac:dyDescent="0.35">
      <c r="A745" s="107" t="s">
        <v>4176</v>
      </c>
      <c r="B745" s="73" t="str">
        <f>VLOOKUP(A745,SÜRELER!A:B,2,0)</f>
        <v>Govde,Sag,Sis Ref.Sol Trafik,681N ASK</v>
      </c>
      <c r="C745" s="57">
        <v>10</v>
      </c>
      <c r="D745" s="58"/>
      <c r="E745" s="59"/>
      <c r="G745" t="str">
        <f t="shared" si="13"/>
        <v>15006150061281</v>
      </c>
    </row>
    <row r="746" spans="1:7" ht="14.5" x14ac:dyDescent="0.35">
      <c r="A746" s="107" t="s">
        <v>4177</v>
      </c>
      <c r="B746" s="73" t="str">
        <f>VLOOKUP(A746,SÜRELER!A:B,2,0)</f>
        <v>Govde,Sol,Sol Direksiyon,374L ASK</v>
      </c>
      <c r="C746" s="57">
        <v>10</v>
      </c>
      <c r="D746" s="58"/>
      <c r="E746" s="59"/>
      <c r="G746" t="str">
        <f t="shared" si="13"/>
        <v>15006150061282</v>
      </c>
    </row>
    <row r="747" spans="1:7" ht="14.5" x14ac:dyDescent="0.35">
      <c r="A747" s="107" t="s">
        <v>4178</v>
      </c>
      <c r="B747" s="73" t="str">
        <f>VLOOKUP(A747,SÜRELER!A:B,2,0)</f>
        <v>Govde,Sag,Sol Direksiyon,374L ASK</v>
      </c>
      <c r="C747" s="57">
        <v>10</v>
      </c>
      <c r="D747" s="58"/>
      <c r="E747" s="59"/>
      <c r="G747" t="str">
        <f t="shared" si="13"/>
        <v>15006150061283</v>
      </c>
    </row>
    <row r="748" spans="1:7" ht="14.5" x14ac:dyDescent="0.35">
      <c r="A748" s="107" t="s">
        <v>4179</v>
      </c>
      <c r="B748" s="73" t="str">
        <f>VLOOKUP(A748,SÜRELER!A:B,2,0)</f>
        <v>Govde,Sol,Sag Direksiyon,374L ASK</v>
      </c>
      <c r="C748" s="57">
        <v>10</v>
      </c>
      <c r="D748" s="58"/>
      <c r="E748" s="59"/>
      <c r="G748" t="str">
        <f t="shared" si="13"/>
        <v>15006150061284</v>
      </c>
    </row>
    <row r="749" spans="1:7" ht="14.5" x14ac:dyDescent="0.35">
      <c r="A749" s="107" t="s">
        <v>4180</v>
      </c>
      <c r="B749" s="73" t="str">
        <f>VLOOKUP(A749,SÜRELER!A:B,2,0)</f>
        <v>Govde,Sag,Sag Direksiyon,374L ASK</v>
      </c>
      <c r="C749" s="57">
        <v>10</v>
      </c>
      <c r="D749" s="58"/>
      <c r="E749" s="59"/>
      <c r="G749" t="str">
        <f t="shared" si="13"/>
        <v>15006150061285</v>
      </c>
    </row>
    <row r="750" spans="1:7" ht="14.5" x14ac:dyDescent="0.35">
      <c r="A750" s="107" t="s">
        <v>4181</v>
      </c>
      <c r="B750" s="73" t="str">
        <f>VLOOKUP(A750,SÜRELER!A:B,2,0)</f>
        <v>Dıs Lens,Sol,466A ASK,Camurluk</v>
      </c>
      <c r="C750" s="57">
        <v>10</v>
      </c>
      <c r="D750" s="58"/>
      <c r="E750" s="59"/>
      <c r="G750" t="str">
        <f t="shared" si="13"/>
        <v>15006150061286</v>
      </c>
    </row>
    <row r="751" spans="1:7" ht="14.5" x14ac:dyDescent="0.35">
      <c r="A751" s="107" t="s">
        <v>4182</v>
      </c>
      <c r="B751" s="73" t="str">
        <f>VLOOKUP(A751,SÜRELER!A:B,2,0)</f>
        <v>Dıs Lens,Sag,466A ASK,Camurluk</v>
      </c>
      <c r="C751" s="57">
        <v>10</v>
      </c>
      <c r="D751" s="58"/>
      <c r="E751" s="59"/>
      <c r="G751" t="str">
        <f t="shared" si="13"/>
        <v>15006150061287</v>
      </c>
    </row>
    <row r="752" spans="1:7" ht="14.5" x14ac:dyDescent="0.35">
      <c r="A752" s="107" t="s">
        <v>4183</v>
      </c>
      <c r="B752" s="73" t="str">
        <f>VLOOKUP(A752,SÜRELER!A:B,2,0)</f>
        <v>Dıs Lens,Sol,147B,Camurluk</v>
      </c>
      <c r="C752" s="57">
        <v>10</v>
      </c>
      <c r="D752" s="58"/>
      <c r="E752" s="59"/>
      <c r="G752" t="str">
        <f t="shared" si="13"/>
        <v>15006150061288</v>
      </c>
    </row>
    <row r="753" spans="1:7" ht="14.5" x14ac:dyDescent="0.35">
      <c r="A753" s="107" t="s">
        <v>4184</v>
      </c>
      <c r="B753" s="73" t="str">
        <f>VLOOKUP(A753,SÜRELER!A:B,2,0)</f>
        <v>Dıs Lens,Sag,147B,Camurluk</v>
      </c>
      <c r="C753" s="57">
        <v>10</v>
      </c>
      <c r="D753" s="58"/>
      <c r="E753" s="59"/>
      <c r="G753" t="str">
        <f t="shared" si="13"/>
        <v>15006150061289</v>
      </c>
    </row>
    <row r="754" spans="1:7" ht="14.5" x14ac:dyDescent="0.35">
      <c r="A754" s="107" t="s">
        <v>4185</v>
      </c>
      <c r="B754" s="73" t="str">
        <f>VLOOKUP(A754,SÜRELER!A:B,2,0)</f>
        <v>Gövde Ön Sag,Side Marker,Ford</v>
      </c>
      <c r="C754" s="33">
        <v>3</v>
      </c>
      <c r="D754" s="34"/>
      <c r="E754" s="35"/>
      <c r="G754" t="str">
        <f t="shared" si="13"/>
        <v>15006150061292</v>
      </c>
    </row>
    <row r="755" spans="1:7" ht="14.5" x14ac:dyDescent="0.35">
      <c r="A755" s="107" t="s">
        <v>4186</v>
      </c>
      <c r="B755" s="73" t="str">
        <f>VLOOKUP(A755,SÜRELER!A:B,2,0)</f>
        <v>Gövde Ön Sol,Side Marker,Ford</v>
      </c>
      <c r="C755" s="33">
        <v>3</v>
      </c>
      <c r="D755" s="34"/>
      <c r="E755" s="35"/>
      <c r="G755" t="str">
        <f t="shared" si="13"/>
        <v>15006150061293</v>
      </c>
    </row>
    <row r="756" spans="1:7" ht="14.5" x14ac:dyDescent="0.35">
      <c r="A756" s="107" t="s">
        <v>4187</v>
      </c>
      <c r="B756" s="73" t="str">
        <f>VLOOKUP(A756,SÜRELER!A:B,2,0)</f>
        <v>Gövde Arka Sag,Side Marker,Ford</v>
      </c>
      <c r="C756" s="33">
        <v>3</v>
      </c>
      <c r="D756" s="34"/>
      <c r="E756" s="35"/>
      <c r="G756" t="str">
        <f t="shared" si="13"/>
        <v>15006150061294</v>
      </c>
    </row>
    <row r="757" spans="1:7" ht="14.5" x14ac:dyDescent="0.35">
      <c r="A757" s="107" t="s">
        <v>4188</v>
      </c>
      <c r="B757" s="73" t="str">
        <f>VLOOKUP(A757,SÜRELER!A:B,2,0)</f>
        <v>Gövde Arka Sol,Side Marker,Ford</v>
      </c>
      <c r="C757" s="33">
        <v>3</v>
      </c>
      <c r="D757" s="34"/>
      <c r="E757" s="35"/>
      <c r="G757" t="str">
        <f t="shared" si="13"/>
        <v>15006150061295</v>
      </c>
    </row>
    <row r="758" spans="1:7" ht="14.5" x14ac:dyDescent="0.35">
      <c r="A758" s="107" t="s">
        <v>4189</v>
      </c>
      <c r="B758" s="73" t="str">
        <f>VLOOKUP(A758,SÜRELER!A:B,2,0)</f>
        <v>Lens Ön Sağ,Side Marker,Turuncu,Ford</v>
      </c>
      <c r="C758" s="33">
        <v>5</v>
      </c>
      <c r="D758" s="34"/>
      <c r="E758" s="35"/>
      <c r="G758" t="str">
        <f t="shared" si="13"/>
        <v>15006150061296</v>
      </c>
    </row>
    <row r="759" spans="1:7" ht="14.5" x14ac:dyDescent="0.35">
      <c r="A759" s="107" t="s">
        <v>4190</v>
      </c>
      <c r="B759" s="73" t="str">
        <f>VLOOKUP(A759,SÜRELER!A:B,2,0)</f>
        <v>Lens Ön Sol,Side Marker,Turuncu,Ford</v>
      </c>
      <c r="C759" s="33">
        <v>5</v>
      </c>
      <c r="D759" s="34"/>
      <c r="E759" s="35"/>
      <c r="G759" t="str">
        <f t="shared" si="13"/>
        <v>15006150061297</v>
      </c>
    </row>
    <row r="760" spans="1:7" ht="14.5" x14ac:dyDescent="0.35">
      <c r="A760" s="107" t="s">
        <v>4191</v>
      </c>
      <c r="B760" s="73" t="str">
        <f>VLOOKUP(A760,SÜRELER!A:B,2,0)</f>
        <v>Lens Arka Sağ,Side Marker,Kırmızı,Ford</v>
      </c>
      <c r="C760" s="33">
        <v>5</v>
      </c>
      <c r="D760" s="34"/>
      <c r="E760" s="35"/>
      <c r="G760" t="str">
        <f t="shared" si="13"/>
        <v>15006150061298</v>
      </c>
    </row>
    <row r="761" spans="1:7" ht="14.5" x14ac:dyDescent="0.35">
      <c r="A761" s="107" t="s">
        <v>4192</v>
      </c>
      <c r="B761" s="73" t="str">
        <f>VLOOKUP(A761,SÜRELER!A:B,2,0)</f>
        <v>Lens Arka Sol,Side Marker,Kırmızı,Ford</v>
      </c>
      <c r="C761" s="33">
        <v>5</v>
      </c>
      <c r="D761" s="34"/>
      <c r="E761" s="35"/>
      <c r="G761" t="str">
        <f t="shared" si="13"/>
        <v>15006150061299</v>
      </c>
    </row>
    <row r="762" spans="1:7" ht="14.5" x14ac:dyDescent="0.35">
      <c r="A762" s="107" t="s">
        <v>4193</v>
      </c>
      <c r="B762" s="73" t="str">
        <f>VLOOKUP(A762,SÜRELER!A:B,2,0)</f>
        <v>Gövde,Sağ,Komple,V227TR.FACELIFT</v>
      </c>
      <c r="C762" s="33">
        <v>5</v>
      </c>
      <c r="D762" s="34"/>
      <c r="E762" s="35"/>
      <c r="G762" t="str">
        <f t="shared" si="13"/>
        <v>15006150061300</v>
      </c>
    </row>
    <row r="763" spans="1:7" ht="14.5" x14ac:dyDescent="0.35">
      <c r="A763" s="107" t="s">
        <v>4194</v>
      </c>
      <c r="B763" s="73" t="str">
        <f>VLOOKUP(A763,SÜRELER!A:B,2,0)</f>
        <v>Gövde,Sol,Komple,V227TR.FACELIFT</v>
      </c>
      <c r="C763" s="33">
        <v>5</v>
      </c>
      <c r="D763" s="34"/>
      <c r="E763" s="35"/>
      <c r="G763" t="str">
        <f t="shared" si="13"/>
        <v>15006150061301</v>
      </c>
    </row>
    <row r="764" spans="1:7" ht="14.5" x14ac:dyDescent="0.35">
      <c r="A764" s="107" t="s">
        <v>4195</v>
      </c>
      <c r="B764" s="73" t="str">
        <f>VLOOKUP(A764,SÜRELER!A:B,2,0)</f>
        <v>Petek,Sağ,V227 ASK,FACELIFT</v>
      </c>
      <c r="C764" s="33">
        <v>3</v>
      </c>
      <c r="D764" s="34"/>
      <c r="E764" s="35"/>
      <c r="G764" t="str">
        <f t="shared" si="13"/>
        <v>15006150061302</v>
      </c>
    </row>
    <row r="765" spans="1:7" ht="14.5" x14ac:dyDescent="0.35">
      <c r="A765" s="107" t="s">
        <v>4196</v>
      </c>
      <c r="B765" s="73" t="str">
        <f>VLOOKUP(A765,SÜRELER!A:B,2,0)</f>
        <v>Petek,Sol,V227 ASK,FACELIFT</v>
      </c>
      <c r="C765" s="33">
        <v>3</v>
      </c>
      <c r="D765" s="34"/>
      <c r="E765" s="35"/>
      <c r="G765" t="str">
        <f t="shared" si="13"/>
        <v>15006150061303</v>
      </c>
    </row>
    <row r="766" spans="1:7" ht="14.5" x14ac:dyDescent="0.35">
      <c r="A766" s="107" t="s">
        <v>4197</v>
      </c>
      <c r="B766" s="73" t="str">
        <f>VLOOKUP(A766,SÜRELER!A:B,2,0)</f>
        <v>İç lens,sağ,V227,FACELIFT</v>
      </c>
      <c r="C766" s="33">
        <v>10</v>
      </c>
      <c r="D766" s="34"/>
      <c r="E766" s="35"/>
      <c r="G766" t="str">
        <f t="shared" si="13"/>
        <v>15006150061304</v>
      </c>
    </row>
    <row r="767" spans="1:7" ht="14.5" x14ac:dyDescent="0.35">
      <c r="A767" s="107" t="s">
        <v>4198</v>
      </c>
      <c r="B767" s="73" t="str">
        <f>VLOOKUP(A767,SÜRELER!A:B,2,0)</f>
        <v>İç lens,sol,V227,FACELIFT</v>
      </c>
      <c r="C767" s="33">
        <v>10</v>
      </c>
      <c r="D767" s="34"/>
      <c r="E767" s="35"/>
      <c r="G767" t="str">
        <f t="shared" si="13"/>
        <v>15006150061305</v>
      </c>
    </row>
    <row r="768" spans="1:7" ht="14.5" x14ac:dyDescent="0.35">
      <c r="A768" s="107" t="s">
        <v>4199</v>
      </c>
      <c r="B768" s="73" t="str">
        <f>VLOOKUP(A768,SÜRELER!A:B,2,0)</f>
        <v>Gövde,Komple,Sağ,Çamurluk</v>
      </c>
      <c r="C768" s="33">
        <v>3</v>
      </c>
      <c r="D768" s="34"/>
      <c r="E768" s="35"/>
      <c r="G768" t="str">
        <f t="shared" si="13"/>
        <v>15006150061306</v>
      </c>
    </row>
    <row r="769" spans="1:7" ht="14.5" x14ac:dyDescent="0.35">
      <c r="A769" s="107" t="s">
        <v>4200</v>
      </c>
      <c r="B769" s="73" t="str">
        <f>VLOOKUP(A769,SÜRELER!A:B,2,0)</f>
        <v>Gövde,Komple,Sol,Çamurluk</v>
      </c>
      <c r="C769" s="33">
        <v>3</v>
      </c>
      <c r="D769" s="34"/>
      <c r="E769" s="35"/>
      <c r="G769" t="str">
        <f t="shared" si="13"/>
        <v>15006150061307</v>
      </c>
    </row>
    <row r="770" spans="1:7" ht="14.5" x14ac:dyDescent="0.35">
      <c r="A770" s="107" t="s">
        <v>4201</v>
      </c>
      <c r="B770" s="73" t="str">
        <f>VLOOKUP(A770,SÜRELER!A:B,2,0)</f>
        <v>Gövde,Komple,Sağ,Bagaj,B32</v>
      </c>
      <c r="C770" s="33">
        <v>8</v>
      </c>
      <c r="D770" s="34"/>
      <c r="E770" s="35"/>
      <c r="G770" t="str">
        <f t="shared" si="13"/>
        <v>15006150061308</v>
      </c>
    </row>
    <row r="771" spans="1:7" ht="14.5" x14ac:dyDescent="0.35">
      <c r="A771" s="107" t="s">
        <v>4202</v>
      </c>
      <c r="B771" s="73" t="str">
        <f>VLOOKUP(A771,SÜRELER!A:B,2,0)</f>
        <v>Gövde,Komple,Sol,Bagaj,B32</v>
      </c>
      <c r="C771" s="33">
        <v>8</v>
      </c>
      <c r="D771" s="34"/>
      <c r="E771" s="35"/>
      <c r="G771" t="str">
        <f t="shared" si="13"/>
        <v>15006150061309</v>
      </c>
    </row>
    <row r="772" spans="1:7" ht="14.5" x14ac:dyDescent="0.35">
      <c r="A772" s="107" t="s">
        <v>4203</v>
      </c>
      <c r="B772" s="73" t="str">
        <f>VLOOKUP(A772,SÜRELER!A:B,2,0)</f>
        <v>İç lens,stop,sağ B32 çamurluk</v>
      </c>
      <c r="C772" s="33">
        <v>8</v>
      </c>
      <c r="D772" s="34"/>
      <c r="E772" s="35"/>
      <c r="G772" t="str">
        <f t="shared" si="13"/>
        <v>15006150061310</v>
      </c>
    </row>
    <row r="773" spans="1:7" ht="14.5" x14ac:dyDescent="0.35">
      <c r="A773" s="107" t="s">
        <v>4204</v>
      </c>
      <c r="B773" s="73" t="str">
        <f>VLOOKUP(A773,SÜRELER!A:B,2,0)</f>
        <v>İç lens,stop,sol B32 çamurluk</v>
      </c>
      <c r="C773" s="33">
        <v>8</v>
      </c>
      <c r="D773" s="34"/>
      <c r="E773" s="35"/>
      <c r="G773" t="str">
        <f t="shared" si="13"/>
        <v>15006150061311</v>
      </c>
    </row>
    <row r="774" spans="1:7" ht="14.5" x14ac:dyDescent="0.35">
      <c r="A774" s="107" t="s">
        <v>4205</v>
      </c>
      <c r="B774" s="73" t="str">
        <f>VLOOKUP(A774,SÜRELER!A:B,2,0)</f>
        <v>İç Lens,Sinyal,Sağ B32 çamurluk</v>
      </c>
      <c r="C774" s="33">
        <v>10</v>
      </c>
      <c r="D774" s="34"/>
      <c r="E774" s="35"/>
      <c r="G774" t="str">
        <f t="shared" si="13"/>
        <v>15006150061312</v>
      </c>
    </row>
    <row r="775" spans="1:7" ht="14.5" x14ac:dyDescent="0.35">
      <c r="A775" s="107" t="s">
        <v>4206</v>
      </c>
      <c r="B775" s="73" t="str">
        <f>VLOOKUP(A775,SÜRELER!A:B,2,0)</f>
        <v>İç Lens,Sinyal,Sol B32 çamurluk</v>
      </c>
      <c r="C775" s="33">
        <v>10</v>
      </c>
      <c r="D775" s="34"/>
      <c r="E775" s="35"/>
      <c r="G775" t="str">
        <f t="shared" si="13"/>
        <v>15006150061313</v>
      </c>
    </row>
    <row r="776" spans="1:7" ht="14.5" x14ac:dyDescent="0.35">
      <c r="A776" s="107" t="s">
        <v>4207</v>
      </c>
      <c r="B776" s="73" t="str">
        <f>VLOOKUP(A776,SÜRELER!A:B,2,0)</f>
        <v>İç lens,sis,sağ B32 Bagaj</v>
      </c>
      <c r="C776" s="33">
        <v>10</v>
      </c>
      <c r="D776" s="34"/>
      <c r="E776" s="35"/>
      <c r="G776" t="str">
        <f t="shared" si="13"/>
        <v>15006150061314</v>
      </c>
    </row>
    <row r="777" spans="1:7" ht="14.5" x14ac:dyDescent="0.35">
      <c r="A777" s="107" t="s">
        <v>4208</v>
      </c>
      <c r="B777" s="73" t="str">
        <f>VLOOKUP(A777,SÜRELER!A:B,2,0)</f>
        <v>İç lens,sis,sol B32 Bagaj</v>
      </c>
      <c r="C777" s="33">
        <v>10</v>
      </c>
      <c r="D777" s="34"/>
      <c r="E777" s="35"/>
      <c r="G777" t="str">
        <f t="shared" si="13"/>
        <v>15006150061315</v>
      </c>
    </row>
    <row r="778" spans="1:7" ht="14.5" x14ac:dyDescent="0.35">
      <c r="A778" s="107" t="s">
        <v>4209</v>
      </c>
      <c r="B778" s="73" t="str">
        <f>VLOOKUP(A778,SÜRELER!A:B,2,0)</f>
        <v>İç Lens,Geri Vites,Sağ B32 Bagaj</v>
      </c>
      <c r="C778" s="33">
        <v>3</v>
      </c>
      <c r="D778" s="34"/>
      <c r="E778" s="35"/>
      <c r="G778" t="str">
        <f t="shared" si="13"/>
        <v>15006150061316</v>
      </c>
    </row>
    <row r="779" spans="1:7" ht="14.5" x14ac:dyDescent="0.35">
      <c r="A779" s="107" t="s">
        <v>4210</v>
      </c>
      <c r="B779" s="73" t="str">
        <f>VLOOKUP(A779,SÜRELER!A:B,2,0)</f>
        <v>İç Lens,Geri Vites,Sol B32 Bagaj</v>
      </c>
      <c r="C779" s="33">
        <v>3</v>
      </c>
      <c r="D779" s="34"/>
      <c r="E779" s="35"/>
      <c r="G779" t="str">
        <f t="shared" si="13"/>
        <v>15006150061317</v>
      </c>
    </row>
    <row r="780" spans="1:7" ht="14.5" x14ac:dyDescent="0.35">
      <c r="A780" s="107" t="s">
        <v>4211</v>
      </c>
      <c r="B780" s="73" t="str">
        <f>VLOOKUP(A780,SÜRELER!A:B,2,0)</f>
        <v>Yan Çıta,Sağ,B32 ASK</v>
      </c>
      <c r="C780" s="33">
        <v>3</v>
      </c>
      <c r="D780" s="34"/>
      <c r="E780" s="35"/>
      <c r="G780" t="str">
        <f t="shared" si="13"/>
        <v>15006150061318</v>
      </c>
    </row>
    <row r="781" spans="1:7" ht="14.5" x14ac:dyDescent="0.35">
      <c r="A781" s="107" t="s">
        <v>4212</v>
      </c>
      <c r="B781" s="73" t="str">
        <f>VLOOKUP(A781,SÜRELER!A:B,2,0)</f>
        <v>Yan Çıta,Sol,B32 ASK</v>
      </c>
      <c r="C781" s="33">
        <v>3</v>
      </c>
      <c r="D781" s="34"/>
      <c r="E781" s="35"/>
      <c r="G781" t="str">
        <f t="shared" si="13"/>
        <v>15006150061319</v>
      </c>
    </row>
    <row r="782" spans="1:7" ht="14.5" x14ac:dyDescent="0.35">
      <c r="A782" s="107" t="s">
        <v>4213</v>
      </c>
      <c r="B782" s="73" t="str">
        <f>VLOOKUP(A782,SÜRELER!A:B,2,0)</f>
        <v>290B Gövde Base Sag</v>
      </c>
      <c r="C782" s="33">
        <v>3</v>
      </c>
      <c r="D782" s="34"/>
      <c r="E782" s="35"/>
      <c r="G782" t="str">
        <f t="shared" si="13"/>
        <v>15006150061320</v>
      </c>
    </row>
    <row r="783" spans="1:7" ht="14.5" x14ac:dyDescent="0.35">
      <c r="A783" s="107" t="s">
        <v>4214</v>
      </c>
      <c r="B783" s="73" t="str">
        <f>VLOOKUP(A783,SÜRELER!A:B,2,0)</f>
        <v>290B Gövde Base Sol</v>
      </c>
      <c r="C783" s="33">
        <v>3</v>
      </c>
      <c r="D783" s="34"/>
      <c r="E783" s="35"/>
      <c r="G783" t="str">
        <f t="shared" si="13"/>
        <v>15006150061321</v>
      </c>
    </row>
    <row r="784" spans="1:7" ht="14.5" x14ac:dyDescent="0.35">
      <c r="A784" s="107" t="s">
        <v>4215</v>
      </c>
      <c r="B784" s="73" t="str">
        <f>VLOOKUP(A784,SÜRELER!A:B,2,0)</f>
        <v>Light Guide Sol Üst W205 Ask</v>
      </c>
      <c r="C784" s="33">
        <v>6</v>
      </c>
      <c r="D784" s="34"/>
      <c r="E784" s="35"/>
      <c r="G784" t="str">
        <f t="shared" si="13"/>
        <v>15006150061322</v>
      </c>
    </row>
    <row r="785" spans="1:7" ht="14.5" x14ac:dyDescent="0.35">
      <c r="A785" s="107" t="s">
        <v>4216</v>
      </c>
      <c r="B785" s="73" t="str">
        <f>VLOOKUP(A785,SÜRELER!A:B,2,0)</f>
        <v>Light Guide Sag Üst W205 Ask</v>
      </c>
      <c r="C785" s="33">
        <v>6</v>
      </c>
      <c r="D785" s="34"/>
      <c r="E785" s="35"/>
      <c r="G785" t="str">
        <f t="shared" si="13"/>
        <v>15006150061323</v>
      </c>
    </row>
    <row r="786" spans="1:7" ht="14.5" x14ac:dyDescent="0.35">
      <c r="A786" s="107" t="s">
        <v>4217</v>
      </c>
      <c r="B786" s="73" t="str">
        <f>VLOOKUP(A786,SÜRELER!A:B,2,0)</f>
        <v>VW310 Neo Housing Sol</v>
      </c>
      <c r="C786" s="43">
        <v>7.5</v>
      </c>
      <c r="D786" s="44"/>
      <c r="E786" s="45"/>
      <c r="G786" t="str">
        <f t="shared" si="13"/>
        <v>15006150061324</v>
      </c>
    </row>
    <row r="787" spans="1:7" ht="14.5" x14ac:dyDescent="0.35">
      <c r="A787" s="107" t="s">
        <v>4218</v>
      </c>
      <c r="B787" s="73" t="str">
        <f>VLOOKUP(A787,SÜRELER!A:B,2,0)</f>
        <v>VW310 Neo Housing Sag</v>
      </c>
      <c r="C787" s="43">
        <v>7.5</v>
      </c>
      <c r="D787" s="44"/>
      <c r="E787" s="45"/>
      <c r="G787" t="str">
        <f t="shared" si="13"/>
        <v>15006150061325</v>
      </c>
    </row>
    <row r="788" spans="1:7" ht="14.5" x14ac:dyDescent="0.35">
      <c r="A788" s="107" t="s">
        <v>4219</v>
      </c>
      <c r="B788" s="73" t="str">
        <f>VLOOKUP(A788,SÜRELER!A:B,2,0)</f>
        <v>Base, Sağ, 147B Bagaj Sissiz</v>
      </c>
      <c r="C788" s="43">
        <v>5</v>
      </c>
      <c r="D788" s="44"/>
      <c r="E788" s="45"/>
      <c r="G788" t="str">
        <f t="shared" si="13"/>
        <v>15006150061326</v>
      </c>
    </row>
    <row r="789" spans="1:7" ht="14.5" x14ac:dyDescent="0.35">
      <c r="A789" s="107" t="s">
        <v>4220</v>
      </c>
      <c r="B789" s="73" t="str">
        <f>VLOOKUP(A789,SÜRELER!A:B,2,0)</f>
        <v>Base, Sol, 147B Bagaj</v>
      </c>
      <c r="C789" s="43">
        <v>5</v>
      </c>
      <c r="D789" s="44"/>
      <c r="E789" s="45"/>
      <c r="G789" t="str">
        <f t="shared" si="13"/>
        <v>15006150061327</v>
      </c>
    </row>
    <row r="790" spans="1:7" ht="14.5" x14ac:dyDescent="0.35">
      <c r="A790" s="107" t="s">
        <v>4221</v>
      </c>
      <c r="B790" s="73" t="str">
        <f>VLOOKUP(A790,SÜRELER!A:B,2,0)</f>
        <v>Base, Sağ, 147B Bagaj</v>
      </c>
      <c r="C790" s="43">
        <v>5</v>
      </c>
      <c r="D790" s="44"/>
      <c r="E790" s="45"/>
      <c r="G790" t="str">
        <f t="shared" si="13"/>
        <v>15006150061328</v>
      </c>
    </row>
    <row r="791" spans="1:7" ht="14.5" x14ac:dyDescent="0.35">
      <c r="A791" s="107" t="s">
        <v>4222</v>
      </c>
      <c r="B791" s="73" t="str">
        <f>VLOOKUP(A791,SÜRELER!A:B,2,0)</f>
        <v>Base, Sol, 147B Bagaj, Sissiz</v>
      </c>
      <c r="C791" s="43">
        <v>5</v>
      </c>
      <c r="D791" s="44"/>
      <c r="E791" s="45"/>
      <c r="G791" t="str">
        <f t="shared" si="13"/>
        <v>15006150061329</v>
      </c>
    </row>
    <row r="792" spans="1:7" ht="14.5" x14ac:dyDescent="0.35">
      <c r="A792" s="107" t="s">
        <v>4223</v>
      </c>
      <c r="B792" s="73" t="str">
        <f>VLOOKUP(A792,SÜRELER!A:B,2,0)</f>
        <v>Lens iç Sol unistop3</v>
      </c>
      <c r="C792" s="43">
        <v>5</v>
      </c>
      <c r="D792" s="44"/>
      <c r="E792" s="45"/>
      <c r="G792" t="str">
        <f t="shared" ref="G792:G855" si="14">CONCATENATE($F$471,A792,)</f>
        <v>15006150061330</v>
      </c>
    </row>
    <row r="793" spans="1:7" ht="14.5" x14ac:dyDescent="0.35">
      <c r="A793" s="107" t="s">
        <v>4224</v>
      </c>
      <c r="B793" s="73" t="str">
        <f>VLOOKUP(A793,SÜRELER!A:B,2,0)</f>
        <v>Lens iç Sag unistop3</v>
      </c>
      <c r="C793" s="43">
        <v>5</v>
      </c>
      <c r="D793" s="44"/>
      <c r="E793" s="45"/>
      <c r="G793" t="str">
        <f t="shared" si="14"/>
        <v>15006150061331</v>
      </c>
    </row>
    <row r="794" spans="1:7" ht="14.5" x14ac:dyDescent="0.35">
      <c r="A794" s="107" t="s">
        <v>4225</v>
      </c>
      <c r="B794" s="73" t="str">
        <f>VLOOKUP(A794,SÜRELER!A:B,2,0)</f>
        <v>Lens Sol unistop3</v>
      </c>
      <c r="C794" s="43">
        <v>8</v>
      </c>
      <c r="D794" s="44"/>
      <c r="E794" s="45"/>
      <c r="G794" t="str">
        <f t="shared" si="14"/>
        <v>15006150061332</v>
      </c>
    </row>
    <row r="795" spans="1:7" ht="14.5" x14ac:dyDescent="0.35">
      <c r="A795" s="107" t="s">
        <v>4226</v>
      </c>
      <c r="B795" s="73" t="str">
        <f>VLOOKUP(A795,SÜRELER!A:B,2,0)</f>
        <v>Lens Sag unistop3</v>
      </c>
      <c r="C795" s="43">
        <v>8</v>
      </c>
      <c r="D795" s="44"/>
      <c r="E795" s="45"/>
      <c r="G795" t="str">
        <f t="shared" si="14"/>
        <v>15006150061333</v>
      </c>
    </row>
    <row r="796" spans="1:7" ht="14.5" x14ac:dyDescent="0.35">
      <c r="A796" s="107" t="s">
        <v>4227</v>
      </c>
      <c r="B796" s="73" t="str">
        <f>VLOOKUP(A796,SÜRELER!A:B,2,0)</f>
        <v>Reflektör Sol unistop3 12V</v>
      </c>
      <c r="C796" s="43">
        <v>7.5</v>
      </c>
      <c r="D796" s="44"/>
      <c r="E796" s="45"/>
      <c r="G796" t="str">
        <f t="shared" si="14"/>
        <v>15006150061334</v>
      </c>
    </row>
    <row r="797" spans="1:7" ht="14.5" x14ac:dyDescent="0.35">
      <c r="A797" s="107" t="s">
        <v>4228</v>
      </c>
      <c r="B797" s="73" t="str">
        <f>VLOOKUP(A797,SÜRELER!A:B,2,0)</f>
        <v>Reflektör Sag unistop3 12V</v>
      </c>
      <c r="C797" s="43">
        <v>7.5</v>
      </c>
      <c r="D797" s="44"/>
      <c r="E797" s="45"/>
      <c r="G797" t="str">
        <f t="shared" si="14"/>
        <v>15006150061335</v>
      </c>
    </row>
    <row r="798" spans="1:7" ht="14.5" x14ac:dyDescent="0.35">
      <c r="A798" s="107" t="s">
        <v>4229</v>
      </c>
      <c r="B798" s="73" t="str">
        <f>VLOOKUP(A798,SÜRELER!A:B,2,0)</f>
        <v>Gövde, Unistop 4, V-1</v>
      </c>
      <c r="C798" s="43">
        <v>5</v>
      </c>
      <c r="D798" s="44"/>
      <c r="E798" s="45"/>
      <c r="G798" t="str">
        <f t="shared" si="14"/>
        <v>15006150061336</v>
      </c>
    </row>
    <row r="799" spans="1:7" ht="14.5" x14ac:dyDescent="0.35">
      <c r="A799" s="107" t="s">
        <v>4230</v>
      </c>
      <c r="B799" s="73" t="str">
        <f>VLOOKUP(A799,SÜRELER!A:B,2,0)</f>
        <v>Lens, Unistop 4</v>
      </c>
      <c r="C799" s="43">
        <v>8</v>
      </c>
      <c r="D799" s="44"/>
      <c r="E799" s="45"/>
      <c r="G799" t="str">
        <f t="shared" si="14"/>
        <v>15006150061337</v>
      </c>
    </row>
    <row r="800" spans="1:7" ht="14.5" x14ac:dyDescent="0.35">
      <c r="A800" s="107" t="s">
        <v>4231</v>
      </c>
      <c r="B800" s="73" t="str">
        <f>VLOOKUP(A800,SÜRELER!A:B,2,0)</f>
        <v>İç Lens DF, Unistop 4</v>
      </c>
      <c r="C800" s="43">
        <v>8</v>
      </c>
      <c r="D800" s="44"/>
      <c r="E800" s="45"/>
      <c r="G800" t="str">
        <f t="shared" si="14"/>
        <v>15006150061338</v>
      </c>
    </row>
    <row r="801" spans="1:7" ht="14.5" x14ac:dyDescent="0.35">
      <c r="A801" s="107" t="s">
        <v>4232</v>
      </c>
      <c r="B801" s="73" t="str">
        <f>VLOOKUP(A801,SÜRELER!A:B,2,0)</f>
        <v>Reflex-Retro, Unistop4-5</v>
      </c>
      <c r="C801" s="43">
        <v>8</v>
      </c>
      <c r="D801" s="44"/>
      <c r="E801" s="45"/>
      <c r="G801" t="str">
        <f t="shared" si="14"/>
        <v>15006150061339</v>
      </c>
    </row>
    <row r="802" spans="1:7" ht="14.5" x14ac:dyDescent="0.35">
      <c r="A802" s="107" t="s">
        <v>4233</v>
      </c>
      <c r="B802" s="73" t="str">
        <f>VLOOKUP(A802,SÜRELER!A:B,2,0)</f>
        <v>Reflektör, Unistop 4</v>
      </c>
      <c r="C802" s="43">
        <v>6</v>
      </c>
      <c r="D802" s="44"/>
      <c r="E802" s="45"/>
      <c r="G802" t="str">
        <f t="shared" si="14"/>
        <v>15006150061340</v>
      </c>
    </row>
    <row r="803" spans="1:7" ht="14.5" x14ac:dyDescent="0.35">
      <c r="A803" s="107" t="s">
        <v>4234</v>
      </c>
      <c r="B803" s="73" t="str">
        <f>VLOOKUP(A803,SÜRELER!A:B,2,0)</f>
        <v>Gövde, Unistop 4, V-2</v>
      </c>
      <c r="C803" s="43">
        <v>5</v>
      </c>
      <c r="D803" s="44"/>
      <c r="E803" s="45"/>
      <c r="G803" t="str">
        <f t="shared" si="14"/>
        <v>15006150061341</v>
      </c>
    </row>
    <row r="804" spans="1:7" ht="14.5" x14ac:dyDescent="0.35">
      <c r="A804" s="107" t="s">
        <v>4235</v>
      </c>
      <c r="B804" s="73" t="str">
        <f>VLOOKUP(A804,SÜRELER!A:B,2,0)</f>
        <v>İç Lens DF, Unistop 4, Kırmızı</v>
      </c>
      <c r="C804" s="43">
        <v>8</v>
      </c>
      <c r="D804" s="44"/>
      <c r="E804" s="45"/>
      <c r="G804" t="str">
        <f t="shared" si="14"/>
        <v>15006150061342</v>
      </c>
    </row>
    <row r="805" spans="1:7" ht="14.5" x14ac:dyDescent="0.35">
      <c r="A805" s="107" t="s">
        <v>4236</v>
      </c>
      <c r="B805" s="73" t="str">
        <f>VLOOKUP(A805,SÜRELER!A:B,2,0)</f>
        <v>Lens,Sol,ASK Camurluk,B32</v>
      </c>
      <c r="C805" s="57">
        <v>10</v>
      </c>
      <c r="D805" s="58"/>
      <c r="E805" s="59"/>
      <c r="G805" t="str">
        <f t="shared" si="14"/>
        <v>15006150061343</v>
      </c>
    </row>
    <row r="806" spans="1:7" ht="14.5" x14ac:dyDescent="0.35">
      <c r="A806" s="107" t="s">
        <v>4237</v>
      </c>
      <c r="B806" s="73" t="str">
        <f>VLOOKUP(A806,SÜRELER!A:B,2,0)</f>
        <v>Lens,Sag,ASK Camurluk,B32</v>
      </c>
      <c r="C806" s="57">
        <v>10</v>
      </c>
      <c r="D806" s="58"/>
      <c r="E806" s="59"/>
      <c r="G806" t="str">
        <f t="shared" si="14"/>
        <v>15006150061344</v>
      </c>
    </row>
    <row r="807" spans="1:7" ht="14.5" x14ac:dyDescent="0.35">
      <c r="A807" s="107" t="s">
        <v>4238</v>
      </c>
      <c r="B807" s="73" t="str">
        <f>VLOOKUP(A807,SÜRELER!A:B,2,0)</f>
        <v>Lens,Sol,ASK Bagaj,B32</v>
      </c>
      <c r="C807" s="57">
        <v>10</v>
      </c>
      <c r="D807" s="58"/>
      <c r="E807" s="59"/>
      <c r="G807" t="str">
        <f t="shared" si="14"/>
        <v>15006150061345</v>
      </c>
    </row>
    <row r="808" spans="1:7" ht="14.5" x14ac:dyDescent="0.35">
      <c r="A808" s="107" t="s">
        <v>4239</v>
      </c>
      <c r="B808" s="73" t="str">
        <f>VLOOKUP(A808,SÜRELER!A:B,2,0)</f>
        <v>Lens,Sag,ASK Bagaj,B32</v>
      </c>
      <c r="C808" s="57">
        <v>10</v>
      </c>
      <c r="D808" s="58"/>
      <c r="E808" s="59"/>
      <c r="G808" t="str">
        <f t="shared" si="14"/>
        <v>15006150061346</v>
      </c>
    </row>
    <row r="809" spans="1:7" ht="14.5" x14ac:dyDescent="0.35">
      <c r="A809" s="107" t="s">
        <v>4240</v>
      </c>
      <c r="B809" s="73" t="str">
        <f>VLOOKUP(A809,SÜRELER!A:B,2,0)</f>
        <v>Lens, Kirmizi+Naturel,Sol,V227 FACELIFT</v>
      </c>
      <c r="C809" s="57">
        <v>10</v>
      </c>
      <c r="D809" s="58"/>
      <c r="E809" s="59"/>
      <c r="G809" t="str">
        <f t="shared" si="14"/>
        <v>15006150061347</v>
      </c>
    </row>
    <row r="810" spans="1:7" ht="14.5" x14ac:dyDescent="0.35">
      <c r="A810" s="107" t="s">
        <v>4241</v>
      </c>
      <c r="B810" s="73" t="str">
        <f>VLOOKUP(A810,SÜRELER!A:B,2,0)</f>
        <v>Lens, Kirmizi+Naturel,Sag,V227 FACELIFT</v>
      </c>
      <c r="C810" s="57">
        <v>10</v>
      </c>
      <c r="D810" s="58"/>
      <c r="E810" s="59"/>
      <c r="G810" t="str">
        <f t="shared" si="14"/>
        <v>15006150061348</v>
      </c>
    </row>
    <row r="811" spans="1:7" ht="14.5" x14ac:dyDescent="0.35">
      <c r="A811" s="107" t="s">
        <v>4242</v>
      </c>
      <c r="B811" s="73" t="str">
        <f>VLOOKUP(A811,SÜRELER!A:B,2,0)</f>
        <v>Dis Lens,Sol,L38,Bagaj</v>
      </c>
      <c r="C811" s="57">
        <v>10</v>
      </c>
      <c r="D811" s="58"/>
      <c r="E811" s="59"/>
      <c r="G811" t="str">
        <f t="shared" si="14"/>
        <v>15006150061349</v>
      </c>
    </row>
    <row r="812" spans="1:7" ht="14.5" x14ac:dyDescent="0.35">
      <c r="A812" s="107" t="s">
        <v>4243</v>
      </c>
      <c r="B812" s="73" t="str">
        <f>VLOOKUP(A812,SÜRELER!A:B,2,0)</f>
        <v>Dis Lens,Sag,L38,Bagaj</v>
      </c>
      <c r="C812" s="57">
        <v>10</v>
      </c>
      <c r="D812" s="58"/>
      <c r="E812" s="59"/>
      <c r="G812" t="str">
        <f t="shared" si="14"/>
        <v>15006150061350</v>
      </c>
    </row>
    <row r="813" spans="1:7" ht="14.5" x14ac:dyDescent="0.35">
      <c r="A813" s="107" t="s">
        <v>4244</v>
      </c>
      <c r="B813" s="73" t="str">
        <f>VLOOKUP(A813,SÜRELER!A:B,2,0)</f>
        <v>Dis Lens,Sol,L38,Camurluk</v>
      </c>
      <c r="C813" s="57">
        <v>10</v>
      </c>
      <c r="D813" s="58"/>
      <c r="E813" s="59"/>
      <c r="G813" t="str">
        <f t="shared" si="14"/>
        <v>15006150061351</v>
      </c>
    </row>
    <row r="814" spans="1:7" ht="14.5" x14ac:dyDescent="0.35">
      <c r="A814" s="107" t="s">
        <v>4245</v>
      </c>
      <c r="B814" s="73" t="str">
        <f>VLOOKUP(A814,SÜRELER!A:B,2,0)</f>
        <v>Dis Lens,Sag,L38,Camurluk</v>
      </c>
      <c r="C814" s="57">
        <v>10</v>
      </c>
      <c r="D814" s="58"/>
      <c r="E814" s="59"/>
      <c r="G814" t="str">
        <f t="shared" si="14"/>
        <v>15006150061352</v>
      </c>
    </row>
    <row r="815" spans="1:7" ht="14.5" x14ac:dyDescent="0.35">
      <c r="A815" s="107" t="s">
        <v>4246</v>
      </c>
      <c r="B815" s="73" t="str">
        <f>VLOOKUP(A815,SÜRELER!A:B,2,0)</f>
        <v>Dis Lens,Sol,L38,Bagaj,Siyah</v>
      </c>
      <c r="C815" s="57">
        <v>10</v>
      </c>
      <c r="D815" s="58"/>
      <c r="E815" s="59"/>
      <c r="G815" t="str">
        <f t="shared" si="14"/>
        <v>15006150061353</v>
      </c>
    </row>
    <row r="816" spans="1:7" ht="14.5" x14ac:dyDescent="0.35">
      <c r="A816" s="107" t="s">
        <v>4247</v>
      </c>
      <c r="B816" s="73" t="str">
        <f>VLOOKUP(A816,SÜRELER!A:B,2,0)</f>
        <v>Dis Lens,Sag,L38,Bagaj,Siyah</v>
      </c>
      <c r="C816" s="57">
        <v>10</v>
      </c>
      <c r="D816" s="58"/>
      <c r="E816" s="59"/>
      <c r="G816" t="str">
        <f t="shared" si="14"/>
        <v>15006150061354</v>
      </c>
    </row>
    <row r="817" spans="1:7" ht="14.5" x14ac:dyDescent="0.35">
      <c r="A817" s="107" t="s">
        <v>4248</v>
      </c>
      <c r="B817" s="73" t="str">
        <f>VLOOKUP(A817,SÜRELER!A:B,2,0)</f>
        <v>Dis Lens,Sol,L38,Camurluk,Siyah</v>
      </c>
      <c r="C817" s="57">
        <v>10</v>
      </c>
      <c r="D817" s="58"/>
      <c r="E817" s="59"/>
      <c r="G817" t="str">
        <f t="shared" si="14"/>
        <v>15006150061355</v>
      </c>
    </row>
    <row r="818" spans="1:7" ht="14.5" x14ac:dyDescent="0.35">
      <c r="A818" s="107" t="s">
        <v>4249</v>
      </c>
      <c r="B818" s="73" t="str">
        <f>VLOOKUP(A818,SÜRELER!A:B,2,0)</f>
        <v>Dis Lens,Sag,L38,Camurluk,Siyah</v>
      </c>
      <c r="C818" s="57">
        <v>10</v>
      </c>
      <c r="D818" s="58"/>
      <c r="E818" s="59"/>
      <c r="G818" t="str">
        <f t="shared" si="14"/>
        <v>15006150061356</v>
      </c>
    </row>
    <row r="819" spans="1:7" ht="14.5" x14ac:dyDescent="0.35">
      <c r="A819" s="107" t="s">
        <v>4250</v>
      </c>
      <c r="B819" s="73" t="str">
        <f>VLOOKUP(A819,SÜRELER!A:B,2,0)</f>
        <v>Dış Lens Ø55 Ayg Amber</v>
      </c>
      <c r="C819" s="43">
        <v>10</v>
      </c>
      <c r="D819" s="44"/>
      <c r="E819" s="45"/>
      <c r="G819" t="str">
        <f t="shared" si="14"/>
        <v>15006150061357</v>
      </c>
    </row>
    <row r="820" spans="1:7" ht="14.5" x14ac:dyDescent="0.35">
      <c r="A820" s="107" t="s">
        <v>4251</v>
      </c>
      <c r="B820" s="73" t="str">
        <f>VLOOKUP(A820,SÜRELER!A:B,2,0)</f>
        <v>Braket1 Sol unistop3 ICA</v>
      </c>
      <c r="C820" s="43">
        <v>10</v>
      </c>
      <c r="D820" s="44"/>
      <c r="E820" s="45"/>
      <c r="G820" t="str">
        <f t="shared" si="14"/>
        <v>15006150061360</v>
      </c>
    </row>
    <row r="821" spans="1:7" ht="14.5" x14ac:dyDescent="0.35">
      <c r="A821" s="107" t="s">
        <v>4252</v>
      </c>
      <c r="B821" s="73" t="str">
        <f>VLOOKUP(A821,SÜRELER!A:B,2,0)</f>
        <v>Braket1 Sağ unistop3 ICA</v>
      </c>
      <c r="C821" s="43">
        <v>10</v>
      </c>
      <c r="D821" s="58"/>
      <c r="E821" s="59"/>
      <c r="G821" t="str">
        <f t="shared" si="14"/>
        <v>15006150061361</v>
      </c>
    </row>
    <row r="822" spans="1:7" ht="14.5" x14ac:dyDescent="0.35">
      <c r="A822" s="107" t="s">
        <v>4253</v>
      </c>
      <c r="B822" s="73" t="str">
        <f>VLOOKUP(A822,SÜRELER!A:B,2,0)</f>
        <v>Braket2 Sol unistop3 ICA</v>
      </c>
      <c r="C822" s="43">
        <v>10</v>
      </c>
      <c r="D822" s="58"/>
      <c r="E822" s="59"/>
      <c r="G822" t="str">
        <f t="shared" si="14"/>
        <v>15006150061362</v>
      </c>
    </row>
    <row r="823" spans="1:7" ht="14.5" x14ac:dyDescent="0.35">
      <c r="A823" s="107" t="s">
        <v>4254</v>
      </c>
      <c r="B823" s="73" t="str">
        <f>VLOOKUP(A823,SÜRELER!A:B,2,0)</f>
        <v>Braket2 Sağ unistop3 ICA</v>
      </c>
      <c r="C823" s="43">
        <v>10</v>
      </c>
      <c r="D823" s="58"/>
      <c r="E823" s="59"/>
      <c r="G823" t="str">
        <f t="shared" si="14"/>
        <v>15006150061363</v>
      </c>
    </row>
    <row r="824" spans="1:7" ht="14.5" x14ac:dyDescent="0.35">
      <c r="A824" s="107" t="s">
        <v>4255</v>
      </c>
      <c r="B824" s="73" t="str">
        <f>VLOOKUP(A824,SÜRELER!A:B,2,0)</f>
        <v>Bliss Kapak Sol unistop3 ICA</v>
      </c>
      <c r="C824" s="43">
        <v>10</v>
      </c>
      <c r="D824" s="58"/>
      <c r="E824" s="59"/>
      <c r="G824" t="str">
        <f t="shared" si="14"/>
        <v>15006150061364</v>
      </c>
    </row>
    <row r="825" spans="1:7" ht="14.5" x14ac:dyDescent="0.35">
      <c r="A825" s="107" t="s">
        <v>4256</v>
      </c>
      <c r="B825" s="73" t="str">
        <f>VLOOKUP(A825,SÜRELER!A:B,2,0)</f>
        <v>Bliss Kapak Sağ unistop3 ICA</v>
      </c>
      <c r="C825" s="43">
        <v>10</v>
      </c>
      <c r="D825" s="58"/>
      <c r="E825" s="59"/>
      <c r="G825" t="str">
        <f t="shared" si="14"/>
        <v>15006150061365</v>
      </c>
    </row>
    <row r="826" spans="1:7" ht="14.5" x14ac:dyDescent="0.35">
      <c r="A826" s="107" t="s">
        <v>4257</v>
      </c>
      <c r="B826" s="73" t="str">
        <f>VLOOKUP(A826,SÜRELER!A:B,2,0)</f>
        <v>LENS,SİNYAL,SOL-1,R1,ASK</v>
      </c>
      <c r="C826" s="43">
        <v>8</v>
      </c>
      <c r="D826" s="44"/>
      <c r="E826" s="45"/>
      <c r="G826" t="str">
        <f t="shared" si="14"/>
        <v>15006150061400</v>
      </c>
    </row>
    <row r="827" spans="1:7" ht="14.5" x14ac:dyDescent="0.35">
      <c r="A827" s="107" t="s">
        <v>4258</v>
      </c>
      <c r="B827" s="73" t="str">
        <f>VLOOKUP(A827,SÜRELER!A:B,2,0)</f>
        <v>LENS,SİNYAL,SAG-1,R1,ASK</v>
      </c>
      <c r="C827" s="43">
        <v>8</v>
      </c>
      <c r="D827" s="44"/>
      <c r="E827" s="45"/>
      <c r="G827" t="str">
        <f t="shared" si="14"/>
        <v>15006150061401</v>
      </c>
    </row>
    <row r="828" spans="1:7" ht="14.5" x14ac:dyDescent="0.35">
      <c r="A828" s="107" t="s">
        <v>4259</v>
      </c>
      <c r="B828" s="73" t="str">
        <f>VLOOKUP(A828,SÜRELER!A:B,2,0)</f>
        <v>GÖVDE,SOL,R1,ASK</v>
      </c>
      <c r="C828" s="43">
        <v>10</v>
      </c>
      <c r="D828" s="44"/>
      <c r="E828" s="45"/>
      <c r="G828" t="str">
        <f t="shared" si="14"/>
        <v>15006150061402</v>
      </c>
    </row>
    <row r="829" spans="1:7" ht="14.5" x14ac:dyDescent="0.35">
      <c r="A829" s="107" t="s">
        <v>4260</v>
      </c>
      <c r="B829" s="73" t="str">
        <f>VLOOKUP(A829,SÜRELER!A:B,2,0)</f>
        <v>GÖVDE,SAĞ,R1,ASK</v>
      </c>
      <c r="C829" s="43">
        <v>10</v>
      </c>
      <c r="D829" s="44"/>
      <c r="E829" s="45"/>
      <c r="G829" t="str">
        <f t="shared" si="14"/>
        <v>15006150061403</v>
      </c>
    </row>
    <row r="830" spans="1:7" ht="14.5" x14ac:dyDescent="0.35">
      <c r="A830" s="107" t="s">
        <v>4261</v>
      </c>
      <c r="B830" s="73" t="str">
        <f>VLOOKUP(A830,SÜRELER!A:B,2,0)</f>
        <v>LENS,KIRMIZI,SOL,KOMPLE,R1,ASK</v>
      </c>
      <c r="C830" s="43">
        <v>10</v>
      </c>
      <c r="D830" s="44"/>
      <c r="E830" s="45"/>
      <c r="G830" t="str">
        <f t="shared" si="14"/>
        <v>15006150061404</v>
      </c>
    </row>
    <row r="831" spans="1:7" ht="14.5" x14ac:dyDescent="0.35">
      <c r="A831" s="107" t="s">
        <v>4262</v>
      </c>
      <c r="B831" s="73" t="str">
        <f>VLOOKUP(A831,SÜRELER!A:B,2,0)</f>
        <v>LENS,KIRMIZI,SAG,KOMPLE,R1,ASK</v>
      </c>
      <c r="C831" s="43">
        <v>10</v>
      </c>
      <c r="D831" s="44"/>
      <c r="E831" s="45"/>
      <c r="G831" t="str">
        <f t="shared" si="14"/>
        <v>15006150061405</v>
      </c>
    </row>
    <row r="832" spans="1:7" ht="14.5" x14ac:dyDescent="0.35">
      <c r="A832" s="107" t="s">
        <v>4263</v>
      </c>
      <c r="B832" s="73" t="str">
        <f>VLOOKUP(A832,SÜRELER!A:B,2,0)</f>
        <v>LENS,KIRMIZI,SOL,R1,ASK,ÜST</v>
      </c>
      <c r="C832" s="43">
        <v>10</v>
      </c>
      <c r="D832" s="44"/>
      <c r="E832" s="45"/>
      <c r="G832" t="str">
        <f t="shared" si="14"/>
        <v>15006150061406</v>
      </c>
    </row>
    <row r="833" spans="1:7" ht="14.5" x14ac:dyDescent="0.35">
      <c r="A833" s="107" t="s">
        <v>4264</v>
      </c>
      <c r="B833" s="73" t="str">
        <f>VLOOKUP(A833,SÜRELER!A:B,2,0)</f>
        <v>LENS,KIRMIZI,SAĞ,R1,ASK,ÜST</v>
      </c>
      <c r="C833" s="43">
        <v>10</v>
      </c>
      <c r="D833" s="44"/>
      <c r="E833" s="45"/>
      <c r="G833" t="str">
        <f t="shared" si="14"/>
        <v>15006150061407</v>
      </c>
    </row>
    <row r="834" spans="1:7" ht="14.5" x14ac:dyDescent="0.35">
      <c r="A834" s="107" t="s">
        <v>4265</v>
      </c>
      <c r="B834" s="73" t="str">
        <f>VLOOKUP(A834,SÜRELER!A:B,2,0)</f>
        <v>GÖVDE,KOMPLE,SOL,R1,ASK,ÜST</v>
      </c>
      <c r="C834" s="43">
        <v>10</v>
      </c>
      <c r="D834" s="44"/>
      <c r="E834" s="45"/>
      <c r="G834" t="str">
        <f t="shared" si="14"/>
        <v>15006150061408</v>
      </c>
    </row>
    <row r="835" spans="1:7" ht="14.5" x14ac:dyDescent="0.35">
      <c r="A835" s="107" t="s">
        <v>4266</v>
      </c>
      <c r="B835" s="73" t="str">
        <f>VLOOKUP(A835,SÜRELER!A:B,2,0)</f>
        <v>GÖVDE,KOMPLE,SAĞ,R1,ASK,ÜST</v>
      </c>
      <c r="C835" s="43">
        <v>10</v>
      </c>
      <c r="D835" s="44"/>
      <c r="E835" s="45"/>
      <c r="G835" t="str">
        <f t="shared" si="14"/>
        <v>15006150061409</v>
      </c>
    </row>
    <row r="836" spans="1:7" ht="14.5" x14ac:dyDescent="0.35">
      <c r="A836" s="107" t="s">
        <v>4267</v>
      </c>
      <c r="B836" s="73" t="str">
        <f>VLOOKUP(A836,SÜRELER!A:B,2,0)</f>
        <v>LENS,NATUREL,SOL</v>
      </c>
      <c r="C836" s="43">
        <v>7</v>
      </c>
      <c r="D836" s="44"/>
      <c r="E836" s="45"/>
      <c r="G836" t="str">
        <f t="shared" si="14"/>
        <v>15006150061410</v>
      </c>
    </row>
    <row r="837" spans="1:7" ht="14.5" x14ac:dyDescent="0.35">
      <c r="A837" s="107" t="s">
        <v>4268</v>
      </c>
      <c r="B837" s="73" t="str">
        <f>VLOOKUP(A837,SÜRELER!A:B,2,0)</f>
        <v>LENS,NATUREL,SAĞ</v>
      </c>
      <c r="C837" s="43">
        <v>7</v>
      </c>
      <c r="D837" s="44"/>
      <c r="E837" s="45"/>
      <c r="G837" t="str">
        <f t="shared" si="14"/>
        <v>15006150061411</v>
      </c>
    </row>
    <row r="838" spans="1:7" ht="14.5" x14ac:dyDescent="0.35">
      <c r="A838" s="107" t="s">
        <v>4269</v>
      </c>
      <c r="B838" s="73" t="str">
        <f>VLOOKUP(A838,SÜRELER!A:B,2,0)</f>
        <v>GÖVDE SAPLAMALI,SOL,R1 ASK,YAN CITA</v>
      </c>
      <c r="C838" s="43">
        <v>10</v>
      </c>
      <c r="D838" s="44"/>
      <c r="E838" s="45"/>
      <c r="G838" t="str">
        <f t="shared" si="14"/>
        <v>15006150061412</v>
      </c>
    </row>
    <row r="839" spans="1:7" ht="14.5" x14ac:dyDescent="0.35">
      <c r="A839" s="107" t="s">
        <v>4270</v>
      </c>
      <c r="B839" s="73" t="str">
        <f>VLOOKUP(A839,SÜRELER!A:B,2,0)</f>
        <v>GÖVDE SAPLAMALI,SAĞ,R1 ASK,YAN CITA</v>
      </c>
      <c r="C839" s="43">
        <v>10</v>
      </c>
      <c r="D839" s="44"/>
      <c r="E839" s="45"/>
      <c r="G839" t="str">
        <f t="shared" si="14"/>
        <v>15006150061413</v>
      </c>
    </row>
    <row r="840" spans="1:7" ht="14.5" x14ac:dyDescent="0.35">
      <c r="A840" s="107" t="s">
        <v>4271</v>
      </c>
      <c r="B840" s="73" t="str">
        <f>VLOOKUP(A840,SÜRELER!A:B,2,0)</f>
        <v>LENS,SİNYAL,SOL-2,R1,ASK</v>
      </c>
      <c r="C840" s="43">
        <v>8</v>
      </c>
      <c r="D840" s="44"/>
      <c r="E840" s="45"/>
      <c r="G840" t="str">
        <f t="shared" si="14"/>
        <v>15006150061414</v>
      </c>
    </row>
    <row r="841" spans="1:7" ht="14.5" x14ac:dyDescent="0.35">
      <c r="A841" s="107" t="s">
        <v>4272</v>
      </c>
      <c r="B841" s="73" t="str">
        <f>VLOOKUP(A841,SÜRELER!A:B,2,0)</f>
        <v>LENS,SİNYAL,SAG-2,R1,ASK</v>
      </c>
      <c r="C841" s="43">
        <v>8</v>
      </c>
      <c r="D841" s="44"/>
      <c r="E841" s="45"/>
      <c r="G841" t="str">
        <f t="shared" si="14"/>
        <v>15006150061415</v>
      </c>
    </row>
    <row r="842" spans="1:7" ht="14.5" x14ac:dyDescent="0.35">
      <c r="A842" s="107" t="s">
        <v>4273</v>
      </c>
      <c r="B842" s="73" t="str">
        <f>VLOOKUP(A842,SÜRELER!A:B,2,0)</f>
        <v>LENS,GERİ VİTES,SOL-3,R1,ASK</v>
      </c>
      <c r="C842" s="43">
        <v>8</v>
      </c>
      <c r="D842" s="44"/>
      <c r="E842" s="45"/>
      <c r="G842" t="str">
        <f t="shared" si="14"/>
        <v>15006150061416</v>
      </c>
    </row>
    <row r="843" spans="1:7" ht="14.5" x14ac:dyDescent="0.35">
      <c r="A843" s="107" t="s">
        <v>4274</v>
      </c>
      <c r="B843" s="73" t="str">
        <f>VLOOKUP(A843,SÜRELER!A:B,2,0)</f>
        <v>LENS,GERİ VİTES,SAG-3,R1,ASK</v>
      </c>
      <c r="C843" s="43">
        <v>8</v>
      </c>
      <c r="D843" s="44"/>
      <c r="E843" s="45"/>
      <c r="G843" t="str">
        <f t="shared" si="14"/>
        <v>15006150061417</v>
      </c>
    </row>
    <row r="844" spans="1:7" ht="14.5" x14ac:dyDescent="0.35">
      <c r="A844" s="107" t="s">
        <v>4275</v>
      </c>
      <c r="B844" s="73" t="str">
        <f>VLOOKUP(A844,SÜRELER!A:B,2,0)</f>
        <v>GÖVDE,SOL,CİTARO,MOPF,ASK</v>
      </c>
      <c r="C844" s="43">
        <v>10</v>
      </c>
      <c r="D844" s="44"/>
      <c r="E844" s="45"/>
      <c r="G844" t="str">
        <f t="shared" si="14"/>
        <v>15006150061418</v>
      </c>
    </row>
    <row r="845" spans="1:7" ht="14.5" x14ac:dyDescent="0.35">
      <c r="A845" s="107" t="s">
        <v>4276</v>
      </c>
      <c r="B845" s="73" t="str">
        <f>VLOOKUP(A845,SÜRELER!A:B,2,0)</f>
        <v>GÖVDE,SAĞ,CİTARO,MOPF,ASK</v>
      </c>
      <c r="C845" s="33">
        <v>10</v>
      </c>
      <c r="D845" s="34"/>
      <c r="E845" s="35"/>
      <c r="G845" t="str">
        <f t="shared" si="14"/>
        <v>15006150061419</v>
      </c>
    </row>
    <row r="846" spans="1:7" ht="14.5" x14ac:dyDescent="0.35">
      <c r="A846" s="107" t="s">
        <v>4277</v>
      </c>
      <c r="B846" s="73" t="str">
        <f>VLOOKUP(A846,SÜRELER!A:B,2,0)</f>
        <v>GÖVDE,SOL,DELİKLİ,B32 SİS</v>
      </c>
      <c r="C846" s="33">
        <v>5</v>
      </c>
      <c r="D846" s="34"/>
      <c r="E846" s="35"/>
      <c r="G846" t="str">
        <f t="shared" si="14"/>
        <v>15006150061420</v>
      </c>
    </row>
    <row r="847" spans="1:7" ht="14.5" x14ac:dyDescent="0.35">
      <c r="A847" s="107" t="s">
        <v>4278</v>
      </c>
      <c r="B847" s="73" t="str">
        <f>VLOOKUP(A847,SÜRELER!A:B,2,0)</f>
        <v>GÖVDE,SAĞ,DELİKSİZ,B32 SİS</v>
      </c>
      <c r="C847" s="33">
        <v>6</v>
      </c>
      <c r="D847" s="34"/>
      <c r="E847" s="35"/>
      <c r="G847" t="str">
        <f t="shared" si="14"/>
        <v>15006150061421</v>
      </c>
    </row>
    <row r="848" spans="1:7" ht="14.5" x14ac:dyDescent="0.35">
      <c r="A848" s="107" t="s">
        <v>4279</v>
      </c>
      <c r="B848" s="73" t="str">
        <f>VLOOKUP(A848,SÜRELER!A:B,2,0)</f>
        <v>LENS,SOL,B32 SİS</v>
      </c>
      <c r="C848" s="33">
        <v>8</v>
      </c>
      <c r="D848" s="34"/>
      <c r="E848" s="35"/>
      <c r="G848" t="str">
        <f t="shared" si="14"/>
        <v>15006150061422</v>
      </c>
    </row>
    <row r="849" spans="1:7" ht="14.5" x14ac:dyDescent="0.35">
      <c r="A849" s="107" t="s">
        <v>4280</v>
      </c>
      <c r="B849" s="73" t="str">
        <f>VLOOKUP(A849,SÜRELER!A:B,2,0)</f>
        <v>LENS,SAĞ,B32 SİS</v>
      </c>
      <c r="C849" s="33">
        <v>8</v>
      </c>
      <c r="D849" s="34"/>
      <c r="E849" s="35"/>
      <c r="G849" t="str">
        <f t="shared" si="14"/>
        <v>15006150061423</v>
      </c>
    </row>
    <row r="850" spans="1:7" ht="14.5" x14ac:dyDescent="0.35">
      <c r="A850" s="107" t="s">
        <v>4281</v>
      </c>
      <c r="B850" s="73" t="str">
        <f>VLOOKUP(A850,SÜRELER!A:B,2,0)</f>
        <v>GÖVDE,SOL,DELİKSİZ,B32 SİS,SAĞ DİREK.</v>
      </c>
      <c r="C850" s="43">
        <v>0</v>
      </c>
      <c r="D850" s="44"/>
      <c r="E850" s="45"/>
      <c r="G850" t="str">
        <f t="shared" si="14"/>
        <v>15006150061424</v>
      </c>
    </row>
    <row r="851" spans="1:7" ht="14.5" x14ac:dyDescent="0.35">
      <c r="A851" s="107" t="s">
        <v>4282</v>
      </c>
      <c r="B851" s="73" t="str">
        <f>VLOOKUP(A851,SÜRELER!A:B,2,0)</f>
        <v>GÖVDE,SAĞ,DELİKLİ,B32 SİS,SAĞ DİREK.</v>
      </c>
      <c r="C851" s="43">
        <v>0</v>
      </c>
      <c r="D851" s="44"/>
      <c r="E851" s="45"/>
      <c r="G851" t="str">
        <f t="shared" si="14"/>
        <v>15006150061425</v>
      </c>
    </row>
    <row r="852" spans="1:7" ht="14.5" x14ac:dyDescent="0.35">
      <c r="A852" s="107" t="s">
        <v>4283</v>
      </c>
      <c r="B852" s="73" t="str">
        <f>VLOOKUP(A852,SÜRELER!A:B,2,0)</f>
        <v>Lens,Kırmızı,Ford Otosan HMBL</v>
      </c>
      <c r="C852" s="43">
        <v>0</v>
      </c>
      <c r="D852" s="44"/>
      <c r="E852" s="45"/>
      <c r="G852" t="str">
        <f t="shared" si="14"/>
        <v>15006150061426</v>
      </c>
    </row>
    <row r="853" spans="1:7" ht="14.5" x14ac:dyDescent="0.35">
      <c r="A853" s="107" t="s">
        <v>4284</v>
      </c>
      <c r="B853" s="73" t="str">
        <f>VLOOKUP(A853,SÜRELER!A:B,2,0)</f>
        <v>Gövde,Komple,Ford Otosan HMBL</v>
      </c>
      <c r="C853" s="43">
        <v>0</v>
      </c>
      <c r="D853" s="44"/>
      <c r="E853" s="45"/>
      <c r="G853" t="str">
        <f t="shared" si="14"/>
        <v>15006150061427</v>
      </c>
    </row>
    <row r="854" spans="1:7" ht="14.5" x14ac:dyDescent="0.35">
      <c r="A854" s="107" t="s">
        <v>4285</v>
      </c>
      <c r="B854" s="73" t="str">
        <f>VLOOKUP(A854,SÜRELER!A:B,2,0)</f>
        <v>İç Lens,Naturel,Ford Otosan HMBL</v>
      </c>
      <c r="C854" s="43">
        <v>0</v>
      </c>
      <c r="D854" s="44"/>
      <c r="E854" s="45"/>
      <c r="G854" t="str">
        <f t="shared" si="14"/>
        <v>15006150061428</v>
      </c>
    </row>
    <row r="855" spans="1:7" ht="14.5" x14ac:dyDescent="0.35">
      <c r="A855" s="107" t="s">
        <v>4286</v>
      </c>
      <c r="B855" s="73" t="e">
        <f>VLOOKUP(A855,SÜRELER!A:B,2,0)</f>
        <v>#N/A</v>
      </c>
      <c r="C855" s="43">
        <v>0</v>
      </c>
      <c r="D855" s="44"/>
      <c r="E855" s="45"/>
      <c r="G855" t="str">
        <f t="shared" si="14"/>
        <v>15006150061429</v>
      </c>
    </row>
    <row r="856" spans="1:7" ht="14.5" x14ac:dyDescent="0.35">
      <c r="A856" s="107" t="s">
        <v>4287</v>
      </c>
      <c r="B856" s="73" t="str">
        <f>VLOOKUP(A856,SÜRELER!A:B,2,0)</f>
        <v>İç Lens,Şeffaf,L.84,HMBL</v>
      </c>
      <c r="C856" s="43">
        <v>0</v>
      </c>
      <c r="D856" s="44"/>
      <c r="E856" s="45"/>
      <c r="G856" t="str">
        <f t="shared" ref="G856:G919" si="15">CONCATENATE($F$471,A856,)</f>
        <v>15006150061430</v>
      </c>
    </row>
    <row r="857" spans="1:7" ht="14.5" x14ac:dyDescent="0.35">
      <c r="A857" s="107" t="s">
        <v>4288</v>
      </c>
      <c r="B857" s="73" t="str">
        <f>VLOOKUP(A857,SÜRELER!A:B,2,0)</f>
        <v>Lens,Kırmızı,Komple,L.84 HMBL</v>
      </c>
      <c r="C857" s="43">
        <v>0</v>
      </c>
      <c r="D857" s="44"/>
      <c r="E857" s="45"/>
      <c r="G857" t="str">
        <f t="shared" si="15"/>
        <v>15006150061431</v>
      </c>
    </row>
    <row r="858" spans="1:7" ht="14.5" x14ac:dyDescent="0.35">
      <c r="A858" s="107" t="s">
        <v>4289</v>
      </c>
      <c r="B858" s="73" t="str">
        <f>VLOOKUP(A858,SÜRELER!A:B,2,0)</f>
        <v>İç Lens L84</v>
      </c>
      <c r="C858" s="43">
        <v>10</v>
      </c>
      <c r="D858" s="44"/>
      <c r="E858" s="45"/>
      <c r="G858" t="str">
        <f t="shared" si="15"/>
        <v>15006150061432</v>
      </c>
    </row>
    <row r="859" spans="1:7" ht="14.5" x14ac:dyDescent="0.35">
      <c r="A859" s="107" t="s">
        <v>4290</v>
      </c>
      <c r="B859" s="73" t="str">
        <f>VLOOKUP(A859,SÜRELER!A:B,2,0)</f>
        <v>Lens,Yan Sinyal,Ford Otosan, Turuncu</v>
      </c>
      <c r="C859" s="43">
        <v>5</v>
      </c>
      <c r="D859" s="44"/>
      <c r="E859" s="45"/>
      <c r="G859" t="str">
        <f t="shared" si="15"/>
        <v>15006150061433</v>
      </c>
    </row>
    <row r="860" spans="1:7" ht="14.5" x14ac:dyDescent="0.35">
      <c r="A860" s="107" t="s">
        <v>4291</v>
      </c>
      <c r="B860" s="73" t="e">
        <f>VLOOKUP(A860,SÜRELER!A:B,2,0)</f>
        <v>#N/A</v>
      </c>
      <c r="C860" s="43">
        <v>0</v>
      </c>
      <c r="D860" s="44"/>
      <c r="E860" s="45"/>
      <c r="G860" t="str">
        <f t="shared" si="15"/>
        <v>15006150061434</v>
      </c>
    </row>
    <row r="861" spans="1:7" ht="14.5" x14ac:dyDescent="0.35">
      <c r="A861" s="107" t="s">
        <v>4292</v>
      </c>
      <c r="B861" s="73" t="str">
        <f>VLOOKUP(A861,SÜRELER!A:B,2,0)</f>
        <v>Lens,Yan Sinyal,V227 Connect Facelift,NA</v>
      </c>
      <c r="C861" s="43">
        <v>0</v>
      </c>
      <c r="D861" s="44"/>
      <c r="E861" s="45"/>
      <c r="G861" t="str">
        <f t="shared" si="15"/>
        <v>15006150061435</v>
      </c>
    </row>
    <row r="862" spans="1:7" ht="14.5" x14ac:dyDescent="0.35">
      <c r="A862" s="107" t="s">
        <v>4293</v>
      </c>
      <c r="B862" s="73" t="str">
        <f>VLOOKUP(A862,SÜRELER!A:B,2,0)</f>
        <v>Gövde ,MCV 225</v>
      </c>
      <c r="C862" s="43">
        <v>0</v>
      </c>
      <c r="D862" s="44"/>
      <c r="E862" s="45"/>
      <c r="G862" t="str">
        <f t="shared" si="15"/>
        <v>15006150061436</v>
      </c>
    </row>
    <row r="863" spans="1:7" ht="14.5" x14ac:dyDescent="0.35">
      <c r="A863" s="107" t="s">
        <v>4294</v>
      </c>
      <c r="B863" s="73" t="str">
        <f>VLOOKUP(A863,SÜRELER!A:B,2,0)</f>
        <v>R1 Sol Ara Parça</v>
      </c>
      <c r="C863" s="43">
        <v>5</v>
      </c>
      <c r="D863" s="44"/>
      <c r="E863" s="45"/>
      <c r="G863" t="str">
        <f t="shared" si="15"/>
        <v>15006150061437</v>
      </c>
    </row>
    <row r="864" spans="1:7" ht="14.5" x14ac:dyDescent="0.35">
      <c r="A864" s="107" t="s">
        <v>4295</v>
      </c>
      <c r="B864" s="73" t="str">
        <f>VLOOKUP(A864,SÜRELER!A:B,2,0)</f>
        <v>R1 Sağ Ara Parça</v>
      </c>
      <c r="C864" s="43">
        <v>5</v>
      </c>
      <c r="D864" s="44"/>
      <c r="E864" s="45"/>
      <c r="G864" t="str">
        <f t="shared" si="15"/>
        <v>15006150061438</v>
      </c>
    </row>
    <row r="865" spans="1:7" ht="14.5" x14ac:dyDescent="0.35">
      <c r="A865" s="107" t="s">
        <v>4296</v>
      </c>
      <c r="B865" s="73" t="str">
        <f>VLOOKUP(A865,SÜRELER!A:B,2,0)</f>
        <v>R1 Sol Maske</v>
      </c>
      <c r="C865" s="33">
        <v>5</v>
      </c>
      <c r="D865" s="34"/>
      <c r="E865" s="35"/>
      <c r="G865" t="str">
        <f t="shared" si="15"/>
        <v>15006150061439</v>
      </c>
    </row>
    <row r="866" spans="1:7" ht="14.5" x14ac:dyDescent="0.35">
      <c r="A866" s="107" t="s">
        <v>4297</v>
      </c>
      <c r="B866" s="73" t="str">
        <f>VLOOKUP(A866,SÜRELER!A:B,2,0)</f>
        <v>R1 Sağ Maske</v>
      </c>
      <c r="C866" s="33">
        <v>5</v>
      </c>
      <c r="D866" s="34"/>
      <c r="E866" s="35"/>
      <c r="G866" t="str">
        <f t="shared" si="15"/>
        <v>15006150061440</v>
      </c>
    </row>
    <row r="867" spans="1:7" ht="14.5" x14ac:dyDescent="0.35">
      <c r="A867" s="107" t="s">
        <v>4298</v>
      </c>
      <c r="B867" s="73" t="str">
        <f>VLOOKUP(A867,SÜRELER!A:B,2,0)</f>
        <v>Lens, Geri Vites, Sol, Füme</v>
      </c>
      <c r="C867" s="43">
        <v>8</v>
      </c>
      <c r="D867" s="44"/>
      <c r="E867" s="45"/>
      <c r="G867" t="str">
        <f t="shared" si="15"/>
        <v>15006150061441</v>
      </c>
    </row>
    <row r="868" spans="1:7" ht="14.5" x14ac:dyDescent="0.35">
      <c r="A868" s="107" t="s">
        <v>4299</v>
      </c>
      <c r="B868" s="73" t="str">
        <f>VLOOKUP(A868,SÜRELER!A:B,2,0)</f>
        <v>Lens, Geri Vites, Sağ, Füme</v>
      </c>
      <c r="C868" s="43">
        <v>8</v>
      </c>
      <c r="D868" s="44"/>
      <c r="E868" s="45"/>
      <c r="G868" t="str">
        <f t="shared" si="15"/>
        <v>15006150061442</v>
      </c>
    </row>
    <row r="869" spans="1:7" ht="14.5" x14ac:dyDescent="0.35">
      <c r="A869" s="107" t="s">
        <v>4300</v>
      </c>
      <c r="B869" s="73" t="str">
        <f>VLOOKUP(A869,SÜRELER!A:B,2,0)</f>
        <v>Lens, Sinyal, Sol, Füme</v>
      </c>
      <c r="C869" s="43">
        <v>8</v>
      </c>
      <c r="D869" s="44"/>
      <c r="E869" s="45"/>
      <c r="G869" t="str">
        <f t="shared" si="15"/>
        <v>15006150061443</v>
      </c>
    </row>
    <row r="870" spans="1:7" ht="14.5" x14ac:dyDescent="0.35">
      <c r="A870" s="107" t="s">
        <v>4301</v>
      </c>
      <c r="B870" s="73" t="str">
        <f>VLOOKUP(A870,SÜRELER!A:B,2,0)</f>
        <v>Lens, Sinyal, Sağ, Füme</v>
      </c>
      <c r="C870" s="43">
        <v>8</v>
      </c>
      <c r="D870" s="44"/>
      <c r="E870" s="45"/>
      <c r="G870" t="str">
        <f t="shared" si="15"/>
        <v>15006150061444</v>
      </c>
    </row>
    <row r="871" spans="1:7" ht="14.5" x14ac:dyDescent="0.35">
      <c r="A871" s="107" t="s">
        <v>4302</v>
      </c>
      <c r="B871" s="73" t="str">
        <f>VLOOKUP(A871,SÜRELER!A:B,2,0)</f>
        <v>Lens, Kırmızı, Sol, Komple</v>
      </c>
      <c r="C871" s="43">
        <v>10</v>
      </c>
      <c r="D871" s="44"/>
      <c r="E871" s="45"/>
      <c r="G871" t="str">
        <f t="shared" si="15"/>
        <v>15006150061445</v>
      </c>
    </row>
    <row r="872" spans="1:7" ht="14.5" x14ac:dyDescent="0.35">
      <c r="A872" s="107" t="s">
        <v>4303</v>
      </c>
      <c r="B872" s="73" t="str">
        <f>VLOOKUP(A872,SÜRELER!A:B,2,0)</f>
        <v>Lens, Kırmızı, Sağ, Komple</v>
      </c>
      <c r="C872" s="43">
        <v>10</v>
      </c>
      <c r="D872" s="44"/>
      <c r="E872" s="45"/>
      <c r="G872" t="str">
        <f t="shared" si="15"/>
        <v>15006150061446</v>
      </c>
    </row>
    <row r="873" spans="1:7" ht="14.5" x14ac:dyDescent="0.35">
      <c r="A873" s="107" t="s">
        <v>4304</v>
      </c>
      <c r="B873" s="73" t="str">
        <f>VLOOKUP(A873,SÜRELER!A:B,2,0)</f>
        <v>Lens, Geri Vites, Sol, Füme, Setra ASK</v>
      </c>
      <c r="C873" s="43">
        <v>8</v>
      </c>
      <c r="D873" s="44"/>
      <c r="E873" s="45"/>
      <c r="G873" t="str">
        <f t="shared" si="15"/>
        <v>15006150061447</v>
      </c>
    </row>
    <row r="874" spans="1:7" ht="14.5" x14ac:dyDescent="0.35">
      <c r="A874" s="107" t="s">
        <v>4305</v>
      </c>
      <c r="B874" s="73" t="str">
        <f>VLOOKUP(A874,SÜRELER!A:B,2,0)</f>
        <v>Lens, Geri Vites, Sağ, Füme, Setra ASK</v>
      </c>
      <c r="C874" s="43">
        <v>8</v>
      </c>
      <c r="D874" s="44"/>
      <c r="E874" s="45"/>
      <c r="G874" t="str">
        <f t="shared" si="15"/>
        <v>15006150061448</v>
      </c>
    </row>
    <row r="875" spans="1:7" ht="14.5" x14ac:dyDescent="0.35">
      <c r="A875" s="107" t="s">
        <v>4306</v>
      </c>
      <c r="B875" s="73" t="str">
        <f>VLOOKUP(A875,SÜRELER!A:B,2,0)</f>
        <v>Lens, Sinyal, Sol, Füme, Setra ASK</v>
      </c>
      <c r="C875" s="43">
        <v>8</v>
      </c>
      <c r="D875" s="44"/>
      <c r="E875" s="45"/>
      <c r="G875" t="str">
        <f t="shared" si="15"/>
        <v>15006150061449</v>
      </c>
    </row>
    <row r="876" spans="1:7" ht="14.5" x14ac:dyDescent="0.35">
      <c r="A876" s="107" t="s">
        <v>4307</v>
      </c>
      <c r="B876" s="73" t="str">
        <f>VLOOKUP(A876,SÜRELER!A:B,2,0)</f>
        <v>Lens, Sinyal, Sağ, Füme, Setra ASK</v>
      </c>
      <c r="C876" s="43">
        <v>8</v>
      </c>
      <c r="D876" s="44"/>
      <c r="E876" s="45"/>
      <c r="G876" t="str">
        <f t="shared" si="15"/>
        <v>15006150061450</v>
      </c>
    </row>
    <row r="877" spans="1:7" ht="14.5" x14ac:dyDescent="0.35">
      <c r="A877" s="107" t="s">
        <v>4308</v>
      </c>
      <c r="B877" s="73" t="str">
        <f>VLOOKUP(A877,SÜRELER!A:B,2,0)</f>
        <v>Lens, Kırmızı, Sol, Komple, Setra ASK</v>
      </c>
      <c r="C877" s="43">
        <v>10</v>
      </c>
      <c r="D877" s="44"/>
      <c r="E877" s="45"/>
      <c r="G877" t="str">
        <f t="shared" si="15"/>
        <v>15006150061451</v>
      </c>
    </row>
    <row r="878" spans="1:7" ht="14.5" x14ac:dyDescent="0.35">
      <c r="A878" s="107" t="s">
        <v>4309</v>
      </c>
      <c r="B878" s="73" t="str">
        <f>VLOOKUP(A878,SÜRELER!A:B,2,0)</f>
        <v>Lens, Kırmızı, Sağ, Komple, Setra ASK</v>
      </c>
      <c r="C878" s="43">
        <v>10</v>
      </c>
      <c r="D878" s="44"/>
      <c r="E878" s="45"/>
      <c r="G878" t="str">
        <f t="shared" si="15"/>
        <v>15006150061452</v>
      </c>
    </row>
    <row r="879" spans="1:7" ht="14.5" x14ac:dyDescent="0.35">
      <c r="A879" s="107" t="s">
        <v>4310</v>
      </c>
      <c r="B879" s="73" t="str">
        <f>VLOOKUP(A879,SÜRELER!A:B,2,0)</f>
        <v>İç Lens, Sol, C2</v>
      </c>
      <c r="C879" s="43">
        <v>8</v>
      </c>
      <c r="D879" s="44"/>
      <c r="E879" s="45"/>
      <c r="G879" t="str">
        <f t="shared" si="15"/>
        <v>15006150061453</v>
      </c>
    </row>
    <row r="880" spans="1:7" ht="14.5" x14ac:dyDescent="0.35">
      <c r="A880" s="107" t="s">
        <v>4311</v>
      </c>
      <c r="B880" s="73" t="str">
        <f>VLOOKUP(A880,SÜRELER!A:B,2,0)</f>
        <v>İç Lens, Sağ, C2</v>
      </c>
      <c r="C880" s="43">
        <v>8</v>
      </c>
      <c r="D880" s="44"/>
      <c r="E880" s="45"/>
      <c r="G880" t="str">
        <f t="shared" si="15"/>
        <v>15006150061454</v>
      </c>
    </row>
    <row r="881" spans="1:7" ht="14.5" x14ac:dyDescent="0.35">
      <c r="A881" s="107" t="s">
        <v>4312</v>
      </c>
      <c r="B881" s="73" t="str">
        <f>VLOOKUP(A881,SÜRELER!A:B,2,0)</f>
        <v>Lens, Sol-3, Geri Vites, C2</v>
      </c>
      <c r="C881" s="43">
        <v>8</v>
      </c>
      <c r="D881" s="44"/>
      <c r="E881" s="45"/>
      <c r="G881" t="str">
        <f t="shared" si="15"/>
        <v>15006150061455</v>
      </c>
    </row>
    <row r="882" spans="1:7" ht="14.5" x14ac:dyDescent="0.35">
      <c r="A882" s="107" t="s">
        <v>4313</v>
      </c>
      <c r="B882" s="73" t="str">
        <f>VLOOKUP(A882,SÜRELER!A:B,2,0)</f>
        <v>Lens, Sağ-3, Geri Vites, C2</v>
      </c>
      <c r="C882" s="43">
        <v>8</v>
      </c>
      <c r="D882" s="44"/>
      <c r="E882" s="45"/>
      <c r="G882" t="str">
        <f t="shared" si="15"/>
        <v>15006150061456</v>
      </c>
    </row>
    <row r="883" spans="1:7" ht="14.5" x14ac:dyDescent="0.35">
      <c r="A883" s="107" t="s">
        <v>4314</v>
      </c>
      <c r="B883" s="73" t="str">
        <f>VLOOKUP(A883,SÜRELER!A:B,2,0)</f>
        <v>Lens, Sol-2, Sinyal, C2</v>
      </c>
      <c r="C883" s="43">
        <v>8</v>
      </c>
      <c r="D883" s="44"/>
      <c r="E883" s="45"/>
      <c r="G883" t="str">
        <f t="shared" si="15"/>
        <v>15006150061457</v>
      </c>
    </row>
    <row r="884" spans="1:7" ht="14.5" x14ac:dyDescent="0.35">
      <c r="A884" s="107" t="s">
        <v>4315</v>
      </c>
      <c r="B884" s="73" t="str">
        <f>VLOOKUP(A884,SÜRELER!A:B,2,0)</f>
        <v>Lens, Sağ-2, Sinyal, C2</v>
      </c>
      <c r="C884" s="43">
        <v>8</v>
      </c>
      <c r="D884" s="44"/>
      <c r="E884" s="45"/>
      <c r="G884" t="str">
        <f t="shared" si="15"/>
        <v>15006150061458</v>
      </c>
    </row>
    <row r="885" spans="1:7" ht="14.5" x14ac:dyDescent="0.35">
      <c r="A885" s="107" t="s">
        <v>4316</v>
      </c>
      <c r="B885" s="73" t="str">
        <f>VLOOKUP(A885,SÜRELER!A:B,2,0)</f>
        <v>Lens, Sol-1, Park, C2</v>
      </c>
      <c r="C885" s="43">
        <v>8</v>
      </c>
      <c r="D885" s="44"/>
      <c r="E885" s="45"/>
      <c r="G885" t="str">
        <f t="shared" si="15"/>
        <v>15006150061459</v>
      </c>
    </row>
    <row r="886" spans="1:7" ht="14.5" x14ac:dyDescent="0.35">
      <c r="A886" s="107" t="s">
        <v>4317</v>
      </c>
      <c r="B886" s="73" t="str">
        <f>VLOOKUP(A886,SÜRELER!A:B,2,0)</f>
        <v>Lens, Sağ-1, Park, C2</v>
      </c>
      <c r="C886" s="43">
        <v>8</v>
      </c>
      <c r="D886" s="44"/>
      <c r="E886" s="45"/>
      <c r="G886" t="str">
        <f t="shared" si="15"/>
        <v>15006150061460</v>
      </c>
    </row>
    <row r="887" spans="1:7" ht="14.5" x14ac:dyDescent="0.35">
      <c r="A887" s="107" t="s">
        <v>4318</v>
      </c>
      <c r="B887" s="73" t="str">
        <f>VLOOKUP(A887,SÜRELER!A:B,2,0)</f>
        <v>Dış Lens, C2, Sol</v>
      </c>
      <c r="C887" s="43">
        <v>15</v>
      </c>
      <c r="D887" s="44"/>
      <c r="E887" s="45"/>
      <c r="G887" t="str">
        <f t="shared" si="15"/>
        <v>15006150061461</v>
      </c>
    </row>
    <row r="888" spans="1:7" ht="14.5" x14ac:dyDescent="0.35">
      <c r="A888" s="107" t="s">
        <v>4319</v>
      </c>
      <c r="B888" s="73" t="str">
        <f>VLOOKUP(A888,SÜRELER!A:B,2,0)</f>
        <v>Dış Lens, C2, Sag</v>
      </c>
      <c r="C888" s="43">
        <v>15</v>
      </c>
      <c r="D888" s="44"/>
      <c r="E888" s="45"/>
      <c r="G888" t="str">
        <f t="shared" si="15"/>
        <v>15006150061462</v>
      </c>
    </row>
    <row r="889" spans="1:7" ht="14.5" x14ac:dyDescent="0.35">
      <c r="A889" s="107" t="s">
        <v>4320</v>
      </c>
      <c r="B889" s="73" t="str">
        <f>VLOOKUP(A889,SÜRELER!A:B,2,0)</f>
        <v>Dış Lens, Sol, 595L/270A RCL</v>
      </c>
      <c r="C889" s="43">
        <v>8</v>
      </c>
      <c r="D889" s="44"/>
      <c r="E889" s="45"/>
      <c r="G889" t="str">
        <f t="shared" si="15"/>
        <v>15006150061463</v>
      </c>
    </row>
    <row r="890" spans="1:7" ht="14.5" x14ac:dyDescent="0.35">
      <c r="A890" s="107" t="s">
        <v>4321</v>
      </c>
      <c r="B890" s="73" t="str">
        <f>VLOOKUP(A890,SÜRELER!A:B,2,0)</f>
        <v>Dış Lens, Sağ, 595L/270A RCL</v>
      </c>
      <c r="C890" s="43">
        <v>8</v>
      </c>
      <c r="D890" s="44"/>
      <c r="E890" s="45"/>
      <c r="G890" t="str">
        <f t="shared" si="15"/>
        <v>15006150061464</v>
      </c>
    </row>
    <row r="891" spans="1:7" ht="14.5" x14ac:dyDescent="0.35">
      <c r="A891" s="107" t="s">
        <v>4322</v>
      </c>
      <c r="B891" s="73" t="str">
        <f>VLOOKUP(A891,SÜRELER!A:B,2,0)</f>
        <v>Lens, Left, 560A Fender, High</v>
      </c>
      <c r="C891" s="43">
        <v>8</v>
      </c>
      <c r="D891" s="44"/>
      <c r="E891" s="45"/>
      <c r="G891" t="str">
        <f t="shared" si="15"/>
        <v>15006150061465</v>
      </c>
    </row>
    <row r="892" spans="1:7" ht="14.5" x14ac:dyDescent="0.35">
      <c r="A892" s="107" t="s">
        <v>4323</v>
      </c>
      <c r="B892" s="73" t="str">
        <f>VLOOKUP(A892,SÜRELER!A:B,2,0)</f>
        <v>Lens, Right, 560A Fender, High</v>
      </c>
      <c r="C892" s="43">
        <v>8</v>
      </c>
      <c r="D892" s="44"/>
      <c r="E892" s="45"/>
      <c r="G892" t="str">
        <f t="shared" si="15"/>
        <v>15006150061466</v>
      </c>
    </row>
    <row r="893" spans="1:7" ht="14.5" x14ac:dyDescent="0.35">
      <c r="A893" s="107" t="s">
        <v>4324</v>
      </c>
      <c r="B893" s="73" t="str">
        <f>VLOOKUP(A893,SÜRELER!A:B,2,0)</f>
        <v>Ara Çerçeve B, Sol, 466A, Far+Sinyal</v>
      </c>
      <c r="C893" s="43">
        <v>8</v>
      </c>
      <c r="D893" s="44"/>
      <c r="E893" s="45"/>
      <c r="G893" t="str">
        <f t="shared" si="15"/>
        <v>15006150061467</v>
      </c>
    </row>
    <row r="894" spans="1:7" ht="14.5" x14ac:dyDescent="0.35">
      <c r="A894" s="107" t="s">
        <v>4325</v>
      </c>
      <c r="B894" s="73" t="str">
        <f>VLOOKUP(A894,SÜRELER!A:B,2,0)</f>
        <v>Ara Çerçeve B, Sağ, 466A, Far+Sinyal</v>
      </c>
      <c r="C894" s="43">
        <v>8</v>
      </c>
      <c r="D894" s="44"/>
      <c r="E894" s="45"/>
      <c r="G894" t="str">
        <f t="shared" si="15"/>
        <v>15006150061468</v>
      </c>
    </row>
    <row r="895" spans="1:7" ht="14.5" x14ac:dyDescent="0.35">
      <c r="A895" s="107" t="s">
        <v>4326</v>
      </c>
      <c r="B895" s="73" t="str">
        <f>VLOOKUP(A895,SÜRELER!A:B,2,0)</f>
        <v>Çerçeve, Sol, 560A, Bagaj, High</v>
      </c>
      <c r="C895" s="43">
        <v>8</v>
      </c>
      <c r="D895" s="44"/>
      <c r="E895" s="45"/>
      <c r="G895" t="str">
        <f t="shared" si="15"/>
        <v>15006150061469</v>
      </c>
    </row>
    <row r="896" spans="1:7" ht="14.5" x14ac:dyDescent="0.35">
      <c r="A896" s="107" t="s">
        <v>4327</v>
      </c>
      <c r="B896" s="73" t="str">
        <f>VLOOKUP(A896,SÜRELER!A:B,2,0)</f>
        <v>Çerçeve, Sağ, 560A, Bagaj, High</v>
      </c>
      <c r="C896" s="43">
        <v>8</v>
      </c>
      <c r="D896" s="44"/>
      <c r="E896" s="45"/>
      <c r="G896" t="str">
        <f t="shared" si="15"/>
        <v>15006150061470</v>
      </c>
    </row>
    <row r="897" spans="1:7" ht="14.5" x14ac:dyDescent="0.35">
      <c r="A897" s="107" t="s">
        <v>4328</v>
      </c>
      <c r="B897" s="73" t="str">
        <f>VLOOKUP(A897,SÜRELER!A:B,2,0)</f>
        <v>Lens, Left, 560A Trunk, High</v>
      </c>
      <c r="C897" s="43">
        <v>8</v>
      </c>
      <c r="D897" s="44"/>
      <c r="E897" s="45"/>
      <c r="G897" t="str">
        <f t="shared" si="15"/>
        <v>15006150061471</v>
      </c>
    </row>
    <row r="898" spans="1:7" ht="14.5" x14ac:dyDescent="0.35">
      <c r="A898" s="107" t="s">
        <v>4329</v>
      </c>
      <c r="B898" s="73" t="str">
        <f>VLOOKUP(A898,SÜRELER!A:B,2,0)</f>
        <v>Lens, Right, 560A Trunk, High</v>
      </c>
      <c r="C898" s="43">
        <v>8</v>
      </c>
      <c r="D898" s="44"/>
      <c r="E898" s="45"/>
      <c r="G898" t="str">
        <f t="shared" si="15"/>
        <v>15006150061472</v>
      </c>
    </row>
    <row r="899" spans="1:7" ht="14.5" x14ac:dyDescent="0.35">
      <c r="A899" s="107" t="s">
        <v>4330</v>
      </c>
      <c r="B899" s="73" t="str">
        <f>VLOOKUP(A899,SÜRELER!A:B,2,0)</f>
        <v>Ara Çerçeve-C, Sol, 147B Low, Far+Sin.</v>
      </c>
      <c r="C899" s="43">
        <v>8</v>
      </c>
      <c r="D899" s="44"/>
      <c r="E899" s="45"/>
      <c r="G899" t="str">
        <f t="shared" si="15"/>
        <v>15006150061473</v>
      </c>
    </row>
    <row r="900" spans="1:7" ht="14.5" x14ac:dyDescent="0.35">
      <c r="A900" s="107" t="s">
        <v>4331</v>
      </c>
      <c r="B900" s="73" t="str">
        <f>VLOOKUP(A900,SÜRELER!A:B,2,0)</f>
        <v>Ara Çerçeve-C, Sağ, 147B Low, Far+Sin.</v>
      </c>
      <c r="C900" s="43">
        <v>8</v>
      </c>
      <c r="D900" s="44"/>
      <c r="E900" s="45"/>
      <c r="G900" t="str">
        <f t="shared" si="15"/>
        <v>15006150061474</v>
      </c>
    </row>
    <row r="901" spans="1:7" ht="14.5" x14ac:dyDescent="0.35">
      <c r="A901" s="107" t="s">
        <v>4332</v>
      </c>
      <c r="B901" s="73" t="str">
        <f>VLOOKUP(A901,SÜRELER!A:B,2,0)</f>
        <v>Lens, Unistop-2</v>
      </c>
      <c r="C901" s="43">
        <v>5</v>
      </c>
      <c r="D901" s="44"/>
      <c r="E901" s="45"/>
      <c r="G901" t="str">
        <f t="shared" si="15"/>
        <v>15006150061475</v>
      </c>
    </row>
    <row r="902" spans="1:7" ht="14.5" x14ac:dyDescent="0.35">
      <c r="A902" s="107" t="s">
        <v>4333</v>
      </c>
      <c r="B902" s="73" t="str">
        <f>VLOOKUP(A902,SÜRELER!A:B,2,0)</f>
        <v>Kapak 3. fren NA</v>
      </c>
      <c r="C902" s="43">
        <v>5</v>
      </c>
      <c r="D902" s="44"/>
      <c r="E902" s="45"/>
      <c r="G902" t="str">
        <f t="shared" si="15"/>
        <v>15006150061476</v>
      </c>
    </row>
    <row r="903" spans="1:7" ht="14.5" x14ac:dyDescent="0.35">
      <c r="A903" s="107" t="s">
        <v>4334</v>
      </c>
      <c r="B903" s="73" t="str">
        <f>VLOOKUP(A903,SÜRELER!A:B,2,0)</f>
        <v>Gövde, Komple, 3. Fren, NA</v>
      </c>
      <c r="C903" s="43">
        <v>5</v>
      </c>
      <c r="D903" s="44"/>
      <c r="E903" s="45"/>
      <c r="G903" t="str">
        <f t="shared" si="15"/>
        <v>15006150061477</v>
      </c>
    </row>
    <row r="904" spans="1:7" ht="14.5" x14ac:dyDescent="0.35">
      <c r="A904" s="107" t="s">
        <v>4335</v>
      </c>
      <c r="B904" s="73" t="str">
        <f>VLOOKUP(A904,SÜRELER!A:B,2,0)</f>
        <v>Lens, Sis, 560A</v>
      </c>
      <c r="C904" s="43">
        <v>5</v>
      </c>
      <c r="D904" s="44"/>
      <c r="E904" s="45"/>
      <c r="G904" t="str">
        <f t="shared" si="15"/>
        <v>15006150061478</v>
      </c>
    </row>
    <row r="905" spans="1:7" ht="14.5" x14ac:dyDescent="0.35">
      <c r="A905" s="107" t="s">
        <v>4336</v>
      </c>
      <c r="B905" s="73" t="str">
        <f>VLOOKUP(A905,SÜRELER!A:B,2,0)</f>
        <v>İç Lens-A, Sol, 147B Low Far+Sin.</v>
      </c>
      <c r="C905" s="43">
        <v>5</v>
      </c>
      <c r="D905" s="44"/>
      <c r="E905" s="45"/>
      <c r="G905" t="str">
        <f t="shared" si="15"/>
        <v>15006150061479</v>
      </c>
    </row>
    <row r="906" spans="1:7" ht="14.5" x14ac:dyDescent="0.35">
      <c r="A906" s="107" t="s">
        <v>4337</v>
      </c>
      <c r="B906" s="73" t="str">
        <f>VLOOKUP(A906,SÜRELER!A:B,2,0)</f>
        <v>İç Lens-A, Sağ, 147B Low Far+Sin.</v>
      </c>
      <c r="C906" s="43">
        <v>5</v>
      </c>
      <c r="D906" s="58"/>
      <c r="E906" s="59"/>
      <c r="G906" t="str">
        <f t="shared" si="15"/>
        <v>15006150061480</v>
      </c>
    </row>
    <row r="907" spans="1:7" ht="14.5" x14ac:dyDescent="0.35">
      <c r="A907" s="107" t="s">
        <v>4338</v>
      </c>
      <c r="B907" s="73" t="str">
        <f>VLOOKUP(A907,SÜRELER!A:B,2,0)</f>
        <v>LEFT Lens, Stop, Sol, V362 ASK</v>
      </c>
      <c r="C907" s="43">
        <v>5</v>
      </c>
      <c r="D907" s="58"/>
      <c r="E907" s="59"/>
      <c r="G907" t="str">
        <f t="shared" si="15"/>
        <v>15006150061481</v>
      </c>
    </row>
    <row r="908" spans="1:7" ht="14.5" x14ac:dyDescent="0.35">
      <c r="A908" s="107" t="s">
        <v>4339</v>
      </c>
      <c r="B908" s="73" t="str">
        <f>VLOOKUP(A908,SÜRELER!A:B,2,0)</f>
        <v>RIGHT Lens, Stop, Sag, V362 ASK</v>
      </c>
      <c r="C908" s="43">
        <v>5</v>
      </c>
      <c r="D908" s="58"/>
      <c r="E908" s="59"/>
      <c r="G908" t="str">
        <f t="shared" si="15"/>
        <v>15006150061482</v>
      </c>
    </row>
    <row r="909" spans="1:7" ht="14.5" x14ac:dyDescent="0.35">
      <c r="A909" s="107" t="s">
        <v>4340</v>
      </c>
      <c r="B909" s="73" t="str">
        <f>VLOOKUP(A909,SÜRELER!A:B,2,0)</f>
        <v>Braket, Sol, 560A Çamurluk Low Sae</v>
      </c>
      <c r="C909" s="43">
        <v>5</v>
      </c>
      <c r="D909" s="58"/>
      <c r="E909" s="59"/>
      <c r="G909" t="str">
        <f t="shared" si="15"/>
        <v>15006150061483</v>
      </c>
    </row>
    <row r="910" spans="1:7" ht="14.5" x14ac:dyDescent="0.35">
      <c r="A910" s="107" t="s">
        <v>4341</v>
      </c>
      <c r="B910" s="73" t="str">
        <f>VLOOKUP(A910,SÜRELER!A:B,2,0)</f>
        <v>Braket, Sağ, 560A Çamurluk Low Sae</v>
      </c>
      <c r="C910" s="43">
        <v>5</v>
      </c>
      <c r="D910" s="58"/>
      <c r="E910" s="59"/>
      <c r="G910" t="str">
        <f t="shared" si="15"/>
        <v>15006150061484</v>
      </c>
    </row>
    <row r="911" spans="1:7" ht="14.5" x14ac:dyDescent="0.35">
      <c r="A911" s="107" t="s">
        <v>4342</v>
      </c>
      <c r="B911" s="73" t="str">
        <f>VLOOKUP(A911,SÜRELER!A:B,2,0)</f>
        <v>İç Lens, Sol, Pozisyon, 595L/270A RCL</v>
      </c>
      <c r="C911" s="43">
        <v>5</v>
      </c>
      <c r="D911" s="58"/>
      <c r="E911" s="59"/>
      <c r="G911" t="str">
        <f t="shared" si="15"/>
        <v>15006150061485</v>
      </c>
    </row>
    <row r="912" spans="1:7" ht="14.5" x14ac:dyDescent="0.35">
      <c r="A912" s="107" t="s">
        <v>4343</v>
      </c>
      <c r="B912" s="73" t="str">
        <f>VLOOKUP(A912,SÜRELER!A:B,2,0)</f>
        <v>İç Lens, Sağ, Pozisyon, 595L/270A RCL</v>
      </c>
      <c r="C912" s="43">
        <v>5</v>
      </c>
      <c r="D912" s="58"/>
      <c r="E912" s="59"/>
      <c r="G912" t="str">
        <f t="shared" si="15"/>
        <v>15006150061486</v>
      </c>
    </row>
    <row r="913" spans="1:7" ht="14.5" x14ac:dyDescent="0.35">
      <c r="A913" s="107" t="s">
        <v>4344</v>
      </c>
      <c r="B913" s="73" t="str">
        <f>VLOOKUP(A913,SÜRELER!A:B,2,0)</f>
        <v>İç Lens, Sol, Sis, 595L/270A RCL</v>
      </c>
      <c r="C913" s="43">
        <v>5</v>
      </c>
      <c r="D913" s="58"/>
      <c r="E913" s="59"/>
      <c r="G913" t="str">
        <f t="shared" si="15"/>
        <v>15006150061487</v>
      </c>
    </row>
    <row r="914" spans="1:7" ht="14.5" x14ac:dyDescent="0.35">
      <c r="A914" s="107" t="s">
        <v>4345</v>
      </c>
      <c r="B914" s="73" t="str">
        <f>VLOOKUP(A914,SÜRELER!A:B,2,0)</f>
        <v>İç Lens, Sağ, Sis, 595L/270A RCL</v>
      </c>
      <c r="C914" s="43">
        <v>5</v>
      </c>
      <c r="D914" s="58"/>
      <c r="E914" s="59"/>
      <c r="G914" t="str">
        <f t="shared" si="15"/>
        <v>15006150061488</v>
      </c>
    </row>
    <row r="915" spans="1:7" ht="14.5" x14ac:dyDescent="0.35">
      <c r="A915" s="107" t="s">
        <v>4346</v>
      </c>
      <c r="B915" s="73" t="str">
        <f>VLOOKUP(A915,SÜRELER!A:B,2,0)</f>
        <v>İç Lens, Sol, Geri Vites, 595L/270A RCL</v>
      </c>
      <c r="C915" s="43">
        <v>5</v>
      </c>
      <c r="D915" s="58"/>
      <c r="E915" s="59"/>
      <c r="G915" t="str">
        <f t="shared" si="15"/>
        <v>15006150061489</v>
      </c>
    </row>
    <row r="916" spans="1:7" ht="14.5" x14ac:dyDescent="0.35">
      <c r="A916" s="107" t="s">
        <v>4347</v>
      </c>
      <c r="B916" s="73" t="str">
        <f>VLOOKUP(A916,SÜRELER!A:B,2,0)</f>
        <v>İç Lens, Sağ, Geri Vites, 595L/270A RCL</v>
      </c>
      <c r="C916" s="43">
        <v>5</v>
      </c>
      <c r="D916" s="58"/>
      <c r="E916" s="59"/>
      <c r="G916" t="str">
        <f t="shared" si="15"/>
        <v>15006150061490</v>
      </c>
    </row>
    <row r="917" spans="1:7" ht="14.5" x14ac:dyDescent="0.35">
      <c r="A917" s="107" t="s">
        <v>4348</v>
      </c>
      <c r="B917" s="73" t="str">
        <f>VLOOKUP(A917,SÜRELER!A:B,2,0)</f>
        <v>Base, Sol, 560A, Far+Sinyal, Low</v>
      </c>
      <c r="C917" s="43">
        <v>5</v>
      </c>
      <c r="D917" s="58"/>
      <c r="E917" s="59"/>
      <c r="G917" t="str">
        <f t="shared" si="15"/>
        <v>15006150061491</v>
      </c>
    </row>
    <row r="918" spans="1:7" ht="14.5" x14ac:dyDescent="0.35">
      <c r="A918" s="107" t="s">
        <v>4349</v>
      </c>
      <c r="B918" s="73" t="str">
        <f>VLOOKUP(A918,SÜRELER!A:B,2,0)</f>
        <v>Base, Sağ, 560A, Far+Sinyal, Low</v>
      </c>
      <c r="C918" s="43">
        <v>5</v>
      </c>
      <c r="D918" s="58"/>
      <c r="E918" s="59"/>
      <c r="G918" t="str">
        <f t="shared" si="15"/>
        <v>15006150061492</v>
      </c>
    </row>
    <row r="919" spans="1:7" ht="14.5" x14ac:dyDescent="0.35">
      <c r="A919" s="107" t="s">
        <v>4350</v>
      </c>
      <c r="B919" s="73" t="str">
        <f>VLOOKUP(A919,SÜRELER!A:B,2,0)</f>
        <v>İç Lens-H, Sol, 560A, Çamurluk, High</v>
      </c>
      <c r="C919" s="43">
        <v>5</v>
      </c>
      <c r="D919" s="58"/>
      <c r="E919" s="59"/>
      <c r="G919" t="str">
        <f t="shared" si="15"/>
        <v>15006150061493</v>
      </c>
    </row>
    <row r="920" spans="1:7" ht="14.5" x14ac:dyDescent="0.35">
      <c r="A920" s="107" t="s">
        <v>4351</v>
      </c>
      <c r="B920" s="73" t="str">
        <f>VLOOKUP(A920,SÜRELER!A:B,2,0)</f>
        <v>İç Lens-H, Sag, 560A, Çamurluk, High</v>
      </c>
      <c r="C920" s="43">
        <v>5</v>
      </c>
      <c r="D920" s="58"/>
      <c r="E920" s="59"/>
      <c r="G920" t="str">
        <f t="shared" ref="G920:G983" si="16">CONCATENATE($F$471,A920,)</f>
        <v>15006150061494</v>
      </c>
    </row>
    <row r="921" spans="1:7" ht="14.5" x14ac:dyDescent="0.35">
      <c r="A921" s="107" t="s">
        <v>4352</v>
      </c>
      <c r="B921" s="73" t="str">
        <f>VLOOKUP(A921,SÜRELER!A:B,2,0)</f>
        <v>İç Lens,-G, Sol, 560A Bagaj, High</v>
      </c>
      <c r="C921" s="43">
        <v>5</v>
      </c>
      <c r="D921" s="58"/>
      <c r="E921" s="59"/>
      <c r="G921" t="str">
        <f t="shared" si="16"/>
        <v>15006150061495</v>
      </c>
    </row>
    <row r="922" spans="1:7" ht="14.5" x14ac:dyDescent="0.35">
      <c r="A922" s="107" t="s">
        <v>4353</v>
      </c>
      <c r="B922" s="73" t="str">
        <f>VLOOKUP(A922,SÜRELER!A:B,2,0)</f>
        <v>İç Lens,-G, Sağ, 560A Bagaj, High</v>
      </c>
      <c r="C922" s="43">
        <v>5</v>
      </c>
      <c r="D922" s="58"/>
      <c r="E922" s="59"/>
      <c r="G922" t="str">
        <f t="shared" si="16"/>
        <v>15006150061496</v>
      </c>
    </row>
    <row r="923" spans="1:7" ht="14.5" x14ac:dyDescent="0.35">
      <c r="A923" s="107" t="s">
        <v>4354</v>
      </c>
      <c r="B923" s="73" t="str">
        <f>VLOOKUP(A923,SÜRELER!A:B,2,0)</f>
        <v>Gölgelik, Sol, 560A , Çamurluk, High</v>
      </c>
      <c r="C923" s="43">
        <v>5</v>
      </c>
      <c r="D923" s="58"/>
      <c r="E923" s="59"/>
      <c r="G923" t="str">
        <f t="shared" si="16"/>
        <v>15006150061497</v>
      </c>
    </row>
    <row r="924" spans="1:7" ht="14.5" x14ac:dyDescent="0.35">
      <c r="A924" s="107" t="s">
        <v>4355</v>
      </c>
      <c r="B924" s="73" t="str">
        <f>VLOOKUP(A924,SÜRELER!A:B,2,0)</f>
        <v>Gölgelik, Sağ, 560A , Çamurluk, High</v>
      </c>
      <c r="C924" s="43">
        <v>5</v>
      </c>
      <c r="D924" s="58"/>
      <c r="E924" s="59"/>
      <c r="G924" t="str">
        <f t="shared" si="16"/>
        <v>15006150061498</v>
      </c>
    </row>
    <row r="925" spans="1:7" ht="14.5" x14ac:dyDescent="0.35">
      <c r="A925" s="107" t="s">
        <v>4356</v>
      </c>
      <c r="B925" s="73" t="str">
        <f>VLOOKUP(A925,SÜRELER!A:B,2,0)</f>
        <v>Braket, Sol, Datum-2, 147B Far</v>
      </c>
      <c r="C925" s="43">
        <v>5</v>
      </c>
      <c r="D925" s="58"/>
      <c r="E925" s="59"/>
      <c r="G925" t="str">
        <f t="shared" si="16"/>
        <v>15006150061499</v>
      </c>
    </row>
    <row r="926" spans="1:7" ht="14.5" x14ac:dyDescent="0.35">
      <c r="A926" s="107" t="s">
        <v>4357</v>
      </c>
      <c r="B926" s="73" t="str">
        <f>VLOOKUP(A926,SÜRELER!A:B,2,0)</f>
        <v>Braket, Sağ, Datum-2, 147B Far</v>
      </c>
      <c r="C926" s="43">
        <v>5</v>
      </c>
      <c r="D926" s="58"/>
      <c r="E926" s="59"/>
      <c r="G926" t="str">
        <f t="shared" si="16"/>
        <v>15006150061500</v>
      </c>
    </row>
    <row r="927" spans="1:7" ht="14.5" x14ac:dyDescent="0.35">
      <c r="A927" s="107" t="s">
        <v>4358</v>
      </c>
      <c r="B927" s="73" t="str">
        <f>VLOOKUP(A927,SÜRELER!A:B,2,0)</f>
        <v>Braket, Sol, Datum-5, 147B Far</v>
      </c>
      <c r="C927" s="43">
        <v>5</v>
      </c>
      <c r="D927" s="58"/>
      <c r="E927" s="59"/>
      <c r="G927" t="str">
        <f t="shared" si="16"/>
        <v>15006150061501</v>
      </c>
    </row>
    <row r="928" spans="1:7" ht="14.5" x14ac:dyDescent="0.35">
      <c r="A928" s="107" t="s">
        <v>4359</v>
      </c>
      <c r="B928" s="73" t="str">
        <f>VLOOKUP(A928,SÜRELER!A:B,2,0)</f>
        <v>Braket, Sağ, Datum-5, 147B Far</v>
      </c>
      <c r="C928" s="43">
        <v>5</v>
      </c>
      <c r="D928" s="58"/>
      <c r="E928" s="59"/>
      <c r="G928" t="str">
        <f t="shared" si="16"/>
        <v>15006150061502</v>
      </c>
    </row>
    <row r="929" spans="1:7" ht="14.5" x14ac:dyDescent="0.35">
      <c r="A929" s="107" t="s">
        <v>4360</v>
      </c>
      <c r="B929" s="73" t="str">
        <f>VLOOKUP(A929,SÜRELER!A:B,2,0)</f>
        <v>Braket, Sol, Datum-4, 147B Far</v>
      </c>
      <c r="C929" s="43">
        <v>5</v>
      </c>
      <c r="D929" s="58"/>
      <c r="E929" s="59"/>
      <c r="G929" t="str">
        <f t="shared" si="16"/>
        <v>15006150061503</v>
      </c>
    </row>
    <row r="930" spans="1:7" ht="14.5" x14ac:dyDescent="0.35">
      <c r="A930" s="107" t="s">
        <v>4361</v>
      </c>
      <c r="B930" s="73" t="str">
        <f>VLOOKUP(A930,SÜRELER!A:B,2,0)</f>
        <v>Braket, Sağ, Datum-4, 147B Far</v>
      </c>
      <c r="C930" s="43">
        <v>5</v>
      </c>
      <c r="D930" s="58"/>
      <c r="E930" s="59"/>
      <c r="G930" t="str">
        <f t="shared" si="16"/>
        <v>15006150061504</v>
      </c>
    </row>
    <row r="931" spans="1:7" ht="14.5" x14ac:dyDescent="0.35">
      <c r="A931" s="107" t="s">
        <v>4362</v>
      </c>
      <c r="B931" s="73" t="str">
        <f>VLOOKUP(A931,SÜRELER!A:B,2,0)</f>
        <v>Braket, Sol, gril, 147B Far</v>
      </c>
      <c r="C931" s="43">
        <v>5</v>
      </c>
      <c r="D931" s="58"/>
      <c r="E931" s="59"/>
      <c r="G931" t="str">
        <f t="shared" si="16"/>
        <v>15006150061505</v>
      </c>
    </row>
    <row r="932" spans="1:7" ht="14.5" x14ac:dyDescent="0.35">
      <c r="A932" s="107" t="s">
        <v>4363</v>
      </c>
      <c r="B932" s="73" t="str">
        <f>VLOOKUP(A932,SÜRELER!A:B,2,0)</f>
        <v>Braket, Sağ, gril, 147B Far</v>
      </c>
      <c r="C932" s="43">
        <v>5</v>
      </c>
      <c r="D932" s="58"/>
      <c r="E932" s="59"/>
      <c r="G932" t="str">
        <f t="shared" si="16"/>
        <v>15006150061506</v>
      </c>
    </row>
    <row r="933" spans="1:7" ht="14.5" x14ac:dyDescent="0.35">
      <c r="A933" s="107" t="s">
        <v>4364</v>
      </c>
      <c r="B933" s="73" t="str">
        <f>VLOOKUP(A933,SÜRELER!A:B,2,0)</f>
        <v>Braket, Sol, Bumper, 147B Far</v>
      </c>
      <c r="C933" s="43">
        <v>5</v>
      </c>
      <c r="D933" s="58"/>
      <c r="E933" s="59"/>
      <c r="G933" t="str">
        <f t="shared" si="16"/>
        <v>15006150061507</v>
      </c>
    </row>
    <row r="934" spans="1:7" ht="14.5" x14ac:dyDescent="0.35">
      <c r="A934" s="107" t="s">
        <v>4365</v>
      </c>
      <c r="B934" s="73" t="str">
        <f>VLOOKUP(A934,SÜRELER!A:B,2,0)</f>
        <v>Braket, Sağ, Bumper, 147B Far</v>
      </c>
      <c r="C934" s="43">
        <v>5</v>
      </c>
      <c r="D934" s="58"/>
      <c r="E934" s="59"/>
      <c r="G934" t="str">
        <f t="shared" si="16"/>
        <v>15006150061508</v>
      </c>
    </row>
    <row r="935" spans="1:7" ht="14.5" x14ac:dyDescent="0.35">
      <c r="A935" s="107" t="s">
        <v>4366</v>
      </c>
      <c r="B935" s="73" t="str">
        <f>VLOOKUP(A935,SÜRELER!A:B,2,0)</f>
        <v>İç Lens, Sol, Led, 270A ASK</v>
      </c>
      <c r="C935" s="43">
        <v>5</v>
      </c>
      <c r="D935" s="58"/>
      <c r="E935" s="59"/>
      <c r="G935" t="str">
        <f t="shared" si="16"/>
        <v>15006150061509</v>
      </c>
    </row>
    <row r="936" spans="1:7" ht="14.5" x14ac:dyDescent="0.35">
      <c r="A936" s="107" t="s">
        <v>4367</v>
      </c>
      <c r="B936" s="73" t="str">
        <f>VLOOKUP(A936,SÜRELER!A:B,2,0)</f>
        <v>İç Lens, Sağ, Led, 270A ASK</v>
      </c>
      <c r="C936" s="43">
        <v>5</v>
      </c>
      <c r="D936" s="58"/>
      <c r="E936" s="59"/>
      <c r="G936" t="str">
        <f t="shared" si="16"/>
        <v>15006150061510</v>
      </c>
    </row>
    <row r="937" spans="1:7" ht="14.5" x14ac:dyDescent="0.35">
      <c r="A937" s="107" t="s">
        <v>4368</v>
      </c>
      <c r="B937" s="73" t="str">
        <f>VLOOKUP(A937,SÜRELER!A:B,2,0)</f>
        <v>İç Lens, Sol, Led, 595L ASK</v>
      </c>
      <c r="C937" s="43">
        <v>5</v>
      </c>
      <c r="D937" s="58"/>
      <c r="E937" s="59"/>
      <c r="G937" t="str">
        <f t="shared" si="16"/>
        <v>15006150061511</v>
      </c>
    </row>
    <row r="938" spans="1:7" ht="14.5" x14ac:dyDescent="0.35">
      <c r="A938" s="107" t="s">
        <v>4369</v>
      </c>
      <c r="B938" s="73" t="str">
        <f>VLOOKUP(A938,SÜRELER!A:B,2,0)</f>
        <v>İç Lens, Sağ, Led, 595L ASK</v>
      </c>
      <c r="C938" s="43">
        <v>5</v>
      </c>
      <c r="D938" s="58"/>
      <c r="E938" s="59"/>
      <c r="G938" t="str">
        <f t="shared" si="16"/>
        <v>15006150061512</v>
      </c>
    </row>
    <row r="939" spans="1:7" ht="14.5" x14ac:dyDescent="0.35">
      <c r="A939" s="107" t="s">
        <v>4370</v>
      </c>
      <c r="B939" s="73" t="str">
        <f>VLOOKUP(A939,SÜRELER!A:B,2,0)</f>
        <v>S4S SİS IŞIK TÜPÜ SOL</v>
      </c>
      <c r="C939" s="57">
        <v>8</v>
      </c>
      <c r="D939" s="58"/>
      <c r="E939" s="59"/>
      <c r="G939" t="str">
        <f t="shared" si="16"/>
        <v>15006150061513</v>
      </c>
    </row>
    <row r="940" spans="1:7" ht="14.5" x14ac:dyDescent="0.35">
      <c r="A940" s="107" t="s">
        <v>4371</v>
      </c>
      <c r="B940" s="73" t="str">
        <f>VLOOKUP(A940,SÜRELER!A:B,2,0)</f>
        <v>S4S SİS IŞIK TÜPÜ SAĞ</v>
      </c>
      <c r="C940" s="57">
        <v>8</v>
      </c>
      <c r="D940" s="58"/>
      <c r="E940" s="59"/>
      <c r="G940" t="str">
        <f t="shared" si="16"/>
        <v>15006150061514</v>
      </c>
    </row>
    <row r="941" spans="1:7" ht="14.5" x14ac:dyDescent="0.35">
      <c r="A941" s="107" t="s">
        <v>4372</v>
      </c>
      <c r="B941" s="73" t="str">
        <f>VLOOKUP(A941,SÜRELER!A:B,2,0)</f>
        <v>Havalandırma Plastiği tapa</v>
      </c>
      <c r="C941" s="43">
        <v>5</v>
      </c>
      <c r="D941" s="58"/>
      <c r="E941" s="59"/>
      <c r="G941" t="str">
        <f t="shared" si="16"/>
        <v>15006150061600</v>
      </c>
    </row>
    <row r="942" spans="1:7" ht="14.5" x14ac:dyDescent="0.35">
      <c r="A942" s="107" t="s">
        <v>4373</v>
      </c>
      <c r="B942" s="73" t="str">
        <f>VLOOKUP(A942,SÜRELER!A:B,2,0)</f>
        <v>Ayar Butonu</v>
      </c>
      <c r="C942" s="33">
        <v>3</v>
      </c>
      <c r="D942" s="34"/>
      <c r="E942" s="35"/>
      <c r="G942" t="str">
        <f t="shared" si="16"/>
        <v>15006150061603</v>
      </c>
    </row>
    <row r="943" spans="1:7" ht="14.5" x14ac:dyDescent="0.35">
      <c r="A943" s="107" t="s">
        <v>4374</v>
      </c>
      <c r="B943" s="73" t="str">
        <f>VLOOKUP(A943,SÜRELER!A:B,2,0)</f>
        <v>Plastik kapsül</v>
      </c>
      <c r="C943" s="33">
        <v>1</v>
      </c>
      <c r="D943" s="34"/>
      <c r="E943" s="35"/>
      <c r="G943" t="str">
        <f t="shared" si="16"/>
        <v>15006150061604</v>
      </c>
    </row>
    <row r="944" spans="1:7" ht="14.5" x14ac:dyDescent="0.35">
      <c r="A944" s="107" t="s">
        <v>4375</v>
      </c>
      <c r="B944" s="73" t="str">
        <f>VLOOKUP(A944,SÜRELER!A:B,2,0)</f>
        <v>Soket Plastiği Ø55, Ayg</v>
      </c>
      <c r="C944" s="57">
        <v>5</v>
      </c>
      <c r="D944" s="58"/>
      <c r="E944" s="59"/>
      <c r="G944" t="str">
        <f t="shared" si="16"/>
        <v>15006150061615</v>
      </c>
    </row>
    <row r="945" spans="1:7" ht="14.5" x14ac:dyDescent="0.35">
      <c r="A945" s="107" t="s">
        <v>4376</v>
      </c>
      <c r="B945" s="73" t="str">
        <f>VLOOKUP(A945,SÜRELER!A:B,2,0)</f>
        <v>Plastik Kovan Üst,Siklon</v>
      </c>
      <c r="C945" s="33">
        <v>2.5</v>
      </c>
      <c r="D945" s="34"/>
      <c r="E945" s="35"/>
      <c r="G945" t="str">
        <f t="shared" si="16"/>
        <v>15006150061630</v>
      </c>
    </row>
    <row r="946" spans="1:7" ht="14.5" x14ac:dyDescent="0.35">
      <c r="A946" s="107" t="s">
        <v>4377</v>
      </c>
      <c r="B946" s="73" t="str">
        <f>VLOOKUP(A946,SÜRELER!A:B,2,0)</f>
        <v>Hava Yönlendirici Taban plastiği</v>
      </c>
      <c r="C946" s="33">
        <v>2.5</v>
      </c>
      <c r="D946" s="34"/>
      <c r="E946" s="35"/>
      <c r="G946" t="str">
        <f t="shared" si="16"/>
        <v>15006150061631</v>
      </c>
    </row>
    <row r="947" spans="1:7" ht="14.5" x14ac:dyDescent="0.35">
      <c r="A947" s="107" t="s">
        <v>4378</v>
      </c>
      <c r="B947" s="73" t="str">
        <f>VLOOKUP(A947,SÜRELER!A:B,2,0)</f>
        <v>Baglantı Braketi,Mercekli</v>
      </c>
      <c r="C947" s="57">
        <v>5</v>
      </c>
      <c r="D947" s="58"/>
      <c r="E947" s="59"/>
      <c r="G947" t="str">
        <f t="shared" si="16"/>
        <v>15006150061657</v>
      </c>
    </row>
    <row r="948" spans="1:7" ht="14.5" x14ac:dyDescent="0.35">
      <c r="A948" s="107" t="s">
        <v>4379</v>
      </c>
      <c r="B948" s="73" t="str">
        <f>VLOOKUP(A948,SÜRELER!A:B,2,0)</f>
        <v>Baglantı Braketi,Mercekli,Ters</v>
      </c>
      <c r="C948" s="43">
        <v>5</v>
      </c>
      <c r="D948" s="44"/>
      <c r="E948" s="45"/>
      <c r="G948" t="str">
        <f t="shared" si="16"/>
        <v>15006150061658</v>
      </c>
    </row>
    <row r="949" spans="1:7" ht="14.5" x14ac:dyDescent="0.35">
      <c r="A949" s="107" t="s">
        <v>4380</v>
      </c>
      <c r="B949" s="73" t="str">
        <f>VLOOKUP(A949,SÜRELER!A:B,2,0)</f>
        <v>Reflektör,142x200,Merc.HCRA</v>
      </c>
      <c r="C949" s="57">
        <v>8</v>
      </c>
      <c r="D949" s="58"/>
      <c r="E949" s="59"/>
      <c r="G949" t="str">
        <f t="shared" si="16"/>
        <v>15006150061660</v>
      </c>
    </row>
    <row r="950" spans="1:7" ht="14.5" x14ac:dyDescent="0.35">
      <c r="A950" s="107" t="s">
        <v>4381</v>
      </c>
      <c r="B950" s="73" t="e">
        <f>VLOOKUP(A950,SÜRELER!A:B,2,0)</f>
        <v>#N/A</v>
      </c>
      <c r="C950" s="57">
        <v>8</v>
      </c>
      <c r="D950" s="58"/>
      <c r="E950" s="59"/>
      <c r="G950" t="str">
        <f t="shared" si="16"/>
        <v>15006150061661</v>
      </c>
    </row>
    <row r="951" spans="1:7" ht="14.5" x14ac:dyDescent="0.35">
      <c r="A951" s="107" t="s">
        <v>4382</v>
      </c>
      <c r="B951" s="73" t="str">
        <f>VLOOKUP(A951,SÜRELER!A:B,2,0)</f>
        <v>C2 Evobus Alt Sol Lens LO-LH-240</v>
      </c>
      <c r="C951" s="57">
        <v>8</v>
      </c>
      <c r="D951" s="58"/>
      <c r="E951" s="59"/>
      <c r="G951" t="str">
        <f t="shared" si="16"/>
        <v>15006150061662</v>
      </c>
    </row>
    <row r="952" spans="1:7" ht="14.5" x14ac:dyDescent="0.35">
      <c r="A952" s="107" t="s">
        <v>4383</v>
      </c>
      <c r="B952" s="73" t="str">
        <f>VLOOKUP(A952,SÜRELER!A:B,2,0)</f>
        <v>C2 Evobus Alt Sağ Lens LO-RH-241</v>
      </c>
      <c r="C952" s="57">
        <v>8</v>
      </c>
      <c r="D952" s="58"/>
      <c r="E952" s="59"/>
      <c r="G952" t="str">
        <f t="shared" si="16"/>
        <v>15006150061663</v>
      </c>
    </row>
    <row r="953" spans="1:7" ht="14.5" x14ac:dyDescent="0.35">
      <c r="A953" s="107" t="s">
        <v>4384</v>
      </c>
      <c r="B953" s="73" t="str">
        <f>VLOOKUP(A953,SÜRELER!A:B,2,0)</f>
        <v>C2 Evobus Üst Sol Lens UP-LH-260</v>
      </c>
      <c r="C953" s="57">
        <v>8</v>
      </c>
      <c r="D953" s="58"/>
      <c r="E953" s="59"/>
      <c r="G953" t="str">
        <f t="shared" si="16"/>
        <v>15006150061664</v>
      </c>
    </row>
    <row r="954" spans="1:7" ht="14.5" x14ac:dyDescent="0.35">
      <c r="A954" s="107" t="s">
        <v>4385</v>
      </c>
      <c r="B954" s="73" t="str">
        <f>VLOOKUP(A954,SÜRELER!A:B,2,0)</f>
        <v>C2 Evobus Üst Sağ Lens UP-RH-261</v>
      </c>
      <c r="C954" s="57">
        <v>8</v>
      </c>
      <c r="D954" s="58"/>
      <c r="E954" s="59"/>
      <c r="G954" t="str">
        <f t="shared" si="16"/>
        <v>15006150061665</v>
      </c>
    </row>
    <row r="955" spans="1:7" ht="14.5" x14ac:dyDescent="0.35">
      <c r="A955" s="107" t="s">
        <v>4386</v>
      </c>
      <c r="B955" s="73" t="str">
        <f>VLOOKUP(A955,SÜRELER!A:B,2,0)</f>
        <v>C2 Evobus Alt Sol Sinyal Çerçeve LO-LH-240</v>
      </c>
      <c r="C955" s="57">
        <v>8</v>
      </c>
      <c r="D955" s="58"/>
      <c r="E955" s="59"/>
      <c r="G955" t="str">
        <f t="shared" si="16"/>
        <v>15006150061666</v>
      </c>
    </row>
    <row r="956" spans="1:7" ht="14.5" x14ac:dyDescent="0.35">
      <c r="A956" s="107" t="s">
        <v>4387</v>
      </c>
      <c r="B956" s="73" t="str">
        <f>VLOOKUP(A956,SÜRELER!A:B,2,0)</f>
        <v>C2 Evobus Alt Sag Sinyal Çerçeve LO-RH-241</v>
      </c>
      <c r="C956" s="57">
        <v>8</v>
      </c>
      <c r="D956" s="58"/>
      <c r="E956" s="59"/>
      <c r="G956" t="str">
        <f t="shared" si="16"/>
        <v>15006150061667</v>
      </c>
    </row>
    <row r="957" spans="1:7" ht="14.5" x14ac:dyDescent="0.35">
      <c r="A957" s="107" t="s">
        <v>4388</v>
      </c>
      <c r="B957" s="73" t="str">
        <f>VLOOKUP(A957,SÜRELER!A:B,2,0)</f>
        <v>C2 Evobus Üst Sol Sinyal Çerçeve UP-LH-260</v>
      </c>
      <c r="C957" s="57">
        <v>8</v>
      </c>
      <c r="D957" s="58"/>
      <c r="E957" s="59"/>
      <c r="G957" t="str">
        <f t="shared" si="16"/>
        <v>15006150061668</v>
      </c>
    </row>
    <row r="958" spans="1:7" ht="14.5" x14ac:dyDescent="0.35">
      <c r="A958" s="107" t="s">
        <v>4389</v>
      </c>
      <c r="B958" s="73" t="str">
        <f>VLOOKUP(A958,SÜRELER!A:B,2,0)</f>
        <v>C2 Evobus Üst Sag Sinyal Çerçeve UP-RH-261</v>
      </c>
      <c r="C958" s="57">
        <v>8</v>
      </c>
      <c r="D958" s="58"/>
      <c r="E958" s="59"/>
      <c r="G958" t="str">
        <f t="shared" si="16"/>
        <v>15006150061669</v>
      </c>
    </row>
    <row r="959" spans="1:7" ht="14.5" x14ac:dyDescent="0.35">
      <c r="A959" s="107" t="s">
        <v>4390</v>
      </c>
      <c r="B959" s="73" t="str">
        <f>VLOOKUP(A959,SÜRELER!A:B,2,0)</f>
        <v>C2 Evobus Alt Sol Sinyal Reflektor L-L</v>
      </c>
      <c r="C959" s="57">
        <v>8</v>
      </c>
      <c r="D959" s="58"/>
      <c r="E959" s="59"/>
      <c r="G959" t="str">
        <f t="shared" si="16"/>
        <v>15006150061670</v>
      </c>
    </row>
    <row r="960" spans="1:7" ht="14.5" x14ac:dyDescent="0.35">
      <c r="A960" s="107" t="s">
        <v>4391</v>
      </c>
      <c r="B960" s="73" t="str">
        <f>VLOOKUP(A960,SÜRELER!A:B,2,0)</f>
        <v>C2 Evobus Alt Sağ Sinyal Reflektör L-R</v>
      </c>
      <c r="C960" s="57">
        <v>8</v>
      </c>
      <c r="D960" s="58"/>
      <c r="E960" s="59"/>
      <c r="G960" t="str">
        <f t="shared" si="16"/>
        <v>15006150061671</v>
      </c>
    </row>
    <row r="961" spans="1:7" ht="14.5" x14ac:dyDescent="0.35">
      <c r="A961" s="107" t="s">
        <v>4392</v>
      </c>
      <c r="B961" s="73" t="str">
        <f>VLOOKUP(A961,SÜRELER!A:B,2,0)</f>
        <v>C2 Evobus Üst Sol Sinyal Reflektör U-L</v>
      </c>
      <c r="C961" s="57">
        <v>8</v>
      </c>
      <c r="D961" s="58"/>
      <c r="E961" s="59"/>
      <c r="G961" t="str">
        <f t="shared" si="16"/>
        <v>15006150061672</v>
      </c>
    </row>
    <row r="962" spans="1:7" ht="14.5" x14ac:dyDescent="0.35">
      <c r="A962" s="107" t="s">
        <v>4393</v>
      </c>
      <c r="B962" s="73" t="str">
        <f>VLOOKUP(A962,SÜRELER!A:B,2,0)</f>
        <v>C2 Evobus Üst Sağ Sinyal Reflektör U-R</v>
      </c>
      <c r="C962" s="57">
        <v>8</v>
      </c>
      <c r="D962" s="58"/>
      <c r="E962" s="59"/>
      <c r="G962" t="str">
        <f t="shared" si="16"/>
        <v>15006150061673</v>
      </c>
    </row>
    <row r="963" spans="1:7" ht="14.5" x14ac:dyDescent="0.35">
      <c r="A963" s="107" t="s">
        <v>4394</v>
      </c>
      <c r="B963" s="73" t="str">
        <f>VLOOKUP(A963,SÜRELER!A:B,2,0)</f>
        <v>C2 Evobus TIR Lensi 4 ayaklı</v>
      </c>
      <c r="C963" s="57">
        <v>5</v>
      </c>
      <c r="D963" s="58"/>
      <c r="E963" s="59"/>
      <c r="G963" t="str">
        <f t="shared" si="16"/>
        <v>15006150061674</v>
      </c>
    </row>
    <row r="964" spans="1:7" ht="14.5" x14ac:dyDescent="0.35">
      <c r="A964" s="107" t="s">
        <v>4395</v>
      </c>
      <c r="B964" s="73" t="str">
        <f>VLOOKUP(A964,SÜRELER!A:B,2,0)</f>
        <v>C2 Evobus TIR Lensi 3 ayaklı</v>
      </c>
      <c r="C964" s="57">
        <v>5</v>
      </c>
      <c r="D964" s="58"/>
      <c r="E964" s="59"/>
      <c r="G964" t="str">
        <f t="shared" si="16"/>
        <v>15006150061675</v>
      </c>
    </row>
    <row r="965" spans="1:7" ht="14.5" x14ac:dyDescent="0.35">
      <c r="A965" s="107" t="s">
        <v>4396</v>
      </c>
      <c r="B965" s="73" t="str">
        <f>VLOOKUP(A965,SÜRELER!A:B,2,0)</f>
        <v>C2 Evobus ana bezel Sol</v>
      </c>
      <c r="C965" s="57">
        <v>12</v>
      </c>
      <c r="D965" s="58"/>
      <c r="E965" s="59"/>
      <c r="G965" t="str">
        <f t="shared" si="16"/>
        <v>15006150061676</v>
      </c>
    </row>
    <row r="966" spans="1:7" ht="14.5" x14ac:dyDescent="0.35">
      <c r="A966" s="107" t="s">
        <v>4397</v>
      </c>
      <c r="B966" s="73" t="str">
        <f>VLOOKUP(A966,SÜRELER!A:B,2,0)</f>
        <v>C2 Evobus ana bezel Sag</v>
      </c>
      <c r="C966" s="57">
        <v>12</v>
      </c>
      <c r="D966" s="58"/>
      <c r="E966" s="59"/>
      <c r="G966" t="str">
        <f t="shared" si="16"/>
        <v>15006150061677</v>
      </c>
    </row>
    <row r="967" spans="1:7" ht="14.5" x14ac:dyDescent="0.35">
      <c r="A967" s="107" t="s">
        <v>4398</v>
      </c>
      <c r="B967" s="73" t="str">
        <f>VLOOKUP(A967,SÜRELER!A:B,2,0)</f>
        <v>C2 Evobus Gövde Sol</v>
      </c>
      <c r="C967" s="57">
        <v>10</v>
      </c>
      <c r="D967" s="58"/>
      <c r="E967" s="59"/>
      <c r="G967" t="str">
        <f t="shared" si="16"/>
        <v>15006150061678</v>
      </c>
    </row>
    <row r="968" spans="1:7" ht="14.5" x14ac:dyDescent="0.35">
      <c r="A968" s="107" t="s">
        <v>4399</v>
      </c>
      <c r="B968" s="73" t="str">
        <f>VLOOKUP(A968,SÜRELER!A:B,2,0)</f>
        <v>C2 Evobus Gövde Sag</v>
      </c>
      <c r="C968" s="57">
        <v>10</v>
      </c>
      <c r="D968" s="58"/>
      <c r="E968" s="59"/>
      <c r="G968" t="str">
        <f t="shared" si="16"/>
        <v>15006150061679</v>
      </c>
    </row>
    <row r="969" spans="1:7" ht="14.5" x14ac:dyDescent="0.35">
      <c r="A969" s="107" t="s">
        <v>4400</v>
      </c>
      <c r="B969" s="73" t="str">
        <f>VLOOKUP(A969,SÜRELER!A:B,2,0)</f>
        <v>Lens Sol W221 Ece</v>
      </c>
      <c r="C969" s="57">
        <v>10</v>
      </c>
      <c r="D969" s="58"/>
      <c r="E969" s="59"/>
      <c r="G969" t="str">
        <f t="shared" si="16"/>
        <v>15006150061680</v>
      </c>
    </row>
    <row r="970" spans="1:7" ht="14.5" x14ac:dyDescent="0.35">
      <c r="A970" s="107" t="s">
        <v>4401</v>
      </c>
      <c r="B970" s="73" t="str">
        <f>VLOOKUP(A970,SÜRELER!A:B,2,0)</f>
        <v>Lens Sağ W221 Ece</v>
      </c>
      <c r="C970" s="57">
        <v>10</v>
      </c>
      <c r="D970" s="58"/>
      <c r="E970" s="59"/>
      <c r="G970" t="str">
        <f t="shared" si="16"/>
        <v>15006150061681</v>
      </c>
    </row>
    <row r="971" spans="1:7" ht="14.5" x14ac:dyDescent="0.35">
      <c r="A971" s="107" t="s">
        <v>4402</v>
      </c>
      <c r="B971" s="73" t="str">
        <f>VLOOKUP(A971,SÜRELER!A:B,2,0)</f>
        <v>Optik Lens Sol W221 SL/BL Ece</v>
      </c>
      <c r="C971" s="57">
        <v>10</v>
      </c>
      <c r="D971" s="58"/>
      <c r="E971" s="59"/>
      <c r="G971" t="str">
        <f t="shared" si="16"/>
        <v>15006150061682</v>
      </c>
    </row>
    <row r="972" spans="1:7" ht="14.5" x14ac:dyDescent="0.35">
      <c r="A972" s="107" t="s">
        <v>4403</v>
      </c>
      <c r="B972" s="73" t="str">
        <f>VLOOKUP(A972,SÜRELER!A:B,2,0)</f>
        <v>Optik Lens Sağ W221 SL/BL Ece</v>
      </c>
      <c r="C972" s="57">
        <v>10</v>
      </c>
      <c r="D972" s="58"/>
      <c r="E972" s="59"/>
      <c r="G972" t="str">
        <f t="shared" si="16"/>
        <v>15006150061683</v>
      </c>
    </row>
    <row r="973" spans="1:7" ht="14.5" x14ac:dyDescent="0.35">
      <c r="A973" s="107" t="s">
        <v>4404</v>
      </c>
      <c r="B973" s="73" t="str">
        <f>VLOOKUP(A973,SÜRELER!A:B,2,0)</f>
        <v>Optik Lens Sol W221 NSL</v>
      </c>
      <c r="C973" s="57">
        <v>10</v>
      </c>
      <c r="D973" s="58"/>
      <c r="E973" s="59"/>
      <c r="G973" t="str">
        <f t="shared" si="16"/>
        <v>15006150061684</v>
      </c>
    </row>
    <row r="974" spans="1:7" ht="14.5" x14ac:dyDescent="0.35">
      <c r="A974" s="107" t="s">
        <v>4405</v>
      </c>
      <c r="B974" s="73" t="str">
        <f>VLOOKUP(A974,SÜRELER!A:B,2,0)</f>
        <v>Optik Lens Sağ W221 NSL</v>
      </c>
      <c r="C974" s="57">
        <v>10</v>
      </c>
      <c r="D974" s="58"/>
      <c r="E974" s="59"/>
      <c r="G974" t="str">
        <f t="shared" si="16"/>
        <v>15006150061685</v>
      </c>
    </row>
    <row r="975" spans="1:7" ht="14.5" x14ac:dyDescent="0.35">
      <c r="A975" s="107" t="s">
        <v>4406</v>
      </c>
      <c r="B975" s="73" t="str">
        <f>VLOOKUP(A975,SÜRELER!A:B,2,0)</f>
        <v>Reflektör W221 Sol ROH</v>
      </c>
      <c r="C975" s="57">
        <v>10</v>
      </c>
      <c r="D975" s="58"/>
      <c r="E975" s="59"/>
      <c r="G975" t="str">
        <f t="shared" si="16"/>
        <v>15006150061686</v>
      </c>
    </row>
    <row r="976" spans="1:7" ht="14.5" x14ac:dyDescent="0.35">
      <c r="A976" s="107" t="s">
        <v>4407</v>
      </c>
      <c r="B976" s="73" t="str">
        <f>VLOOKUP(A976,SÜRELER!A:B,2,0)</f>
        <v>Reflektör W221 Sag ROH</v>
      </c>
      <c r="C976" s="57">
        <v>10</v>
      </c>
      <c r="D976" s="58"/>
      <c r="E976" s="59"/>
      <c r="G976" t="str">
        <f t="shared" si="16"/>
        <v>15006150061687</v>
      </c>
    </row>
    <row r="977" spans="1:7" ht="14.5" x14ac:dyDescent="0.35">
      <c r="A977" s="107" t="s">
        <v>4408</v>
      </c>
      <c r="B977" s="73" t="str">
        <f>VLOOKUP(A977,SÜRELER!A:B,2,0)</f>
        <v>Çerçeve Sol W221</v>
      </c>
      <c r="C977" s="57">
        <v>10</v>
      </c>
      <c r="D977" s="58"/>
      <c r="E977" s="59"/>
      <c r="G977" t="str">
        <f t="shared" si="16"/>
        <v>15006150061688</v>
      </c>
    </row>
    <row r="978" spans="1:7" ht="14.5" x14ac:dyDescent="0.35">
      <c r="A978" s="107" t="s">
        <v>4409</v>
      </c>
      <c r="B978" s="73" t="str">
        <f>VLOOKUP(A978,SÜRELER!A:B,2,0)</f>
        <v>Çerçeve Sağ W221</v>
      </c>
      <c r="C978" s="57">
        <v>10</v>
      </c>
      <c r="D978" s="58"/>
      <c r="E978" s="59"/>
      <c r="G978" t="str">
        <f t="shared" si="16"/>
        <v>15006150061689</v>
      </c>
    </row>
    <row r="979" spans="1:7" ht="14.5" x14ac:dyDescent="0.35">
      <c r="A979" s="107" t="s">
        <v>4410</v>
      </c>
      <c r="B979" s="73" t="str">
        <f>VLOOKUP(A979,SÜRELER!A:B,2,0)</f>
        <v>Kapak Sol W221 SML ECE</v>
      </c>
      <c r="C979" s="57">
        <v>10</v>
      </c>
      <c r="D979" s="58"/>
      <c r="E979" s="59"/>
      <c r="G979" t="str">
        <f t="shared" si="16"/>
        <v>15006150061690</v>
      </c>
    </row>
    <row r="980" spans="1:7" ht="14.5" x14ac:dyDescent="0.35">
      <c r="A980" s="107" t="s">
        <v>4411</v>
      </c>
      <c r="B980" s="73" t="str">
        <f>VLOOKUP(A980,SÜRELER!A:B,2,0)</f>
        <v>Kapak Sag W221 SML ECE</v>
      </c>
      <c r="C980" s="57">
        <v>10</v>
      </c>
      <c r="D980" s="58"/>
      <c r="E980" s="59"/>
      <c r="G980" t="str">
        <f t="shared" si="16"/>
        <v>15006150061691</v>
      </c>
    </row>
    <row r="981" spans="1:7" ht="14.5" x14ac:dyDescent="0.35">
      <c r="A981" s="107" t="s">
        <v>4412</v>
      </c>
      <c r="B981" s="73" t="str">
        <f>VLOOKUP(A981,SÜRELER!A:B,2,0)</f>
        <v>Lens Sol W221 Sae</v>
      </c>
      <c r="C981" s="57">
        <v>10</v>
      </c>
      <c r="D981" s="58"/>
      <c r="E981" s="59"/>
      <c r="G981" t="str">
        <f t="shared" si="16"/>
        <v>15006150061692</v>
      </c>
    </row>
    <row r="982" spans="1:7" ht="14.5" x14ac:dyDescent="0.35">
      <c r="A982" s="107" t="s">
        <v>4413</v>
      </c>
      <c r="B982" s="73" t="str">
        <f>VLOOKUP(A982,SÜRELER!A:B,2,0)</f>
        <v>Lens Sağ W221 Sae</v>
      </c>
      <c r="C982" s="57">
        <v>10</v>
      </c>
      <c r="D982" s="58"/>
      <c r="E982" s="59"/>
      <c r="G982" t="str">
        <f t="shared" si="16"/>
        <v>15006150061693</v>
      </c>
    </row>
    <row r="983" spans="1:7" ht="14.5" x14ac:dyDescent="0.35">
      <c r="A983" s="107" t="s">
        <v>4414</v>
      </c>
      <c r="B983" s="73" t="str">
        <f>VLOOKUP(A983,SÜRELER!A:B,2,0)</f>
        <v>Optik Lens Sol W221 SL/BL Sae</v>
      </c>
      <c r="C983" s="57">
        <v>10</v>
      </c>
      <c r="D983" s="58"/>
      <c r="E983" s="59"/>
      <c r="G983" t="str">
        <f t="shared" si="16"/>
        <v>15006150061694</v>
      </c>
    </row>
    <row r="984" spans="1:7" ht="14.5" x14ac:dyDescent="0.35">
      <c r="A984" s="107" t="s">
        <v>4415</v>
      </c>
      <c r="B984" s="73" t="str">
        <f>VLOOKUP(A984,SÜRELER!A:B,2,0)</f>
        <v>Optik Lens Sağ W221 SL/BL Sae</v>
      </c>
      <c r="C984" s="57">
        <v>10</v>
      </c>
      <c r="D984" s="58"/>
      <c r="E984" s="59"/>
      <c r="G984" t="str">
        <f t="shared" ref="G984:G1047" si="17">CONCATENATE($F$471,A984,)</f>
        <v>15006150061695</v>
      </c>
    </row>
    <row r="985" spans="1:7" ht="14.5" x14ac:dyDescent="0.35">
      <c r="A985" s="107" t="s">
        <v>4416</v>
      </c>
      <c r="B985" s="73" t="e">
        <f>VLOOKUP(A985,SÜRELER!A:B,2,0)</f>
        <v>#N/A</v>
      </c>
      <c r="C985" s="57">
        <v>10</v>
      </c>
      <c r="D985" s="58"/>
      <c r="E985" s="59"/>
      <c r="G985" t="str">
        <f t="shared" si="17"/>
        <v>15006150061696</v>
      </c>
    </row>
    <row r="986" spans="1:7" ht="14.5" x14ac:dyDescent="0.35">
      <c r="A986" s="107" t="s">
        <v>4417</v>
      </c>
      <c r="B986" s="73" t="e">
        <f>VLOOKUP(A986,SÜRELER!A:B,2,0)</f>
        <v>#N/A</v>
      </c>
      <c r="C986" s="57">
        <v>10</v>
      </c>
      <c r="D986" s="58"/>
      <c r="E986" s="59"/>
      <c r="G986" t="str">
        <f t="shared" si="17"/>
        <v>15006150061697</v>
      </c>
    </row>
    <row r="987" spans="1:7" ht="14.5" x14ac:dyDescent="0.35">
      <c r="A987" s="107" t="s">
        <v>4418</v>
      </c>
      <c r="B987" s="73" t="str">
        <f>VLOOKUP(A987,SÜRELER!A:B,2,0)</f>
        <v>Lens W204 ECE/SAE Sol</v>
      </c>
      <c r="C987" s="57">
        <v>10</v>
      </c>
      <c r="D987" s="58"/>
      <c r="E987" s="59"/>
      <c r="G987" t="str">
        <f t="shared" si="17"/>
        <v>15006150061698</v>
      </c>
    </row>
    <row r="988" spans="1:7" ht="14.5" x14ac:dyDescent="0.35">
      <c r="A988" s="107" t="s">
        <v>4419</v>
      </c>
      <c r="B988" s="73" t="str">
        <f>VLOOKUP(A988,SÜRELER!A:B,2,0)</f>
        <v>Lens W204 ECE/SAE Sağ</v>
      </c>
      <c r="C988" s="57">
        <v>10</v>
      </c>
      <c r="D988" s="58"/>
      <c r="E988" s="59"/>
      <c r="G988" t="str">
        <f t="shared" si="17"/>
        <v>15006150061699</v>
      </c>
    </row>
    <row r="989" spans="1:7" ht="14.5" x14ac:dyDescent="0.35">
      <c r="A989" s="107" t="s">
        <v>4420</v>
      </c>
      <c r="B989" s="73" t="str">
        <f>VLOOKUP(A989,SÜRELER!A:B,2,0)</f>
        <v>Reflektör W204 Sol + enjektör</v>
      </c>
      <c r="C989" s="57">
        <v>10</v>
      </c>
      <c r="D989" s="58"/>
      <c r="E989" s="59"/>
      <c r="G989" t="str">
        <f t="shared" si="17"/>
        <v>15006150061700</v>
      </c>
    </row>
    <row r="990" spans="1:7" ht="14.5" x14ac:dyDescent="0.35">
      <c r="A990" s="107" t="s">
        <v>4421</v>
      </c>
      <c r="B990" s="73" t="str">
        <f>VLOOKUP(A990,SÜRELER!A:B,2,0)</f>
        <v>Reflektör W204 Sağ + enjektör</v>
      </c>
      <c r="C990" s="57">
        <v>10</v>
      </c>
      <c r="D990" s="58"/>
      <c r="E990" s="59"/>
      <c r="G990" t="str">
        <f t="shared" si="17"/>
        <v>15006150061701</v>
      </c>
    </row>
    <row r="991" spans="1:7" ht="14.5" x14ac:dyDescent="0.35">
      <c r="A991" s="107" t="s">
        <v>4422</v>
      </c>
      <c r="B991" s="73" t="str">
        <f>VLOOKUP(A991,SÜRELER!A:B,2,0)</f>
        <v>Optik Lens Sol W204 ECE/SAE</v>
      </c>
      <c r="C991" s="57">
        <v>10</v>
      </c>
      <c r="D991" s="58"/>
      <c r="E991" s="59"/>
      <c r="G991" t="str">
        <f t="shared" si="17"/>
        <v>15006150061702</v>
      </c>
    </row>
    <row r="992" spans="1:7" ht="14.5" x14ac:dyDescent="0.35">
      <c r="A992" s="107" t="s">
        <v>4423</v>
      </c>
      <c r="B992" s="73" t="str">
        <f>VLOOKUP(A992,SÜRELER!A:B,2,0)</f>
        <v>Optik Lens Sağ W204 ECE/SAE</v>
      </c>
      <c r="C992" s="57">
        <v>10</v>
      </c>
      <c r="D992" s="58"/>
      <c r="E992" s="59"/>
      <c r="G992" t="str">
        <f t="shared" si="17"/>
        <v>15006150061703</v>
      </c>
    </row>
    <row r="993" spans="1:7" ht="14.5" x14ac:dyDescent="0.35">
      <c r="A993" s="107" t="s">
        <v>4424</v>
      </c>
      <c r="B993" s="73" t="str">
        <f>VLOOKUP(A993,SÜRELER!A:B,2,0)</f>
        <v>Optik Lens W204 Sol ECE/SAE</v>
      </c>
      <c r="C993" s="57">
        <v>10</v>
      </c>
      <c r="D993" s="58"/>
      <c r="E993" s="59"/>
      <c r="G993" t="str">
        <f t="shared" si="17"/>
        <v>15006150061704</v>
      </c>
    </row>
    <row r="994" spans="1:7" ht="14.5" x14ac:dyDescent="0.35">
      <c r="A994" s="107" t="s">
        <v>4425</v>
      </c>
      <c r="B994" s="73" t="str">
        <f>VLOOKUP(A994,SÜRELER!A:B,2,0)</f>
        <v>Optik Lens W204 Sağ ECE/SAE</v>
      </c>
      <c r="C994" s="57">
        <v>10</v>
      </c>
      <c r="D994" s="58"/>
      <c r="E994" s="59"/>
      <c r="G994" t="str">
        <f t="shared" si="17"/>
        <v>15006150061705</v>
      </c>
    </row>
    <row r="995" spans="1:7" ht="14.5" x14ac:dyDescent="0.35">
      <c r="A995" s="107" t="s">
        <v>4426</v>
      </c>
      <c r="B995" s="73" t="str">
        <f>VLOOKUP(A995,SÜRELER!A:B,2,0)</f>
        <v>Optik Lens W204 Sol ECE/SAE</v>
      </c>
      <c r="C995" s="57">
        <v>10</v>
      </c>
      <c r="D995" s="58"/>
      <c r="E995" s="59"/>
      <c r="G995" t="str">
        <f t="shared" si="17"/>
        <v>15006150061706</v>
      </c>
    </row>
    <row r="996" spans="1:7" ht="14.5" x14ac:dyDescent="0.35">
      <c r="A996" s="107" t="s">
        <v>4427</v>
      </c>
      <c r="B996" s="73" t="str">
        <f>VLOOKUP(A996,SÜRELER!A:B,2,0)</f>
        <v>Optik Lens W204 Sağ ECE/SAE</v>
      </c>
      <c r="C996" s="57">
        <v>10</v>
      </c>
      <c r="D996" s="58"/>
      <c r="E996" s="59"/>
      <c r="G996" t="str">
        <f t="shared" si="17"/>
        <v>15006150061707</v>
      </c>
    </row>
    <row r="997" spans="1:7" ht="14.5" x14ac:dyDescent="0.35">
      <c r="A997" s="107" t="s">
        <v>4428</v>
      </c>
      <c r="B997" s="73" t="str">
        <f>VLOOKUP(A997,SÜRELER!A:B,2,0)</f>
        <v>Reflektör W204 Sol SP + Enjektör</v>
      </c>
      <c r="C997" s="57">
        <v>10</v>
      </c>
      <c r="D997" s="58"/>
      <c r="E997" s="59"/>
      <c r="G997" t="str">
        <f t="shared" si="17"/>
        <v>15006150061708</v>
      </c>
    </row>
    <row r="998" spans="1:7" ht="14.5" x14ac:dyDescent="0.35">
      <c r="A998" s="107" t="s">
        <v>4429</v>
      </c>
      <c r="B998" s="73" t="str">
        <f>VLOOKUP(A998,SÜRELER!A:B,2,0)</f>
        <v>Reflektör W204 Sağ SP + Enjektör</v>
      </c>
      <c r="C998" s="57">
        <v>10</v>
      </c>
      <c r="D998" s="58"/>
      <c r="E998" s="59"/>
      <c r="G998" t="str">
        <f t="shared" si="17"/>
        <v>15006150061709</v>
      </c>
    </row>
    <row r="999" spans="1:7" ht="14.5" x14ac:dyDescent="0.35">
      <c r="A999" s="107" t="s">
        <v>4430</v>
      </c>
      <c r="B999" s="73" t="str">
        <f>VLOOKUP(A999,SÜRELER!A:B,2,0)</f>
        <v>Reflektör W204 SP Sol</v>
      </c>
      <c r="C999" s="57">
        <v>10</v>
      </c>
      <c r="D999" s="58"/>
      <c r="E999" s="59"/>
      <c r="G999" t="str">
        <f t="shared" si="17"/>
        <v>15006150061710</v>
      </c>
    </row>
    <row r="1000" spans="1:7" ht="14.5" x14ac:dyDescent="0.35">
      <c r="A1000" s="107" t="s">
        <v>4431</v>
      </c>
      <c r="B1000" s="73" t="str">
        <f>VLOOKUP(A1000,SÜRELER!A:B,2,0)</f>
        <v>Reflektör W204 SP Sağ</v>
      </c>
      <c r="C1000" s="57">
        <v>10</v>
      </c>
      <c r="D1000" s="58"/>
      <c r="E1000" s="59"/>
      <c r="G1000" t="str">
        <f t="shared" si="17"/>
        <v>15006150061711</v>
      </c>
    </row>
    <row r="1001" spans="1:7" ht="14.5" x14ac:dyDescent="0.35">
      <c r="A1001" s="107" t="s">
        <v>4432</v>
      </c>
      <c r="B1001" s="73" t="str">
        <f>VLOOKUP(A1001,SÜRELER!A:B,2,0)</f>
        <v>Işık Tüpü W204</v>
      </c>
      <c r="C1001" s="57">
        <v>10</v>
      </c>
      <c r="D1001" s="58"/>
      <c r="E1001" s="59"/>
      <c r="G1001" t="str">
        <f t="shared" si="17"/>
        <v>15006150061712</v>
      </c>
    </row>
    <row r="1002" spans="1:7" ht="14.5" x14ac:dyDescent="0.35">
      <c r="A1002" s="107" t="s">
        <v>4433</v>
      </c>
      <c r="B1002" s="73" t="str">
        <f>VLOOKUP(A1002,SÜRELER!A:B,2,0)</f>
        <v>Başlık W212 SWL</v>
      </c>
      <c r="C1002" s="57">
        <v>10</v>
      </c>
      <c r="D1002" s="58"/>
      <c r="E1002" s="59"/>
      <c r="G1002" t="str">
        <f t="shared" si="17"/>
        <v>15006150061713</v>
      </c>
    </row>
    <row r="1003" spans="1:7" ht="14.5" x14ac:dyDescent="0.35">
      <c r="A1003" s="107" t="s">
        <v>4434</v>
      </c>
      <c r="B1003" s="73" t="str">
        <f>VLOOKUP(A1003,SÜRELER!A:B,2,0)</f>
        <v>Lens W204 Sol</v>
      </c>
      <c r="C1003" s="57">
        <v>10</v>
      </c>
      <c r="D1003" s="58"/>
      <c r="E1003" s="59"/>
      <c r="G1003" t="str">
        <f t="shared" si="17"/>
        <v>15006150061718</v>
      </c>
    </row>
    <row r="1004" spans="1:7" ht="14.5" x14ac:dyDescent="0.35">
      <c r="A1004" s="107" t="s">
        <v>4435</v>
      </c>
      <c r="B1004" s="73" t="str">
        <f>VLOOKUP(A1004,SÜRELER!A:B,2,0)</f>
        <v>Lens W204 Sağ</v>
      </c>
      <c r="C1004" s="57">
        <v>10</v>
      </c>
      <c r="D1004" s="58"/>
      <c r="E1004" s="59"/>
      <c r="G1004" t="str">
        <f t="shared" si="17"/>
        <v>15006150061719</v>
      </c>
    </row>
    <row r="1005" spans="1:7" ht="14.5" x14ac:dyDescent="0.35">
      <c r="A1005" s="107" t="s">
        <v>4436</v>
      </c>
      <c r="B1005" s="73" t="str">
        <f>VLOOKUP(A1005,SÜRELER!A:B,2,0)</f>
        <v>Ampul Tutucu Sol W204</v>
      </c>
      <c r="C1005" s="57">
        <v>10</v>
      </c>
      <c r="D1005" s="58"/>
      <c r="E1005" s="59"/>
      <c r="G1005" t="str">
        <f t="shared" si="17"/>
        <v>15006150061720</v>
      </c>
    </row>
    <row r="1006" spans="1:7" ht="14.5" x14ac:dyDescent="0.35">
      <c r="A1006" s="107" t="s">
        <v>4437</v>
      </c>
      <c r="B1006" s="73" t="str">
        <f>VLOOKUP(A1006,SÜRELER!A:B,2,0)</f>
        <v>Ampul Tutucu Sağ W204</v>
      </c>
      <c r="C1006" s="57">
        <v>10</v>
      </c>
      <c r="D1006" s="58"/>
      <c r="E1006" s="59"/>
      <c r="G1006" t="str">
        <f t="shared" si="17"/>
        <v>15006150061721</v>
      </c>
    </row>
    <row r="1007" spans="1:7" ht="14.5" x14ac:dyDescent="0.35">
      <c r="A1007" s="107" t="s">
        <v>4438</v>
      </c>
      <c r="B1007" s="73" t="str">
        <f>VLOOKUP(A1007,SÜRELER!A:B,2,0)</f>
        <v>Lens S204 Sol SP</v>
      </c>
      <c r="C1007" s="57">
        <v>10</v>
      </c>
      <c r="D1007" s="58"/>
      <c r="E1007" s="59"/>
      <c r="G1007" t="str">
        <f t="shared" si="17"/>
        <v>15006150061722</v>
      </c>
    </row>
    <row r="1008" spans="1:7" ht="14.5" x14ac:dyDescent="0.35">
      <c r="A1008" s="107" t="s">
        <v>4439</v>
      </c>
      <c r="B1008" s="73" t="str">
        <f>VLOOKUP(A1008,SÜRELER!A:B,2,0)</f>
        <v>Lens S204 Sağ SP</v>
      </c>
      <c r="C1008" s="57">
        <v>10</v>
      </c>
      <c r="D1008" s="58"/>
      <c r="E1008" s="59"/>
      <c r="G1008" t="str">
        <f t="shared" si="17"/>
        <v>15006150061723</v>
      </c>
    </row>
    <row r="1009" spans="1:7" ht="14.5" x14ac:dyDescent="0.35">
      <c r="A1009" s="107" t="s">
        <v>4440</v>
      </c>
      <c r="B1009" s="73" t="str">
        <f>VLOOKUP(A1009,SÜRELER!A:B,2,0)</f>
        <v>Optik Lens S204 SP Sol</v>
      </c>
      <c r="C1009" s="57">
        <v>10</v>
      </c>
      <c r="D1009" s="58"/>
      <c r="E1009" s="59"/>
      <c r="G1009" t="str">
        <f t="shared" si="17"/>
        <v>15006150061724</v>
      </c>
    </row>
    <row r="1010" spans="1:7" ht="14.5" x14ac:dyDescent="0.35">
      <c r="A1010" s="107" t="s">
        <v>4441</v>
      </c>
      <c r="B1010" s="73" t="str">
        <f>VLOOKUP(A1010,SÜRELER!A:B,2,0)</f>
        <v>Optik Lens S204 SP Sag</v>
      </c>
      <c r="C1010" s="57">
        <v>10</v>
      </c>
      <c r="D1010" s="58"/>
      <c r="E1010" s="59"/>
      <c r="G1010" t="str">
        <f t="shared" si="17"/>
        <v>15006150061725</v>
      </c>
    </row>
    <row r="1011" spans="1:7" ht="14.5" x14ac:dyDescent="0.35">
      <c r="A1011" s="107" t="s">
        <v>4442</v>
      </c>
      <c r="B1011" s="73" t="str">
        <f>VLOOKUP(A1011,SÜRELER!A:B,2,0)</f>
        <v>Optik Lens S204 L</v>
      </c>
      <c r="C1011" s="57">
        <v>10</v>
      </c>
      <c r="D1011" s="58"/>
      <c r="E1011" s="59"/>
      <c r="G1011" t="str">
        <f t="shared" si="17"/>
        <v>15006150061726</v>
      </c>
    </row>
    <row r="1012" spans="1:7" ht="14.5" x14ac:dyDescent="0.35">
      <c r="A1012" s="107" t="s">
        <v>4443</v>
      </c>
      <c r="B1012" s="73" t="str">
        <f>VLOOKUP(A1012,SÜRELER!A:B,2,0)</f>
        <v>Optik Lens S204 R</v>
      </c>
      <c r="C1012" s="57">
        <v>10</v>
      </c>
      <c r="D1012" s="58"/>
      <c r="E1012" s="59"/>
      <c r="G1012" t="str">
        <f t="shared" si="17"/>
        <v>15006150061727</v>
      </c>
    </row>
    <row r="1013" spans="1:7" ht="14.5" x14ac:dyDescent="0.35">
      <c r="A1013" s="107" t="s">
        <v>4444</v>
      </c>
      <c r="B1013" s="73" t="str">
        <f>VLOOKUP(A1013,SÜRELER!A:B,2,0)</f>
        <v>Optik Lens S204 Spor Sol NSL</v>
      </c>
      <c r="C1013" s="57">
        <v>10</v>
      </c>
      <c r="D1013" s="58"/>
      <c r="E1013" s="59"/>
      <c r="G1013" t="str">
        <f t="shared" si="17"/>
        <v>15006150061728</v>
      </c>
    </row>
    <row r="1014" spans="1:7" ht="14.5" x14ac:dyDescent="0.35">
      <c r="A1014" s="107" t="s">
        <v>4445</v>
      </c>
      <c r="B1014" s="73" t="str">
        <f>VLOOKUP(A1014,SÜRELER!A:B,2,0)</f>
        <v>Optik Lens S204 Spor Sag NSL</v>
      </c>
      <c r="C1014" s="57">
        <v>10</v>
      </c>
      <c r="D1014" s="58"/>
      <c r="E1014" s="59"/>
      <c r="G1014" t="str">
        <f t="shared" si="17"/>
        <v>15006150061729</v>
      </c>
    </row>
    <row r="1015" spans="1:7" ht="14.5" x14ac:dyDescent="0.35">
      <c r="A1015" s="107" t="s">
        <v>4446</v>
      </c>
      <c r="B1015" s="73" t="str">
        <f>VLOOKUP(A1015,SÜRELER!A:B,2,0)</f>
        <v>Reflektör S204 sol + enjektör</v>
      </c>
      <c r="C1015" s="57">
        <v>10</v>
      </c>
      <c r="D1015" s="58"/>
      <c r="E1015" s="59"/>
      <c r="G1015" t="str">
        <f t="shared" si="17"/>
        <v>15006150061730</v>
      </c>
    </row>
    <row r="1016" spans="1:7" ht="14.5" x14ac:dyDescent="0.35">
      <c r="A1016" s="107" t="s">
        <v>4447</v>
      </c>
      <c r="B1016" s="73" t="str">
        <f>VLOOKUP(A1016,SÜRELER!A:B,2,0)</f>
        <v>Reflektör S204 sağ + enjektör</v>
      </c>
      <c r="C1016" s="57">
        <v>10</v>
      </c>
      <c r="D1016" s="58"/>
      <c r="E1016" s="59"/>
      <c r="G1016" t="str">
        <f t="shared" si="17"/>
        <v>15006150061731</v>
      </c>
    </row>
    <row r="1017" spans="1:7" ht="14.5" x14ac:dyDescent="0.35">
      <c r="A1017" s="107" t="s">
        <v>4448</v>
      </c>
      <c r="B1017" s="73" t="str">
        <f>VLOOKUP(A1017,SÜRELER!A:B,2,0)</f>
        <v>Lens S204 Sol</v>
      </c>
      <c r="C1017" s="57">
        <v>10</v>
      </c>
      <c r="D1017" s="58"/>
      <c r="E1017" s="59"/>
      <c r="G1017" t="str">
        <f t="shared" si="17"/>
        <v>15006150061732</v>
      </c>
    </row>
    <row r="1018" spans="1:7" ht="14.5" x14ac:dyDescent="0.35">
      <c r="A1018" s="107" t="s">
        <v>4449</v>
      </c>
      <c r="B1018" s="73" t="str">
        <f>VLOOKUP(A1018,SÜRELER!A:B,2,0)</f>
        <v>Lens S204 Sağ</v>
      </c>
      <c r="C1018" s="57">
        <v>10</v>
      </c>
      <c r="D1018" s="58"/>
      <c r="E1018" s="59"/>
      <c r="G1018" t="str">
        <f t="shared" si="17"/>
        <v>15006150061733</v>
      </c>
    </row>
    <row r="1019" spans="1:7" ht="14.5" x14ac:dyDescent="0.35">
      <c r="A1019" s="107" t="s">
        <v>4450</v>
      </c>
      <c r="B1019" s="73" t="str">
        <f>VLOOKUP(A1019,SÜRELER!A:B,2,0)</f>
        <v>Kapak S204 Sport Sol</v>
      </c>
      <c r="C1019" s="57">
        <v>10</v>
      </c>
      <c r="D1019" s="58"/>
      <c r="E1019" s="59"/>
      <c r="G1019" t="str">
        <f t="shared" si="17"/>
        <v>15006150061734</v>
      </c>
    </row>
    <row r="1020" spans="1:7" ht="14.5" x14ac:dyDescent="0.35">
      <c r="A1020" s="107" t="s">
        <v>4451</v>
      </c>
      <c r="B1020" s="73" t="str">
        <f>VLOOKUP(A1020,SÜRELER!A:B,2,0)</f>
        <v>Kapak S204 Sport Sag</v>
      </c>
      <c r="C1020" s="57">
        <v>10</v>
      </c>
      <c r="D1020" s="58"/>
      <c r="E1020" s="59"/>
      <c r="G1020" t="str">
        <f t="shared" si="17"/>
        <v>15006150061735</v>
      </c>
    </row>
    <row r="1021" spans="1:7" ht="14.5" x14ac:dyDescent="0.35">
      <c r="A1021" s="107" t="s">
        <v>4452</v>
      </c>
      <c r="B1021" s="73" t="str">
        <f>VLOOKUP(A1021,SÜRELER!A:B,2,0)</f>
        <v>Reflektör S204 Sol SP</v>
      </c>
      <c r="C1021" s="57">
        <v>10</v>
      </c>
      <c r="D1021" s="58"/>
      <c r="E1021" s="59"/>
      <c r="G1021" t="str">
        <f t="shared" si="17"/>
        <v>15006150061736</v>
      </c>
    </row>
    <row r="1022" spans="1:7" ht="14.5" x14ac:dyDescent="0.35">
      <c r="A1022" s="107" t="s">
        <v>4453</v>
      </c>
      <c r="B1022" s="73" t="str">
        <f>VLOOKUP(A1022,SÜRELER!A:B,2,0)</f>
        <v>Reflektör S204 Sağ SP</v>
      </c>
      <c r="C1022" s="57">
        <v>10</v>
      </c>
      <c r="D1022" s="58"/>
      <c r="E1022" s="59"/>
      <c r="G1022" t="str">
        <f t="shared" si="17"/>
        <v>15006150061737</v>
      </c>
    </row>
    <row r="1023" spans="1:7" ht="14.5" x14ac:dyDescent="0.35">
      <c r="A1023" s="107" t="s">
        <v>4454</v>
      </c>
      <c r="B1023" s="73" t="str">
        <f>VLOOKUP(A1023,SÜRELER!A:B,2,0)</f>
        <v xml:space="preserve">Optik Lens S204 Sol </v>
      </c>
      <c r="C1023" s="57">
        <v>10</v>
      </c>
      <c r="D1023" s="58"/>
      <c r="E1023" s="59"/>
      <c r="G1023" t="str">
        <f t="shared" si="17"/>
        <v>15006150061740</v>
      </c>
    </row>
    <row r="1024" spans="1:7" ht="14.5" x14ac:dyDescent="0.35">
      <c r="A1024" s="107" t="s">
        <v>4455</v>
      </c>
      <c r="B1024" s="73" t="str">
        <f>VLOOKUP(A1024,SÜRELER!A:B,2,0)</f>
        <v>Optik Lens S204 Sağ</v>
      </c>
      <c r="C1024" s="57">
        <v>10</v>
      </c>
      <c r="D1024" s="58"/>
      <c r="E1024" s="59"/>
      <c r="G1024" t="str">
        <f t="shared" si="17"/>
        <v>15006150061741</v>
      </c>
    </row>
    <row r="1025" spans="1:7" ht="14.5" x14ac:dyDescent="0.35">
      <c r="A1025" s="107" t="s">
        <v>4456</v>
      </c>
      <c r="B1025" s="73" t="str">
        <f>VLOOKUP(A1025,SÜRELER!A:B,2,0)</f>
        <v>Reflektör S204 Sol SP + enjektör</v>
      </c>
      <c r="C1025" s="57">
        <v>10</v>
      </c>
      <c r="D1025" s="58"/>
      <c r="E1025" s="59"/>
      <c r="G1025" t="str">
        <f t="shared" si="17"/>
        <v>15006150061742</v>
      </c>
    </row>
    <row r="1026" spans="1:7" ht="14.5" x14ac:dyDescent="0.35">
      <c r="A1026" s="107" t="s">
        <v>4457</v>
      </c>
      <c r="B1026" s="73" t="str">
        <f>VLOOKUP(A1026,SÜRELER!A:B,2,0)</f>
        <v>Reflektör S204 Sağ SP + enjektör</v>
      </c>
      <c r="C1026" s="57">
        <v>10</v>
      </c>
      <c r="D1026" s="58"/>
      <c r="E1026" s="59"/>
      <c r="G1026" t="str">
        <f t="shared" si="17"/>
        <v>15006150061743</v>
      </c>
    </row>
    <row r="1027" spans="1:7" ht="14.5" x14ac:dyDescent="0.35">
      <c r="A1027" s="107" t="s">
        <v>4458</v>
      </c>
      <c r="B1027" s="73" t="str">
        <f>VLOOKUP(A1027,SÜRELER!A:B,2,0)</f>
        <v>Lens X204 SP ECE/SAE Sol</v>
      </c>
      <c r="C1027" s="57">
        <v>10</v>
      </c>
      <c r="D1027" s="58"/>
      <c r="E1027" s="59"/>
      <c r="G1027" t="str">
        <f t="shared" si="17"/>
        <v>15006150061744</v>
      </c>
    </row>
    <row r="1028" spans="1:7" ht="14.5" x14ac:dyDescent="0.35">
      <c r="A1028" s="107" t="s">
        <v>4459</v>
      </c>
      <c r="B1028" s="73" t="str">
        <f>VLOOKUP(A1028,SÜRELER!A:B,2,0)</f>
        <v>Lens X204 SP ECE/SAE Sag</v>
      </c>
      <c r="C1028" s="57">
        <v>10</v>
      </c>
      <c r="D1028" s="58"/>
      <c r="E1028" s="59"/>
      <c r="G1028" t="str">
        <f t="shared" si="17"/>
        <v>15006150061745</v>
      </c>
    </row>
    <row r="1029" spans="1:7" ht="14.5" x14ac:dyDescent="0.35">
      <c r="A1029" s="107" t="s">
        <v>4460</v>
      </c>
      <c r="B1029" s="73" t="str">
        <f>VLOOKUP(A1029,SÜRELER!A:B,2,0)</f>
        <v>Optik Lens X204 SP Sol ECE/SAE BL/SL</v>
      </c>
      <c r="C1029" s="57">
        <v>10</v>
      </c>
      <c r="D1029" s="58"/>
      <c r="E1029" s="59"/>
      <c r="G1029" t="str">
        <f t="shared" si="17"/>
        <v>15006150061746</v>
      </c>
    </row>
    <row r="1030" spans="1:7" ht="14.5" x14ac:dyDescent="0.35">
      <c r="A1030" s="107" t="s">
        <v>4461</v>
      </c>
      <c r="B1030" s="73" t="str">
        <f>VLOOKUP(A1030,SÜRELER!A:B,2,0)</f>
        <v>Optik Lens X204 SP Sag ECE/SAE BL/SL</v>
      </c>
      <c r="C1030" s="57">
        <v>10</v>
      </c>
      <c r="D1030" s="58"/>
      <c r="E1030" s="59"/>
      <c r="G1030" t="str">
        <f t="shared" si="17"/>
        <v>15006150061747</v>
      </c>
    </row>
    <row r="1031" spans="1:7" ht="14.5" x14ac:dyDescent="0.35">
      <c r="A1031" s="107" t="s">
        <v>4462</v>
      </c>
      <c r="B1031" s="73" t="str">
        <f>VLOOKUP(A1031,SÜRELER!A:B,2,0)</f>
        <v>Optik Lens X204 Sol ECE/SAE</v>
      </c>
      <c r="C1031" s="57">
        <v>10</v>
      </c>
      <c r="D1031" s="58"/>
      <c r="E1031" s="59"/>
      <c r="G1031" t="str">
        <f t="shared" si="17"/>
        <v>15006150061748</v>
      </c>
    </row>
    <row r="1032" spans="1:7" ht="14.5" x14ac:dyDescent="0.35">
      <c r="A1032" s="107" t="s">
        <v>4463</v>
      </c>
      <c r="B1032" s="73" t="str">
        <f>VLOOKUP(A1032,SÜRELER!A:B,2,0)</f>
        <v>Optik Lens X204 Sağ ECE/SAE</v>
      </c>
      <c r="C1032" s="57">
        <v>10</v>
      </c>
      <c r="D1032" s="58"/>
      <c r="E1032" s="59"/>
      <c r="G1032" t="str">
        <f t="shared" si="17"/>
        <v>15006150061749</v>
      </c>
    </row>
    <row r="1033" spans="1:7" ht="14.5" x14ac:dyDescent="0.35">
      <c r="A1033" s="107" t="s">
        <v>4464</v>
      </c>
      <c r="B1033" s="73" t="str">
        <f>VLOOKUP(A1033,SÜRELER!A:B,2,0)</f>
        <v>Optik Lens X204 SP Sol ECE/SAE NSL/S</v>
      </c>
      <c r="C1033" s="57">
        <v>10</v>
      </c>
      <c r="D1033" s="58"/>
      <c r="E1033" s="59"/>
      <c r="G1033" t="str">
        <f t="shared" si="17"/>
        <v>15006150061750</v>
      </c>
    </row>
    <row r="1034" spans="1:7" ht="14.5" x14ac:dyDescent="0.35">
      <c r="A1034" s="107" t="s">
        <v>4465</v>
      </c>
      <c r="B1034" s="73" t="str">
        <f>VLOOKUP(A1034,SÜRELER!A:B,2,0)</f>
        <v>Optik Lens X204 SP Sag ECE/SAE NSL/S</v>
      </c>
      <c r="C1034" s="57">
        <v>10</v>
      </c>
      <c r="D1034" s="58"/>
      <c r="E1034" s="59"/>
      <c r="G1034" t="str">
        <f t="shared" si="17"/>
        <v>15006150061751</v>
      </c>
    </row>
    <row r="1035" spans="1:7" ht="14.5" x14ac:dyDescent="0.35">
      <c r="A1035" s="107" t="s">
        <v>4466</v>
      </c>
      <c r="B1035" s="73" t="str">
        <f>VLOOKUP(A1035,SÜRELER!A:B,2,0)</f>
        <v>Vidali Reflektör X204 Sol</v>
      </c>
      <c r="C1035" s="57">
        <v>10</v>
      </c>
      <c r="D1035" s="58"/>
      <c r="E1035" s="59"/>
      <c r="G1035" t="str">
        <f t="shared" si="17"/>
        <v>15006150061752</v>
      </c>
    </row>
    <row r="1036" spans="1:7" ht="14.5" x14ac:dyDescent="0.35">
      <c r="A1036" s="107" t="s">
        <v>4467</v>
      </c>
      <c r="B1036" s="73" t="str">
        <f>VLOOKUP(A1036,SÜRELER!A:B,2,0)</f>
        <v>Vidali Reflektör X204 Sağ</v>
      </c>
      <c r="C1036" s="57">
        <v>10</v>
      </c>
      <c r="D1036" s="58"/>
      <c r="E1036" s="59"/>
      <c r="G1036" t="str">
        <f t="shared" si="17"/>
        <v>15006150061753</v>
      </c>
    </row>
    <row r="1037" spans="1:7" ht="14.5" x14ac:dyDescent="0.35">
      <c r="A1037" s="107" t="s">
        <v>4468</v>
      </c>
      <c r="B1037" s="73" t="str">
        <f>VLOOKUP(A1037,SÜRELER!A:B,2,0)</f>
        <v>Vidali Reflektör X204 Sol SP</v>
      </c>
      <c r="C1037" s="57">
        <v>10</v>
      </c>
      <c r="D1037" s="58"/>
      <c r="E1037" s="59"/>
      <c r="G1037" t="str">
        <f t="shared" si="17"/>
        <v>15006150061754</v>
      </c>
    </row>
    <row r="1038" spans="1:7" ht="14.5" x14ac:dyDescent="0.35">
      <c r="A1038" s="107" t="s">
        <v>4469</v>
      </c>
      <c r="B1038" s="73" t="str">
        <f>VLOOKUP(A1038,SÜRELER!A:B,2,0)</f>
        <v>Vidali Reflektör X204 Sağ SP</v>
      </c>
      <c r="C1038" s="57">
        <v>10</v>
      </c>
      <c r="D1038" s="58"/>
      <c r="E1038" s="59"/>
      <c r="G1038" t="str">
        <f t="shared" si="17"/>
        <v>15006150061755</v>
      </c>
    </row>
    <row r="1039" spans="1:7" ht="14.5" x14ac:dyDescent="0.35">
      <c r="A1039" s="107" t="s">
        <v>4470</v>
      </c>
      <c r="B1039" s="73" t="str">
        <f>VLOOKUP(A1039,SÜRELER!A:B,2,0)</f>
        <v>Optik Lens X204 SP Sol</v>
      </c>
      <c r="C1039" s="57">
        <v>10</v>
      </c>
      <c r="D1039" s="58"/>
      <c r="E1039" s="59"/>
      <c r="G1039" t="str">
        <f t="shared" si="17"/>
        <v>15006150061756</v>
      </c>
    </row>
    <row r="1040" spans="1:7" ht="14.5" x14ac:dyDescent="0.35">
      <c r="A1040" s="107" t="s">
        <v>4471</v>
      </c>
      <c r="B1040" s="73" t="str">
        <f>VLOOKUP(A1040,SÜRELER!A:B,2,0)</f>
        <v>Optik Lens X204 SP Sağ</v>
      </c>
      <c r="C1040" s="57">
        <v>10</v>
      </c>
      <c r="D1040" s="58"/>
      <c r="E1040" s="59"/>
      <c r="G1040" t="str">
        <f t="shared" si="17"/>
        <v>15006150061757</v>
      </c>
    </row>
    <row r="1041" spans="1:7" ht="14.5" x14ac:dyDescent="0.35">
      <c r="A1041" s="107" t="s">
        <v>4472</v>
      </c>
      <c r="B1041" s="73" t="str">
        <f>VLOOKUP(A1041,SÜRELER!A:B,2,0)</f>
        <v>Led Çerçeve Sol X204/SP</v>
      </c>
      <c r="C1041" s="57">
        <v>10</v>
      </c>
      <c r="D1041" s="58"/>
      <c r="E1041" s="59"/>
      <c r="G1041" t="str">
        <f t="shared" si="17"/>
        <v>15006150061760</v>
      </c>
    </row>
    <row r="1042" spans="1:7" ht="14.5" x14ac:dyDescent="0.35">
      <c r="A1042" s="107" t="s">
        <v>4473</v>
      </c>
      <c r="B1042" s="73" t="str">
        <f>VLOOKUP(A1042,SÜRELER!A:B,2,0)</f>
        <v>Led Çerçeve Sag  X204/SP</v>
      </c>
      <c r="C1042" s="57">
        <v>10</v>
      </c>
      <c r="D1042" s="58"/>
      <c r="E1042" s="59"/>
      <c r="G1042" t="str">
        <f t="shared" si="17"/>
        <v>15006150061761</v>
      </c>
    </row>
    <row r="1043" spans="1:7" ht="14.5" x14ac:dyDescent="0.35">
      <c r="A1043" s="107" t="s">
        <v>4474</v>
      </c>
      <c r="B1043" s="73" t="str">
        <f>VLOOKUP(A1043,SÜRELER!A:B,2,0)</f>
        <v>Led Reflektör + Çerçeve X204 Sol</v>
      </c>
      <c r="C1043" s="57">
        <v>10</v>
      </c>
      <c r="D1043" s="58"/>
      <c r="E1043" s="59"/>
      <c r="G1043" t="str">
        <f t="shared" si="17"/>
        <v>15006150061762</v>
      </c>
    </row>
    <row r="1044" spans="1:7" ht="14.5" x14ac:dyDescent="0.35">
      <c r="A1044" s="107" t="s">
        <v>4475</v>
      </c>
      <c r="B1044" s="73" t="str">
        <f>VLOOKUP(A1044,SÜRELER!A:B,2,0)</f>
        <v>Led Reflektör + Çerçeve X204 Sag</v>
      </c>
      <c r="C1044" s="57">
        <v>10</v>
      </c>
      <c r="D1044" s="58"/>
      <c r="E1044" s="59"/>
      <c r="G1044" t="str">
        <f t="shared" si="17"/>
        <v>15006150061763</v>
      </c>
    </row>
    <row r="1045" spans="1:7" ht="14.5" x14ac:dyDescent="0.35">
      <c r="A1045" s="107" t="s">
        <v>4476</v>
      </c>
      <c r="B1045" s="73" t="str">
        <f>VLOOKUP(A1045,SÜRELER!A:B,2,0)</f>
        <v>Kapak Şeffaf Sol X204/SP</v>
      </c>
      <c r="C1045" s="57">
        <v>10</v>
      </c>
      <c r="D1045" s="58"/>
      <c r="E1045" s="59"/>
      <c r="G1045" t="str">
        <f t="shared" si="17"/>
        <v>15006150061764</v>
      </c>
    </row>
    <row r="1046" spans="1:7" ht="14.5" x14ac:dyDescent="0.35">
      <c r="A1046" s="107" t="s">
        <v>4477</v>
      </c>
      <c r="B1046" s="73" t="str">
        <f>VLOOKUP(A1046,SÜRELER!A:B,2,0)</f>
        <v>Kapak Şeffaf Sag X204</v>
      </c>
      <c r="C1046" s="57">
        <v>10</v>
      </c>
      <c r="D1046" s="58"/>
      <c r="E1046" s="59"/>
      <c r="G1046" t="str">
        <f t="shared" si="17"/>
        <v>15006150061765</v>
      </c>
    </row>
    <row r="1047" spans="1:7" ht="14.5" x14ac:dyDescent="0.35">
      <c r="A1047" s="107" t="s">
        <v>4478</v>
      </c>
      <c r="B1047" s="73" t="str">
        <f>VLOOKUP(A1047,SÜRELER!A:B,2,0)</f>
        <v>Lens Sol ECE/SAE W212</v>
      </c>
      <c r="C1047" s="57">
        <v>10</v>
      </c>
      <c r="D1047" s="58"/>
      <c r="E1047" s="59"/>
      <c r="G1047" t="str">
        <f t="shared" si="17"/>
        <v>15006150061768</v>
      </c>
    </row>
    <row r="1048" spans="1:7" ht="14.5" x14ac:dyDescent="0.35">
      <c r="A1048" s="107" t="s">
        <v>4479</v>
      </c>
      <c r="B1048" s="73" t="str">
        <f>VLOOKUP(A1048,SÜRELER!A:B,2,0)</f>
        <v>Lens Sağ ECE/SAE W212</v>
      </c>
      <c r="C1048" s="57">
        <v>10</v>
      </c>
      <c r="D1048" s="58"/>
      <c r="E1048" s="59"/>
      <c r="G1048" t="str">
        <f t="shared" ref="G1048:G1111" si="18">CONCATENATE($F$471,A1048,)</f>
        <v>15006150061769</v>
      </c>
    </row>
    <row r="1049" spans="1:7" ht="14.5" x14ac:dyDescent="0.35">
      <c r="A1049" s="107" t="s">
        <v>4480</v>
      </c>
      <c r="B1049" s="73" t="str">
        <f>VLOOKUP(A1049,SÜRELER!A:B,2,0)</f>
        <v>Optik Lens Sol SWL W212</v>
      </c>
      <c r="C1049" s="57">
        <v>10</v>
      </c>
      <c r="D1049" s="58"/>
      <c r="E1049" s="59"/>
      <c r="G1049" t="str">
        <f t="shared" si="18"/>
        <v>15006150061770</v>
      </c>
    </row>
    <row r="1050" spans="1:7" ht="14.5" x14ac:dyDescent="0.35">
      <c r="A1050" s="107" t="s">
        <v>4481</v>
      </c>
      <c r="B1050" s="73" t="str">
        <f>VLOOKUP(A1050,SÜRELER!A:B,2,0)</f>
        <v>Optik Lens Sağ SWL W212</v>
      </c>
      <c r="C1050" s="57">
        <v>10</v>
      </c>
      <c r="D1050" s="58"/>
      <c r="E1050" s="59"/>
      <c r="G1050" t="str">
        <f t="shared" si="18"/>
        <v>15006150061771</v>
      </c>
    </row>
    <row r="1051" spans="1:7" ht="14.5" x14ac:dyDescent="0.35">
      <c r="A1051" s="107" t="s">
        <v>4482</v>
      </c>
      <c r="B1051" s="73" t="str">
        <f>VLOOKUP(A1051,SÜRELER!A:B,2,0)</f>
        <v>Lens W212 Sol SWL</v>
      </c>
      <c r="C1051" s="57">
        <v>10</v>
      </c>
      <c r="D1051" s="58"/>
      <c r="E1051" s="59"/>
      <c r="G1051" t="str">
        <f t="shared" si="18"/>
        <v>15006150061772</v>
      </c>
    </row>
    <row r="1052" spans="1:7" ht="14.5" x14ac:dyDescent="0.35">
      <c r="A1052" s="107" t="s">
        <v>4483</v>
      </c>
      <c r="B1052" s="73" t="str">
        <f>VLOOKUP(A1052,SÜRELER!A:B,2,0)</f>
        <v>Lens W212 SWL Sağ</v>
      </c>
      <c r="C1052" s="57">
        <v>10</v>
      </c>
      <c r="D1052" s="58"/>
      <c r="E1052" s="59"/>
      <c r="G1052" t="str">
        <f t="shared" si="18"/>
        <v>15006150061773</v>
      </c>
    </row>
    <row r="1053" spans="1:7" ht="14.5" x14ac:dyDescent="0.35">
      <c r="A1053" s="107" t="s">
        <v>4484</v>
      </c>
      <c r="B1053" s="73" t="str">
        <f>VLOOKUP(A1053,SÜRELER!A:B,2,0)</f>
        <v>Lens W212 Sol SWL şeffaf</v>
      </c>
      <c r="C1053" s="57">
        <v>10</v>
      </c>
      <c r="D1053" s="58"/>
      <c r="E1053" s="59"/>
      <c r="G1053" t="str">
        <f t="shared" si="18"/>
        <v>15006150061774</v>
      </c>
    </row>
    <row r="1054" spans="1:7" ht="14.5" x14ac:dyDescent="0.35">
      <c r="A1054" s="107" t="s">
        <v>4485</v>
      </c>
      <c r="B1054" s="73" t="str">
        <f>VLOOKUP(A1054,SÜRELER!A:B,2,0)</f>
        <v>Lens W212 Sağ SWL şeffaf</v>
      </c>
      <c r="C1054" s="57">
        <v>10</v>
      </c>
      <c r="D1054" s="58"/>
      <c r="E1054" s="59"/>
      <c r="G1054" t="str">
        <f t="shared" si="18"/>
        <v>15006150061775</v>
      </c>
    </row>
    <row r="1055" spans="1:7" ht="14.5" x14ac:dyDescent="0.35">
      <c r="A1055" s="107" t="s">
        <v>4486</v>
      </c>
      <c r="B1055" s="73" t="str">
        <f>VLOOKUP(A1055,SÜRELER!A:B,2,0)</f>
        <v>Gövde W212 Sol SWL</v>
      </c>
      <c r="C1055" s="57">
        <v>10</v>
      </c>
      <c r="D1055" s="58"/>
      <c r="E1055" s="59"/>
      <c r="G1055" t="str">
        <f t="shared" si="18"/>
        <v>15006150061776</v>
      </c>
    </row>
    <row r="1056" spans="1:7" ht="14.5" x14ac:dyDescent="0.35">
      <c r="A1056" s="107" t="s">
        <v>4487</v>
      </c>
      <c r="B1056" s="73" t="str">
        <f>VLOOKUP(A1056,SÜRELER!A:B,2,0)</f>
        <v>Gövde W212 Sag SWL</v>
      </c>
      <c r="C1056" s="57">
        <v>10</v>
      </c>
      <c r="D1056" s="58"/>
      <c r="E1056" s="59"/>
      <c r="G1056" t="str">
        <f t="shared" si="18"/>
        <v>15006150061777</v>
      </c>
    </row>
    <row r="1057" spans="1:7" ht="14.5" x14ac:dyDescent="0.35">
      <c r="A1057" s="107" t="s">
        <v>4488</v>
      </c>
      <c r="B1057" s="73" t="str">
        <f>VLOOKUP(A1057,SÜRELER!A:B,2,0)</f>
        <v>Reflektör W212 Sol SWL</v>
      </c>
      <c r="C1057" s="57">
        <v>10</v>
      </c>
      <c r="D1057" s="58"/>
      <c r="E1057" s="59"/>
      <c r="G1057" t="str">
        <f t="shared" si="18"/>
        <v>15006150061778</v>
      </c>
    </row>
    <row r="1058" spans="1:7" ht="14.5" x14ac:dyDescent="0.35">
      <c r="A1058" s="107" t="s">
        <v>4489</v>
      </c>
      <c r="B1058" s="73" t="str">
        <f>VLOOKUP(A1058,SÜRELER!A:B,2,0)</f>
        <v>Reflektör W212 Sağ SWL</v>
      </c>
      <c r="C1058" s="57">
        <v>10</v>
      </c>
      <c r="D1058" s="58"/>
      <c r="E1058" s="59"/>
      <c r="G1058" t="str">
        <f t="shared" si="18"/>
        <v>15006150061779</v>
      </c>
    </row>
    <row r="1059" spans="1:7" ht="14.5" x14ac:dyDescent="0.35">
      <c r="A1059" s="107" t="s">
        <v>4490</v>
      </c>
      <c r="B1059" s="73" t="str">
        <f>VLOOKUP(A1059,SÜRELER!A:B,2,0)</f>
        <v>Çerçeve W212 Sol SWL</v>
      </c>
      <c r="C1059" s="57">
        <v>10</v>
      </c>
      <c r="D1059" s="58"/>
      <c r="E1059" s="59"/>
      <c r="G1059" t="str">
        <f t="shared" si="18"/>
        <v>15006150061780</v>
      </c>
    </row>
    <row r="1060" spans="1:7" ht="14.5" x14ac:dyDescent="0.35">
      <c r="A1060" s="107" t="s">
        <v>4491</v>
      </c>
      <c r="B1060" s="73" t="str">
        <f>VLOOKUP(A1060,SÜRELER!A:B,2,0)</f>
        <v>Çerçeve W212 Sağ SWL</v>
      </c>
      <c r="C1060" s="57">
        <v>10</v>
      </c>
      <c r="D1060" s="58"/>
      <c r="E1060" s="59"/>
      <c r="G1060" t="str">
        <f t="shared" si="18"/>
        <v>15006150061781</v>
      </c>
    </row>
    <row r="1061" spans="1:7" ht="14.5" x14ac:dyDescent="0.35">
      <c r="A1061" s="107" t="s">
        <v>4492</v>
      </c>
      <c r="B1061" s="73" t="str">
        <f>VLOOKUP(A1061,SÜRELER!A:B,2,0)</f>
        <v>Reflektör W212 Sol SWL/LP</v>
      </c>
      <c r="C1061" s="57">
        <v>10</v>
      </c>
      <c r="D1061" s="58"/>
      <c r="E1061" s="59"/>
      <c r="G1061" t="str">
        <f t="shared" si="18"/>
        <v>15006150061782</v>
      </c>
    </row>
    <row r="1062" spans="1:7" ht="14.5" x14ac:dyDescent="0.35">
      <c r="A1062" s="107" t="s">
        <v>4493</v>
      </c>
      <c r="B1062" s="73" t="str">
        <f>VLOOKUP(A1062,SÜRELER!A:B,2,0)</f>
        <v>Reflektör W212 Sağ SWL/LP</v>
      </c>
      <c r="C1062" s="57">
        <v>10</v>
      </c>
      <c r="D1062" s="58"/>
      <c r="E1062" s="59"/>
      <c r="G1062" t="str">
        <f t="shared" si="18"/>
        <v>15006150061783</v>
      </c>
    </row>
    <row r="1063" spans="1:7" ht="14.5" x14ac:dyDescent="0.35">
      <c r="A1063" s="107" t="s">
        <v>4494</v>
      </c>
      <c r="B1063" s="73" t="str">
        <f>VLOOKUP(A1063,SÜRELER!A:B,2,0)</f>
        <v>Lens Sol W212</v>
      </c>
      <c r="C1063" s="57">
        <v>10</v>
      </c>
      <c r="D1063" s="58"/>
      <c r="E1063" s="59"/>
      <c r="G1063" t="str">
        <f t="shared" si="18"/>
        <v>15006150061784</v>
      </c>
    </row>
    <row r="1064" spans="1:7" ht="14.5" x14ac:dyDescent="0.35">
      <c r="A1064" s="107" t="s">
        <v>4495</v>
      </c>
      <c r="B1064" s="73" t="str">
        <f>VLOOKUP(A1064,SÜRELER!A:B,2,0)</f>
        <v>Lens Sağ W212</v>
      </c>
      <c r="C1064" s="57">
        <v>10</v>
      </c>
      <c r="D1064" s="58"/>
      <c r="E1064" s="59"/>
      <c r="G1064" t="str">
        <f t="shared" si="18"/>
        <v>15006150061785</v>
      </c>
    </row>
    <row r="1065" spans="1:7" ht="14.5" x14ac:dyDescent="0.35">
      <c r="A1065" s="107" t="s">
        <v>4496</v>
      </c>
      <c r="B1065" s="73" t="str">
        <f>VLOOKUP(A1065,SÜRELER!A:B,2,0)</f>
        <v>Lens W212 Sol SWL Art</v>
      </c>
      <c r="C1065" s="57">
        <v>10</v>
      </c>
      <c r="D1065" s="58"/>
      <c r="E1065" s="59"/>
      <c r="G1065" t="str">
        <f t="shared" si="18"/>
        <v>15006150061786</v>
      </c>
    </row>
    <row r="1066" spans="1:7" ht="14.5" x14ac:dyDescent="0.35">
      <c r="A1066" s="107" t="s">
        <v>4497</v>
      </c>
      <c r="B1066" s="73" t="str">
        <f>VLOOKUP(A1066,SÜRELER!A:B,2,0)</f>
        <v>Lens W212 SWL Sağ Art</v>
      </c>
      <c r="C1066" s="57">
        <v>10</v>
      </c>
      <c r="D1066" s="58"/>
      <c r="E1066" s="59"/>
      <c r="G1066" t="str">
        <f t="shared" si="18"/>
        <v>15006150061787</v>
      </c>
    </row>
    <row r="1067" spans="1:7" ht="14.5" x14ac:dyDescent="0.35">
      <c r="A1067" s="107" t="s">
        <v>4498</v>
      </c>
      <c r="B1067" s="73" t="str">
        <f>VLOOKUP(A1067,SÜRELER!A:B,2,0)</f>
        <v>Lens W212 Sol SWL kırmızı</v>
      </c>
      <c r="C1067" s="57">
        <v>10</v>
      </c>
      <c r="D1067" s="58"/>
      <c r="E1067" s="59"/>
      <c r="G1067" t="str">
        <f t="shared" si="18"/>
        <v>15006150061788</v>
      </c>
    </row>
    <row r="1068" spans="1:7" ht="14.5" x14ac:dyDescent="0.35">
      <c r="A1068" s="107" t="s">
        <v>4499</v>
      </c>
      <c r="B1068" s="73" t="str">
        <f>VLOOKUP(A1068,SÜRELER!A:B,2,0)</f>
        <v>Lens W212 Sağ SWL kırmızı</v>
      </c>
      <c r="C1068" s="57">
        <v>10</v>
      </c>
      <c r="D1068" s="58"/>
      <c r="E1068" s="59"/>
      <c r="G1068" t="str">
        <f t="shared" si="18"/>
        <v>15006150061789</v>
      </c>
    </row>
    <row r="1069" spans="1:7" ht="14.5" x14ac:dyDescent="0.35">
      <c r="A1069" s="107" t="s">
        <v>4500</v>
      </c>
      <c r="B1069" s="73" t="str">
        <f>VLOOKUP(A1069,SÜRELER!A:B,2,0)</f>
        <v>Lens Sol HDL W212</v>
      </c>
      <c r="C1069" s="57">
        <v>10</v>
      </c>
      <c r="D1069" s="58"/>
      <c r="E1069" s="59"/>
      <c r="G1069" t="str">
        <f t="shared" si="18"/>
        <v>15006150061790</v>
      </c>
    </row>
    <row r="1070" spans="1:7" ht="14.5" x14ac:dyDescent="0.35">
      <c r="A1070" s="107" t="s">
        <v>4501</v>
      </c>
      <c r="B1070" s="73" t="str">
        <f>VLOOKUP(A1070,SÜRELER!A:B,2,0)</f>
        <v>Lens Sağ HDL W212</v>
      </c>
      <c r="C1070" s="57">
        <v>10</v>
      </c>
      <c r="D1070" s="58"/>
      <c r="E1070" s="59"/>
      <c r="G1070" t="str">
        <f t="shared" si="18"/>
        <v>15006150061791</v>
      </c>
    </row>
    <row r="1071" spans="1:7" ht="14.5" x14ac:dyDescent="0.35">
      <c r="A1071" s="107" t="s">
        <v>4502</v>
      </c>
      <c r="B1071" s="73" t="str">
        <f>VLOOKUP(A1071,SÜRELER!A:B,2,0)</f>
        <v>Lens W212 Sol HDL Art</v>
      </c>
      <c r="C1071" s="57">
        <v>10</v>
      </c>
      <c r="D1071" s="58"/>
      <c r="E1071" s="59"/>
      <c r="G1071" t="str">
        <f t="shared" si="18"/>
        <v>15006150061792</v>
      </c>
    </row>
    <row r="1072" spans="1:7" ht="14.5" x14ac:dyDescent="0.35">
      <c r="A1072" s="107" t="s">
        <v>4503</v>
      </c>
      <c r="B1072" s="73" t="str">
        <f>VLOOKUP(A1072,SÜRELER!A:B,2,0)</f>
        <v>Lens W212 Sağ HDL Art</v>
      </c>
      <c r="C1072" s="57">
        <v>10</v>
      </c>
      <c r="D1072" s="58"/>
      <c r="E1072" s="59"/>
      <c r="G1072" t="str">
        <f t="shared" si="18"/>
        <v>15006150061793</v>
      </c>
    </row>
    <row r="1073" spans="1:7" ht="14.5" x14ac:dyDescent="0.35">
      <c r="A1073" s="107" t="s">
        <v>4504</v>
      </c>
      <c r="B1073" s="73" t="str">
        <f>VLOOKUP(A1073,SÜRELER!A:B,2,0)</f>
        <v>Gövde W212 Sol HDL</v>
      </c>
      <c r="C1073" s="57">
        <v>10</v>
      </c>
      <c r="D1073" s="58"/>
      <c r="E1073" s="59"/>
      <c r="G1073" t="str">
        <f t="shared" si="18"/>
        <v>15006150061794</v>
      </c>
    </row>
    <row r="1074" spans="1:7" ht="14.5" x14ac:dyDescent="0.35">
      <c r="A1074" s="107" t="s">
        <v>4505</v>
      </c>
      <c r="B1074" s="73" t="str">
        <f>VLOOKUP(A1074,SÜRELER!A:B,2,0)</f>
        <v>Gövde W212 Sağ HDL</v>
      </c>
      <c r="C1074" s="57">
        <v>10</v>
      </c>
      <c r="D1074" s="58"/>
      <c r="E1074" s="59"/>
      <c r="G1074" t="str">
        <f t="shared" si="18"/>
        <v>15006150061795</v>
      </c>
    </row>
    <row r="1075" spans="1:7" ht="14.5" x14ac:dyDescent="0.35">
      <c r="A1075" s="107" t="s">
        <v>4506</v>
      </c>
      <c r="B1075" s="73" t="str">
        <f>VLOOKUP(A1075,SÜRELER!A:B,2,0)</f>
        <v>Reflektör W212 Sol HDL</v>
      </c>
      <c r="C1075" s="57">
        <v>10</v>
      </c>
      <c r="D1075" s="58"/>
      <c r="E1075" s="59"/>
      <c r="G1075" t="str">
        <f t="shared" si="18"/>
        <v>15006150061796</v>
      </c>
    </row>
    <row r="1076" spans="1:7" ht="14.5" x14ac:dyDescent="0.35">
      <c r="A1076" s="107" t="s">
        <v>4507</v>
      </c>
      <c r="B1076" s="73" t="str">
        <f>VLOOKUP(A1076,SÜRELER!A:B,2,0)</f>
        <v>Reflektör W212 Sağ HDL</v>
      </c>
      <c r="C1076" s="57">
        <v>10</v>
      </c>
      <c r="D1076" s="58"/>
      <c r="E1076" s="59"/>
      <c r="G1076" t="str">
        <f t="shared" si="18"/>
        <v>15006150061797</v>
      </c>
    </row>
    <row r="1077" spans="1:7" ht="14.5" x14ac:dyDescent="0.35">
      <c r="A1077" s="107" t="s">
        <v>4508</v>
      </c>
      <c r="B1077" s="73" t="str">
        <f>VLOOKUP(A1077,SÜRELER!A:B,2,0)</f>
        <v>Optik Lens W212 Sol HDL</v>
      </c>
      <c r="C1077" s="57">
        <v>10</v>
      </c>
      <c r="D1077" s="58"/>
      <c r="E1077" s="59"/>
      <c r="G1077" t="str">
        <f t="shared" si="18"/>
        <v>15006150061798</v>
      </c>
    </row>
    <row r="1078" spans="1:7" ht="14.5" x14ac:dyDescent="0.35">
      <c r="A1078" s="107" t="s">
        <v>4509</v>
      </c>
      <c r="B1078" s="73" t="str">
        <f>VLOOKUP(A1078,SÜRELER!A:B,2,0)</f>
        <v>Optik Lens W212 Sag HDL</v>
      </c>
      <c r="C1078" s="57">
        <v>10</v>
      </c>
      <c r="D1078" s="58"/>
      <c r="E1078" s="59"/>
      <c r="G1078" t="str">
        <f t="shared" si="18"/>
        <v>15006150061799</v>
      </c>
    </row>
    <row r="1079" spans="1:7" ht="14.5" x14ac:dyDescent="0.35">
      <c r="A1079" s="107" t="s">
        <v>4510</v>
      </c>
      <c r="B1079" s="73" t="str">
        <f>VLOOKUP(A1079,SÜRELER!A:B,2,0)</f>
        <v>Lens 254 kırmızı ECE/SAE</v>
      </c>
      <c r="C1079" s="57">
        <v>10</v>
      </c>
      <c r="D1079" s="58"/>
      <c r="E1079" s="59"/>
      <c r="G1079" t="str">
        <f t="shared" si="18"/>
        <v>15006150061800</v>
      </c>
    </row>
    <row r="1080" spans="1:7" ht="14.5" x14ac:dyDescent="0.35">
      <c r="A1080" s="107" t="s">
        <v>4511</v>
      </c>
      <c r="B1080" s="73" t="str">
        <f>VLOOKUP(A1080,SÜRELER!A:B,2,0)</f>
        <v>Kapak RS 254</v>
      </c>
      <c r="C1080" s="57">
        <v>10</v>
      </c>
      <c r="D1080" s="58"/>
      <c r="E1080" s="59"/>
      <c r="G1080" t="str">
        <f t="shared" si="18"/>
        <v>15006150061801</v>
      </c>
    </row>
    <row r="1081" spans="1:7" ht="14.5" x14ac:dyDescent="0.35">
      <c r="A1081" s="107" t="s">
        <v>4512</v>
      </c>
      <c r="B1081" s="73" t="str">
        <f>VLOOKUP(A1081,SÜRELER!A:B,2,0)</f>
        <v>Lens Sol HDL W212</v>
      </c>
      <c r="C1081" s="57">
        <v>10</v>
      </c>
      <c r="D1081" s="58"/>
      <c r="E1081" s="59"/>
      <c r="G1081" t="str">
        <f t="shared" si="18"/>
        <v>15006150061802</v>
      </c>
    </row>
    <row r="1082" spans="1:7" ht="14.5" x14ac:dyDescent="0.35">
      <c r="A1082" s="107" t="s">
        <v>4513</v>
      </c>
      <c r="B1082" s="73" t="str">
        <f>VLOOKUP(A1082,SÜRELER!A:B,2,0)</f>
        <v>Lens Sag HDL W212</v>
      </c>
      <c r="C1082" s="57">
        <v>10</v>
      </c>
      <c r="D1082" s="58"/>
      <c r="E1082" s="59"/>
      <c r="G1082" t="str">
        <f t="shared" si="18"/>
        <v>15006150061803</v>
      </c>
    </row>
    <row r="1083" spans="1:7" ht="14.5" x14ac:dyDescent="0.35">
      <c r="A1083" s="107" t="s">
        <v>4514</v>
      </c>
      <c r="B1083" s="73" t="str">
        <f>VLOOKUP(A1083,SÜRELER!A:B,2,0)</f>
        <v>Lens W212 Sol HDL</v>
      </c>
      <c r="C1083" s="57">
        <v>10</v>
      </c>
      <c r="D1083" s="58"/>
      <c r="E1083" s="59"/>
      <c r="G1083" t="str">
        <f t="shared" si="18"/>
        <v>15006150061804</v>
      </c>
    </row>
    <row r="1084" spans="1:7" ht="14.5" x14ac:dyDescent="0.35">
      <c r="A1084" s="107" t="s">
        <v>4515</v>
      </c>
      <c r="B1084" s="73" t="str">
        <f>VLOOKUP(A1084,SÜRELER!A:B,2,0)</f>
        <v>Lens W212 Sağ HDL</v>
      </c>
      <c r="C1084" s="57">
        <v>10</v>
      </c>
      <c r="D1084" s="58"/>
      <c r="E1084" s="59"/>
      <c r="G1084" t="str">
        <f t="shared" si="18"/>
        <v>15006150061805</v>
      </c>
    </row>
    <row r="1085" spans="1:7" ht="14.5" x14ac:dyDescent="0.35">
      <c r="A1085" s="107" t="s">
        <v>4516</v>
      </c>
      <c r="B1085" s="73" t="str">
        <f>VLOOKUP(A1085,SÜRELER!A:B,2,0)</f>
        <v>Lens C/A207 ECE/SAE Sol SWL</v>
      </c>
      <c r="C1085" s="57">
        <v>10</v>
      </c>
      <c r="D1085" s="58"/>
      <c r="E1085" s="59"/>
      <c r="G1085" t="str">
        <f t="shared" si="18"/>
        <v>15006150061806</v>
      </c>
    </row>
    <row r="1086" spans="1:7" ht="14.5" x14ac:dyDescent="0.35">
      <c r="A1086" s="107" t="s">
        <v>4517</v>
      </c>
      <c r="B1086" s="73" t="str">
        <f>VLOOKUP(A1086,SÜRELER!A:B,2,0)</f>
        <v>Lens C/A207 ECE/SAE Sag SWL</v>
      </c>
      <c r="C1086" s="57">
        <v>10</v>
      </c>
      <c r="D1086" s="58"/>
      <c r="E1086" s="59"/>
      <c r="G1086" t="str">
        <f t="shared" si="18"/>
        <v>15006150061807</v>
      </c>
    </row>
    <row r="1087" spans="1:7" ht="14.5" x14ac:dyDescent="0.35">
      <c r="A1087" s="107" t="s">
        <v>4518</v>
      </c>
      <c r="B1087" s="73" t="str">
        <f>VLOOKUP(A1087,SÜRELER!A:B,2,0)</f>
        <v>Lens C/A207 Sol SWL</v>
      </c>
      <c r="C1087" s="57">
        <v>10</v>
      </c>
      <c r="D1087" s="58"/>
      <c r="E1087" s="59"/>
      <c r="G1087" t="str">
        <f t="shared" si="18"/>
        <v>15006150061808</v>
      </c>
    </row>
    <row r="1088" spans="1:7" ht="14.5" x14ac:dyDescent="0.35">
      <c r="A1088" s="107" t="s">
        <v>4519</v>
      </c>
      <c r="B1088" s="73" t="str">
        <f>VLOOKUP(A1088,SÜRELER!A:B,2,0)</f>
        <v>Lens C/A207 Sağ SWL</v>
      </c>
      <c r="C1088" s="57">
        <v>10</v>
      </c>
      <c r="D1088" s="58"/>
      <c r="E1088" s="59"/>
      <c r="G1088" t="str">
        <f t="shared" si="18"/>
        <v>15006150061809</v>
      </c>
    </row>
    <row r="1089" spans="1:7" ht="14.5" x14ac:dyDescent="0.35">
      <c r="A1089" s="107" t="s">
        <v>4520</v>
      </c>
      <c r="B1089" s="73" t="str">
        <f>VLOOKUP(A1089,SÜRELER!A:B,2,0)</f>
        <v>Lens C/A207 Sol SWL</v>
      </c>
      <c r="C1089" s="57">
        <v>10</v>
      </c>
      <c r="D1089" s="58"/>
      <c r="E1089" s="59"/>
      <c r="G1089" t="str">
        <f t="shared" si="18"/>
        <v>15006150061810</v>
      </c>
    </row>
    <row r="1090" spans="1:7" ht="14.5" x14ac:dyDescent="0.35">
      <c r="A1090" s="107" t="s">
        <v>4521</v>
      </c>
      <c r="B1090" s="73" t="str">
        <f>VLOOKUP(A1090,SÜRELER!A:B,2,0)</f>
        <v>Lens C/A207 Sağ SWL</v>
      </c>
      <c r="C1090" s="57">
        <v>10</v>
      </c>
      <c r="D1090" s="58"/>
      <c r="E1090" s="59"/>
      <c r="G1090" t="str">
        <f t="shared" si="18"/>
        <v>15006150061811</v>
      </c>
    </row>
    <row r="1091" spans="1:7" ht="14.5" x14ac:dyDescent="0.35">
      <c r="A1091" s="107" t="s">
        <v>4522</v>
      </c>
      <c r="B1091" s="73" t="str">
        <f>VLOOKUP(A1091,SÜRELER!A:B,2,0)</f>
        <v>Gövde C/A207 Sol SWL</v>
      </c>
      <c r="C1091" s="57">
        <v>10</v>
      </c>
      <c r="D1091" s="58"/>
      <c r="E1091" s="59"/>
      <c r="G1091" t="str">
        <f t="shared" si="18"/>
        <v>15006150061812</v>
      </c>
    </row>
    <row r="1092" spans="1:7" ht="14.5" x14ac:dyDescent="0.35">
      <c r="A1092" s="107" t="s">
        <v>4523</v>
      </c>
      <c r="B1092" s="73" t="str">
        <f>VLOOKUP(A1092,SÜRELER!A:B,2,0)</f>
        <v>Gövde C/A207 Sag SWL</v>
      </c>
      <c r="C1092" s="57">
        <v>10</v>
      </c>
      <c r="D1092" s="58"/>
      <c r="E1092" s="59"/>
      <c r="G1092" t="str">
        <f t="shared" si="18"/>
        <v>15006150061813</v>
      </c>
    </row>
    <row r="1093" spans="1:7" ht="14.5" x14ac:dyDescent="0.35">
      <c r="A1093" s="107" t="s">
        <v>4524</v>
      </c>
      <c r="B1093" s="73" t="str">
        <f>VLOOKUP(A1093,SÜRELER!A:B,2,0)</f>
        <v>Reflektör C/A207 Sol SWL</v>
      </c>
      <c r="C1093" s="57">
        <v>10</v>
      </c>
      <c r="D1093" s="58"/>
      <c r="E1093" s="59"/>
      <c r="G1093" t="str">
        <f t="shared" si="18"/>
        <v>15006150061814</v>
      </c>
    </row>
    <row r="1094" spans="1:7" ht="14.5" x14ac:dyDescent="0.35">
      <c r="A1094" s="107" t="s">
        <v>4525</v>
      </c>
      <c r="B1094" s="73" t="str">
        <f>VLOOKUP(A1094,SÜRELER!A:B,2,0)</f>
        <v>Reflektör C/A207 Sağ SWL</v>
      </c>
      <c r="C1094" s="57">
        <v>10</v>
      </c>
      <c r="D1094" s="58"/>
      <c r="E1094" s="59"/>
      <c r="G1094" t="str">
        <f t="shared" si="18"/>
        <v>15006150061815</v>
      </c>
    </row>
    <row r="1095" spans="1:7" ht="14.5" x14ac:dyDescent="0.35">
      <c r="A1095" s="107" t="s">
        <v>4526</v>
      </c>
      <c r="B1095" s="73" t="str">
        <f>VLOOKUP(A1095,SÜRELER!A:B,2,0)</f>
        <v>Çerçeve C/A207 Sol SWL</v>
      </c>
      <c r="C1095" s="57">
        <v>10</v>
      </c>
      <c r="D1095" s="58"/>
      <c r="E1095" s="59"/>
      <c r="G1095" t="str">
        <f t="shared" si="18"/>
        <v>15006150061816</v>
      </c>
    </row>
    <row r="1096" spans="1:7" ht="14.5" x14ac:dyDescent="0.35">
      <c r="A1096" s="107" t="s">
        <v>4527</v>
      </c>
      <c r="B1096" s="73" t="str">
        <f>VLOOKUP(A1096,SÜRELER!A:B,2,0)</f>
        <v>Çerçeve C/A207 Sağ SWL</v>
      </c>
      <c r="C1096" s="57">
        <v>10</v>
      </c>
      <c r="D1096" s="58"/>
      <c r="E1096" s="59"/>
      <c r="G1096" t="str">
        <f t="shared" si="18"/>
        <v>15006150061817</v>
      </c>
    </row>
    <row r="1097" spans="1:7" ht="14.5" x14ac:dyDescent="0.35">
      <c r="A1097" s="107" t="s">
        <v>4528</v>
      </c>
      <c r="B1097" s="73" t="str">
        <f>VLOOKUP(A1097,SÜRELER!A:B,2,0)</f>
        <v>Lens C/A207 ECE/SAE Sol HDL</v>
      </c>
      <c r="C1097" s="57">
        <v>10</v>
      </c>
      <c r="D1097" s="58"/>
      <c r="E1097" s="59"/>
      <c r="G1097" t="str">
        <f t="shared" si="18"/>
        <v>15006150061818</v>
      </c>
    </row>
    <row r="1098" spans="1:7" ht="14.5" x14ac:dyDescent="0.35">
      <c r="A1098" s="107" t="s">
        <v>4529</v>
      </c>
      <c r="B1098" s="73" t="str">
        <f>VLOOKUP(A1098,SÜRELER!A:B,2,0)</f>
        <v>Lens C/A207 ECE/SAE Sağ HDL</v>
      </c>
      <c r="C1098" s="57">
        <v>10</v>
      </c>
      <c r="D1098" s="58"/>
      <c r="E1098" s="59"/>
      <c r="G1098" t="str">
        <f t="shared" si="18"/>
        <v>15006150061819</v>
      </c>
    </row>
    <row r="1099" spans="1:7" ht="14.5" x14ac:dyDescent="0.35">
      <c r="A1099" s="107" t="s">
        <v>4530</v>
      </c>
      <c r="B1099" s="73" t="str">
        <f>VLOOKUP(A1099,SÜRELER!A:B,2,0)</f>
        <v>Lens C/A207 Sol HDL</v>
      </c>
      <c r="C1099" s="57">
        <v>10</v>
      </c>
      <c r="D1099" s="58"/>
      <c r="E1099" s="59"/>
      <c r="G1099" t="str">
        <f t="shared" si="18"/>
        <v>15006150061820</v>
      </c>
    </row>
    <row r="1100" spans="1:7" ht="14.5" x14ac:dyDescent="0.35">
      <c r="A1100" s="107" t="s">
        <v>4531</v>
      </c>
      <c r="B1100" s="73" t="str">
        <f>VLOOKUP(A1100,SÜRELER!A:B,2,0)</f>
        <v>Lens C/A207 Sağ HDL</v>
      </c>
      <c r="C1100" s="57">
        <v>10</v>
      </c>
      <c r="D1100" s="58"/>
      <c r="E1100" s="59"/>
      <c r="G1100" t="str">
        <f t="shared" si="18"/>
        <v>15006150061821</v>
      </c>
    </row>
    <row r="1101" spans="1:7" ht="14.5" x14ac:dyDescent="0.35">
      <c r="A1101" s="107" t="s">
        <v>4532</v>
      </c>
      <c r="B1101" s="73" t="str">
        <f>VLOOKUP(A1101,SÜRELER!A:B,2,0)</f>
        <v>Gövde Sol HDL C/A207</v>
      </c>
      <c r="C1101" s="57">
        <v>10</v>
      </c>
      <c r="D1101" s="58"/>
      <c r="E1101" s="59"/>
      <c r="G1101" t="str">
        <f t="shared" si="18"/>
        <v>15006150061822</v>
      </c>
    </row>
    <row r="1102" spans="1:7" ht="14.5" x14ac:dyDescent="0.35">
      <c r="A1102" s="107" t="s">
        <v>4533</v>
      </c>
      <c r="B1102" s="73" t="str">
        <f>VLOOKUP(A1102,SÜRELER!A:B,2,0)</f>
        <v>Gövde Sağ HDL C/A207</v>
      </c>
      <c r="C1102" s="57">
        <v>10</v>
      </c>
      <c r="D1102" s="58"/>
      <c r="E1102" s="59"/>
      <c r="G1102" t="str">
        <f t="shared" si="18"/>
        <v>15006150061823</v>
      </c>
    </row>
    <row r="1103" spans="1:7" ht="14.5" x14ac:dyDescent="0.35">
      <c r="A1103" s="107" t="s">
        <v>4534</v>
      </c>
      <c r="B1103" s="73" t="str">
        <f>VLOOKUP(A1103,SÜRELER!A:B,2,0)</f>
        <v>Reflektör C/A207 Sol HDL</v>
      </c>
      <c r="C1103" s="57">
        <v>10</v>
      </c>
      <c r="D1103" s="58"/>
      <c r="E1103" s="59"/>
      <c r="G1103" t="str">
        <f t="shared" si="18"/>
        <v>15006150061824</v>
      </c>
    </row>
    <row r="1104" spans="1:7" ht="14.5" x14ac:dyDescent="0.35">
      <c r="A1104" s="107" t="s">
        <v>4535</v>
      </c>
      <c r="B1104" s="73" t="str">
        <f>VLOOKUP(A1104,SÜRELER!A:B,2,0)</f>
        <v>Reflektör C/A207 Sağ HDL</v>
      </c>
      <c r="C1104" s="57">
        <v>10</v>
      </c>
      <c r="D1104" s="58"/>
      <c r="E1104" s="59"/>
      <c r="G1104" t="str">
        <f t="shared" si="18"/>
        <v>15006150061825</v>
      </c>
    </row>
    <row r="1105" spans="1:7" ht="14.5" x14ac:dyDescent="0.35">
      <c r="A1105" s="107" t="s">
        <v>4536</v>
      </c>
      <c r="B1105" s="73" t="str">
        <f>VLOOKUP(A1105,SÜRELER!A:B,2,0)</f>
        <v>Optik lens C/A207 Sol HDL</v>
      </c>
      <c r="C1105" s="57">
        <v>10</v>
      </c>
      <c r="D1105" s="58"/>
      <c r="E1105" s="59"/>
      <c r="G1105" t="str">
        <f t="shared" si="18"/>
        <v>15006150061826</v>
      </c>
    </row>
    <row r="1106" spans="1:7" ht="14.5" x14ac:dyDescent="0.35">
      <c r="A1106" s="107" t="s">
        <v>4537</v>
      </c>
      <c r="B1106" s="73" t="str">
        <f>VLOOKUP(A1106,SÜRELER!A:B,2,0)</f>
        <v>Optik lens C/A207 Sağ HDL</v>
      </c>
      <c r="C1106" s="57">
        <v>10</v>
      </c>
      <c r="D1106" s="58"/>
      <c r="E1106" s="59"/>
      <c r="G1106" t="str">
        <f t="shared" si="18"/>
        <v>15006150061827</v>
      </c>
    </row>
    <row r="1107" spans="1:7" ht="14.5" x14ac:dyDescent="0.35">
      <c r="A1107" s="107" t="s">
        <v>4538</v>
      </c>
      <c r="B1107" s="73" t="str">
        <f>VLOOKUP(A1107,SÜRELER!A:B,2,0)</f>
        <v>Ø61 Sarı Refleks Lens</v>
      </c>
      <c r="C1107" s="57">
        <v>10</v>
      </c>
      <c r="D1107" s="58"/>
      <c r="E1107" s="59"/>
      <c r="G1107" t="str">
        <f t="shared" si="18"/>
        <v>15006150061828</v>
      </c>
    </row>
    <row r="1108" spans="1:7" ht="14.5" x14ac:dyDescent="0.35">
      <c r="A1108" s="107" t="s">
        <v>4539</v>
      </c>
      <c r="B1108" s="73" t="str">
        <f>VLOOKUP(A1108,SÜRELER!A:B,2,0)</f>
        <v>Ø61 Gövde RS</v>
      </c>
      <c r="C1108" s="57">
        <v>10</v>
      </c>
      <c r="D1108" s="58"/>
      <c r="E1108" s="59"/>
      <c r="G1108" t="str">
        <f t="shared" si="18"/>
        <v>15006150061829</v>
      </c>
    </row>
    <row r="1109" spans="1:7" ht="14.5" x14ac:dyDescent="0.35">
      <c r="A1109" s="107" t="s">
        <v>4540</v>
      </c>
      <c r="B1109" s="73" t="str">
        <f>VLOOKUP(A1109,SÜRELER!A:B,2,0)</f>
        <v>Vidali Gövde 1148 RS</v>
      </c>
      <c r="C1109" s="57">
        <v>10</v>
      </c>
      <c r="D1109" s="58"/>
      <c r="E1109" s="59"/>
      <c r="G1109" t="str">
        <f t="shared" si="18"/>
        <v>15006150061830</v>
      </c>
    </row>
    <row r="1110" spans="1:7" ht="14.5" x14ac:dyDescent="0.35">
      <c r="A1110" s="107" t="s">
        <v>4541</v>
      </c>
      <c r="B1110" s="73" t="str">
        <f>VLOOKUP(A1110,SÜRELER!A:B,2,0)</f>
        <v>Kırmızı Lens 1148</v>
      </c>
      <c r="C1110" s="57">
        <v>10</v>
      </c>
      <c r="D1110" s="58"/>
      <c r="E1110" s="59"/>
      <c r="G1110" t="str">
        <f t="shared" si="18"/>
        <v>15006150061831</v>
      </c>
    </row>
    <row r="1111" spans="1:7" ht="14.5" x14ac:dyDescent="0.35">
      <c r="A1111" s="107" t="s">
        <v>4542</v>
      </c>
      <c r="B1111" s="73" t="str">
        <f>VLOOKUP(A1111,SÜRELER!A:B,2,0)</f>
        <v>Kırmızı Lens 1149 (ULO-923 50)</v>
      </c>
      <c r="C1111" s="57">
        <v>10</v>
      </c>
      <c r="D1111" s="58"/>
      <c r="E1111" s="59"/>
      <c r="G1111" t="str">
        <f t="shared" si="18"/>
        <v>15006150061832</v>
      </c>
    </row>
    <row r="1112" spans="1:7" ht="14.5" x14ac:dyDescent="0.35">
      <c r="A1112" s="107" t="s">
        <v>4543</v>
      </c>
      <c r="B1112" s="73" t="str">
        <f>VLOOKUP(A1112,SÜRELER!A:B,2,0)</f>
        <v>Gövde 1149 RS</v>
      </c>
      <c r="C1112" s="57">
        <v>10</v>
      </c>
      <c r="D1112" s="58"/>
      <c r="E1112" s="59"/>
      <c r="G1112" t="str">
        <f t="shared" ref="G1112:G1175" si="19">CONCATENATE($F$471,A1112,)</f>
        <v>15006150061833</v>
      </c>
    </row>
    <row r="1113" spans="1:7" ht="14.5" x14ac:dyDescent="0.35">
      <c r="A1113" s="107" t="s">
        <v>4544</v>
      </c>
      <c r="B1113" s="73" t="str">
        <f>VLOOKUP(A1113,SÜRELER!A:B,2,0)</f>
        <v>Şeffaf Lens 1149 (ULO-923)</v>
      </c>
      <c r="C1113" s="57">
        <v>10</v>
      </c>
      <c r="D1113" s="58"/>
      <c r="E1113" s="59"/>
      <c r="G1113" t="str">
        <f t="shared" si="19"/>
        <v>15006150061834</v>
      </c>
    </row>
    <row r="1114" spans="1:7" ht="14.5" x14ac:dyDescent="0.35">
      <c r="A1114" s="107" t="s">
        <v>4545</v>
      </c>
      <c r="B1114" s="73" t="str">
        <f>VLOOKUP(A1114,SÜRELER!A:B,2,0)</f>
        <v>Sarı Lens 1149 (923-50)</v>
      </c>
      <c r="C1114" s="57">
        <v>10</v>
      </c>
      <c r="D1114" s="58"/>
      <c r="E1114" s="59"/>
      <c r="G1114" t="str">
        <f t="shared" si="19"/>
        <v>15006150061835</v>
      </c>
    </row>
    <row r="1115" spans="1:7" ht="14.5" x14ac:dyDescent="0.35">
      <c r="A1115" s="107" t="s">
        <v>4546</v>
      </c>
      <c r="B1115" s="73" t="str">
        <f>VLOOKUP(A1115,SÜRELER!A:B,2,0)</f>
        <v>Reflektör EVOBUS EVOGRAU2</v>
      </c>
      <c r="C1115" s="57">
        <v>10</v>
      </c>
      <c r="D1115" s="58"/>
      <c r="E1115" s="59"/>
      <c r="G1115" t="str">
        <f t="shared" si="19"/>
        <v>15006150061836</v>
      </c>
    </row>
    <row r="1116" spans="1:7" ht="14.5" x14ac:dyDescent="0.35">
      <c r="A1116" s="107" t="s">
        <v>4547</v>
      </c>
      <c r="B1116" s="73" t="str">
        <f>VLOOKUP(A1116,SÜRELER!A:B,2,0)</f>
        <v>Reflektör EVOBUS EVOGRAU3</v>
      </c>
      <c r="C1116" s="57">
        <v>10</v>
      </c>
      <c r="D1116" s="58"/>
      <c r="E1116" s="59"/>
      <c r="G1116" t="str">
        <f t="shared" si="19"/>
        <v>15006150061837</v>
      </c>
    </row>
    <row r="1117" spans="1:7" ht="14.5" x14ac:dyDescent="0.35">
      <c r="A1117" s="107" t="s">
        <v>4548</v>
      </c>
      <c r="B1117" s="73" t="str">
        <f>VLOOKUP(A1117,SÜRELER!A:B,2,0)</f>
        <v>Kırmızı Ön Lens 1521</v>
      </c>
      <c r="C1117" s="57">
        <v>10</v>
      </c>
      <c r="D1117" s="58"/>
      <c r="E1117" s="59"/>
      <c r="G1117" t="str">
        <f t="shared" si="19"/>
        <v>15006150061838</v>
      </c>
    </row>
    <row r="1118" spans="1:7" ht="14.5" x14ac:dyDescent="0.35">
      <c r="A1118" s="107" t="s">
        <v>4549</v>
      </c>
      <c r="B1118" s="73" t="str">
        <f>VLOOKUP(A1118,SÜRELER!A:B,2,0)</f>
        <v>Beyaz Kapak 1521</v>
      </c>
      <c r="C1118" s="57">
        <v>10</v>
      </c>
      <c r="D1118" s="58"/>
      <c r="E1118" s="59"/>
      <c r="G1118" t="str">
        <f t="shared" si="19"/>
        <v>15006150061839</v>
      </c>
    </row>
    <row r="1119" spans="1:7" ht="14.5" x14ac:dyDescent="0.35">
      <c r="A1119" s="107" t="s">
        <v>4550</v>
      </c>
      <c r="B1119" s="73" t="str">
        <f>VLOOKUP(A1119,SÜRELER!A:B,2,0)</f>
        <v>Şeffaf Ön Lens 1521</v>
      </c>
      <c r="C1119" s="57">
        <v>10</v>
      </c>
      <c r="D1119" s="58"/>
      <c r="E1119" s="59"/>
      <c r="G1119" t="str">
        <f t="shared" si="19"/>
        <v>15006150061840</v>
      </c>
    </row>
    <row r="1120" spans="1:7" ht="14.5" x14ac:dyDescent="0.35">
      <c r="A1120" s="107" t="s">
        <v>4551</v>
      </c>
      <c r="B1120" s="73" t="str">
        <f>VLOOKUP(A1120,SÜRELER!A:B,2,0)</f>
        <v>Sarı Ön Lens 1521</v>
      </c>
      <c r="C1120" s="57">
        <v>10</v>
      </c>
      <c r="D1120" s="58"/>
      <c r="E1120" s="59"/>
      <c r="G1120" t="str">
        <f t="shared" si="19"/>
        <v>15006150061841</v>
      </c>
    </row>
    <row r="1121" spans="1:7" ht="14.5" x14ac:dyDescent="0.35">
      <c r="A1121" s="107" t="s">
        <v>4552</v>
      </c>
      <c r="B1121" s="73" t="str">
        <f>VLOOKUP(A1121,SÜRELER!A:B,2,0)</f>
        <v>Kırmızı Lens 1521</v>
      </c>
      <c r="C1121" s="57">
        <v>10</v>
      </c>
      <c r="D1121" s="58"/>
      <c r="E1121" s="59"/>
      <c r="G1121" t="str">
        <f t="shared" si="19"/>
        <v>15006150061842</v>
      </c>
    </row>
    <row r="1122" spans="1:7" ht="14.5" x14ac:dyDescent="0.35">
      <c r="A1122" s="107" t="s">
        <v>4553</v>
      </c>
      <c r="B1122" s="73" t="str">
        <f>VLOOKUP(A1122,SÜRELER!A:B,2,0)</f>
        <v>Beyaz Koruyucu Kapak 1521</v>
      </c>
      <c r="C1122" s="57">
        <v>10</v>
      </c>
      <c r="D1122" s="58"/>
      <c r="E1122" s="59"/>
      <c r="G1122" t="str">
        <f t="shared" si="19"/>
        <v>15006150061843</v>
      </c>
    </row>
    <row r="1123" spans="1:7" ht="14.5" x14ac:dyDescent="0.35">
      <c r="A1123" s="107" t="s">
        <v>4554</v>
      </c>
      <c r="B1123" s="73" t="str">
        <f>VLOOKUP(A1123,SÜRELER!A:B,2,0)</f>
        <v>Şeffaf Lens 1521</v>
      </c>
      <c r="C1123" s="57">
        <v>10</v>
      </c>
      <c r="D1123" s="58"/>
      <c r="E1123" s="59"/>
      <c r="G1123" t="str">
        <f t="shared" si="19"/>
        <v>15006150061844</v>
      </c>
    </row>
    <row r="1124" spans="1:7" ht="14.5" x14ac:dyDescent="0.35">
      <c r="A1124" s="107" t="s">
        <v>4555</v>
      </c>
      <c r="B1124" s="73" t="str">
        <f>VLOOKUP(A1124,SÜRELER!A:B,2,0)</f>
        <v>Sarı Lens 1521</v>
      </c>
      <c r="C1124" s="57">
        <v>10</v>
      </c>
      <c r="D1124" s="58"/>
      <c r="E1124" s="59"/>
      <c r="G1124" t="str">
        <f t="shared" si="19"/>
        <v>15006150061845</v>
      </c>
    </row>
    <row r="1125" spans="1:7" ht="14.5" x14ac:dyDescent="0.35">
      <c r="A1125" s="107" t="s">
        <v>4556</v>
      </c>
      <c r="B1125" s="73" t="str">
        <f>VLOOKUP(A1125,SÜRELER!A:B,2,0)</f>
        <v>15mm Pimli Komple Ürün 1523 RS</v>
      </c>
      <c r="C1125" s="57">
        <v>10</v>
      </c>
      <c r="D1125" s="58"/>
      <c r="E1125" s="59"/>
      <c r="G1125" t="str">
        <f t="shared" si="19"/>
        <v>15006150061846</v>
      </c>
    </row>
    <row r="1126" spans="1:7" ht="14.5" x14ac:dyDescent="0.35">
      <c r="A1126" s="107" t="s">
        <v>4557</v>
      </c>
      <c r="B1126" s="73" t="str">
        <f>VLOOKUP(A1126,SÜRELER!A:B,2,0)</f>
        <v>Kırmızı Lens 1523</v>
      </c>
      <c r="C1126" s="57">
        <v>10</v>
      </c>
      <c r="D1126" s="58"/>
      <c r="E1126" s="59"/>
      <c r="G1126" t="str">
        <f t="shared" si="19"/>
        <v>15006150061847</v>
      </c>
    </row>
    <row r="1127" spans="1:7" ht="14.5" x14ac:dyDescent="0.35">
      <c r="A1127" s="107" t="s">
        <v>4558</v>
      </c>
      <c r="B1127" s="73" t="str">
        <f>VLOOKUP(A1127,SÜRELER!A:B,2,0)</f>
        <v>Sarı Lens 1523</v>
      </c>
      <c r="C1127" s="57">
        <v>10</v>
      </c>
      <c r="D1127" s="58"/>
      <c r="E1127" s="59"/>
      <c r="G1127" t="str">
        <f t="shared" si="19"/>
        <v>15006150061848</v>
      </c>
    </row>
    <row r="1128" spans="1:7" ht="14.5" x14ac:dyDescent="0.35">
      <c r="A1128" s="107" t="s">
        <v>4559</v>
      </c>
      <c r="B1128" s="73" t="str">
        <f>VLOOKUP(A1128,SÜRELER!A:B,2,0)</f>
        <v>Siyah Gövde Audi Coupe 1523 RS</v>
      </c>
      <c r="C1128" s="57">
        <v>10</v>
      </c>
      <c r="D1128" s="58"/>
      <c r="E1128" s="59"/>
      <c r="G1128" t="str">
        <f t="shared" si="19"/>
        <v>15006150061849</v>
      </c>
    </row>
    <row r="1129" spans="1:7" ht="14.5" x14ac:dyDescent="0.35">
      <c r="A1129" s="107" t="s">
        <v>4560</v>
      </c>
      <c r="B1129" s="73" t="str">
        <f>VLOOKUP(A1129,SÜRELER!A:B,2,0)</f>
        <v>Kırmızı Lens 1523 SAE</v>
      </c>
      <c r="C1129" s="57">
        <v>10</v>
      </c>
      <c r="D1129" s="58"/>
      <c r="E1129" s="59"/>
      <c r="G1129" t="str">
        <f t="shared" si="19"/>
        <v>15006150061850</v>
      </c>
    </row>
    <row r="1130" spans="1:7" ht="14.5" x14ac:dyDescent="0.35">
      <c r="A1130" s="107" t="s">
        <v>4561</v>
      </c>
      <c r="B1130" s="73" t="str">
        <f>VLOOKUP(A1130,SÜRELER!A:B,2,0)</f>
        <v>Siyah Gövde 1523 RS</v>
      </c>
      <c r="C1130" s="57">
        <v>10</v>
      </c>
      <c r="D1130" s="58"/>
      <c r="E1130" s="59"/>
      <c r="G1130" t="str">
        <f t="shared" si="19"/>
        <v>15006150061851</v>
      </c>
    </row>
    <row r="1131" spans="1:7" ht="14.5" x14ac:dyDescent="0.35">
      <c r="A1131" s="107" t="s">
        <v>4562</v>
      </c>
      <c r="B1131" s="73" t="str">
        <f>VLOOKUP(A1131,SÜRELER!A:B,2,0)</f>
        <v>Kırmızı Koruyucu Kapak 1518 RS</v>
      </c>
      <c r="C1131" s="57">
        <v>10</v>
      </c>
      <c r="D1131" s="58"/>
      <c r="E1131" s="59"/>
      <c r="G1131" t="str">
        <f t="shared" si="19"/>
        <v>15006150061852</v>
      </c>
    </row>
    <row r="1132" spans="1:7" ht="14.5" x14ac:dyDescent="0.35">
      <c r="A1132" s="107" t="s">
        <v>4563</v>
      </c>
      <c r="B1132" s="73" t="str">
        <f>VLOOKUP(A1132,SÜRELER!A:B,2,0)</f>
        <v>Kırmızı Lens 1518</v>
      </c>
      <c r="C1132" s="57">
        <v>10</v>
      </c>
      <c r="D1132" s="58"/>
      <c r="E1132" s="59"/>
      <c r="G1132" t="str">
        <f t="shared" si="19"/>
        <v>15006150061853</v>
      </c>
    </row>
    <row r="1133" spans="1:7" ht="14.5" x14ac:dyDescent="0.35">
      <c r="A1133" s="107" t="s">
        <v>4564</v>
      </c>
      <c r="B1133" s="73" t="str">
        <f>VLOOKUP(A1133,SÜRELER!A:B,2,0)</f>
        <v>Koruyucu Kapak 1143 Ø60D RS</v>
      </c>
      <c r="C1133" s="57">
        <v>10</v>
      </c>
      <c r="D1133" s="58"/>
      <c r="E1133" s="59"/>
      <c r="G1133" t="str">
        <f t="shared" si="19"/>
        <v>15006150061854</v>
      </c>
    </row>
    <row r="1134" spans="1:7" ht="14.5" x14ac:dyDescent="0.35">
      <c r="A1134" s="107" t="s">
        <v>4565</v>
      </c>
      <c r="B1134" s="73" t="str">
        <f>VLOOKUP(A1134,SÜRELER!A:B,2,0)</f>
        <v>Kırmızı Lens 1105</v>
      </c>
      <c r="C1134" s="57">
        <v>10</v>
      </c>
      <c r="D1134" s="58"/>
      <c r="E1134" s="59"/>
      <c r="G1134" t="str">
        <f t="shared" si="19"/>
        <v>15006150061855</v>
      </c>
    </row>
    <row r="1135" spans="1:7" ht="14.5" x14ac:dyDescent="0.35">
      <c r="A1135" s="107" t="s">
        <v>4566</v>
      </c>
      <c r="B1135" s="73" t="str">
        <f>VLOOKUP(A1135,SÜRELER!A:B,2,0)</f>
        <v>Sarı Lens 1205</v>
      </c>
      <c r="C1135" s="57">
        <v>10</v>
      </c>
      <c r="D1135" s="58"/>
      <c r="E1135" s="59"/>
      <c r="G1135" t="str">
        <f t="shared" si="19"/>
        <v>15006150061856</v>
      </c>
    </row>
    <row r="1136" spans="1:7" ht="14.5" x14ac:dyDescent="0.35">
      <c r="A1136" s="107" t="s">
        <v>4567</v>
      </c>
      <c r="B1136" s="73" t="str">
        <f>VLOOKUP(A1136,SÜRELER!A:B,2,0)</f>
        <v>Kırmızı Lens 1149 SAE (Ø75mm)</v>
      </c>
      <c r="C1136" s="57">
        <v>10</v>
      </c>
      <c r="D1136" s="58"/>
      <c r="E1136" s="59"/>
      <c r="G1136" t="str">
        <f t="shared" si="19"/>
        <v>15006150061857</v>
      </c>
    </row>
    <row r="1137" spans="1:7" ht="14.5" x14ac:dyDescent="0.35">
      <c r="A1137" s="107" t="s">
        <v>4568</v>
      </c>
      <c r="B1137" s="73" t="str">
        <f>VLOOKUP(A1137,SÜRELER!A:B,2,0)</f>
        <v>Lens 3500 LED SML/SRS WAAGR</v>
      </c>
      <c r="C1137" s="57">
        <v>10</v>
      </c>
      <c r="D1137" s="58"/>
      <c r="E1137" s="59"/>
      <c r="G1137" t="str">
        <f t="shared" si="19"/>
        <v>15006150061858</v>
      </c>
    </row>
    <row r="1138" spans="1:7" ht="14.5" x14ac:dyDescent="0.35">
      <c r="A1138" s="107" t="s">
        <v>4569</v>
      </c>
      <c r="B1138" s="73" t="str">
        <f>VLOOKUP(A1138,SÜRELER!A:B,2,0)</f>
        <v>Lens 3500 LED SML/SRS SENKR</v>
      </c>
      <c r="C1138" s="57">
        <v>10</v>
      </c>
      <c r="D1138" s="58"/>
      <c r="E1138" s="59"/>
      <c r="G1138" t="str">
        <f t="shared" si="19"/>
        <v>15006150061859</v>
      </c>
    </row>
    <row r="1139" spans="1:7" ht="14.5" x14ac:dyDescent="0.35">
      <c r="A1139" s="107" t="s">
        <v>4570</v>
      </c>
      <c r="B1139" s="73" t="str">
        <f>VLOOKUP(A1139,SÜRELER!A:B,2,0)</f>
        <v>Lens 3500 LED SML/SRS SAE</v>
      </c>
      <c r="C1139" s="57">
        <v>10</v>
      </c>
      <c r="D1139" s="58"/>
      <c r="E1139" s="59"/>
      <c r="G1139" t="str">
        <f t="shared" si="19"/>
        <v>15006150061860</v>
      </c>
    </row>
    <row r="1140" spans="1:7" ht="14.5" x14ac:dyDescent="0.35">
      <c r="A1140" s="107" t="s">
        <v>4571</v>
      </c>
      <c r="B1140" s="73" t="str">
        <f>VLOOKUP(A1140,SÜRELER!A:B,2,0)</f>
        <v>Kırmızı Lens 3500 LED SML/SRS SAE</v>
      </c>
      <c r="C1140" s="57">
        <v>10</v>
      </c>
      <c r="D1140" s="58"/>
      <c r="E1140" s="59"/>
      <c r="G1140" t="str">
        <f t="shared" si="19"/>
        <v>15006150061861</v>
      </c>
    </row>
    <row r="1141" spans="1:7" ht="14.5" x14ac:dyDescent="0.35">
      <c r="A1141" s="107" t="s">
        <v>4572</v>
      </c>
      <c r="B1141" s="73" t="str">
        <f>VLOOKUP(A1141,SÜRELER!A:B,2,0)</f>
        <v>Lens EVOBUS O404 L GE 188749</v>
      </c>
      <c r="C1141" s="57">
        <v>10</v>
      </c>
      <c r="D1141" s="58"/>
      <c r="E1141" s="59"/>
      <c r="G1141" t="str">
        <f t="shared" si="19"/>
        <v>15006150061862</v>
      </c>
    </row>
    <row r="1142" spans="1:7" ht="14.5" x14ac:dyDescent="0.35">
      <c r="A1142" s="107" t="s">
        <v>4573</v>
      </c>
      <c r="B1142" s="73" t="str">
        <f>VLOOKUP(A1142,SÜRELER!A:B,2,0)</f>
        <v>Reflektör L EVOBUS O404</v>
      </c>
      <c r="C1142" s="57">
        <v>10</v>
      </c>
      <c r="D1142" s="58"/>
      <c r="E1142" s="59"/>
      <c r="G1142" t="str">
        <f t="shared" si="19"/>
        <v>15006150061863</v>
      </c>
    </row>
    <row r="1143" spans="1:7" ht="14.5" x14ac:dyDescent="0.35">
      <c r="A1143" s="107" t="s">
        <v>4574</v>
      </c>
      <c r="B1143" s="73" t="str">
        <f>VLOOKUP(A1143,SÜRELER!A:B,2,0)</f>
        <v>Lens EVOBUS 0404 R GE.188750</v>
      </c>
      <c r="C1143" s="57">
        <v>10</v>
      </c>
      <c r="D1143" s="58"/>
      <c r="E1143" s="59"/>
      <c r="G1143" t="str">
        <f t="shared" si="19"/>
        <v>15006150061864</v>
      </c>
    </row>
    <row r="1144" spans="1:7" ht="14.5" x14ac:dyDescent="0.35">
      <c r="A1144" s="107" t="s">
        <v>4575</v>
      </c>
      <c r="B1144" s="73" t="str">
        <f>VLOOKUP(A1144,SÜRELER!A:B,2,0)</f>
        <v>Reflektör R EVOBUS O404</v>
      </c>
      <c r="C1144" s="57">
        <v>10</v>
      </c>
      <c r="D1144" s="58"/>
      <c r="E1144" s="59"/>
      <c r="G1144" t="str">
        <f t="shared" si="19"/>
        <v>15006150061865</v>
      </c>
    </row>
    <row r="1145" spans="1:7" ht="14.5" x14ac:dyDescent="0.35">
      <c r="A1145" s="107" t="s">
        <v>4576</v>
      </c>
      <c r="B1145" s="73" t="str">
        <f>VLOOKUP(A1145,SÜRELER!A:B,2,0)</f>
        <v>Lens EVOBUS O580 L FRA</v>
      </c>
      <c r="C1145" s="57">
        <v>10</v>
      </c>
      <c r="D1145" s="58"/>
      <c r="E1145" s="59"/>
      <c r="G1145" t="str">
        <f t="shared" si="19"/>
        <v>15006150061868</v>
      </c>
    </row>
    <row r="1146" spans="1:7" ht="14.5" x14ac:dyDescent="0.35">
      <c r="A1146" s="107" t="s">
        <v>4577</v>
      </c>
      <c r="B1146" s="73" t="str">
        <f>VLOOKUP(A1146,SÜRELER!A:B,2,0)</f>
        <v>Lens EVOBUS O580 R FRA</v>
      </c>
      <c r="C1146" s="57">
        <v>10</v>
      </c>
      <c r="D1146" s="58"/>
      <c r="E1146" s="59"/>
      <c r="G1146" t="str">
        <f t="shared" si="19"/>
        <v>15006150061870</v>
      </c>
    </row>
    <row r="1147" spans="1:7" ht="14.5" x14ac:dyDescent="0.35">
      <c r="A1147" s="107" t="s">
        <v>4578</v>
      </c>
      <c r="B1147" s="73" t="str">
        <f>VLOOKUP(A1147,SÜRELER!A:B,2,0)</f>
        <v>Reflektör O580 L ECE FRA</v>
      </c>
      <c r="C1147" s="57">
        <v>10</v>
      </c>
      <c r="D1147" s="58"/>
      <c r="E1147" s="59"/>
      <c r="G1147" t="str">
        <f t="shared" si="19"/>
        <v>15006150061871</v>
      </c>
    </row>
    <row r="1148" spans="1:7" ht="14.5" x14ac:dyDescent="0.35">
      <c r="A1148" s="107" t="s">
        <v>4579</v>
      </c>
      <c r="B1148" s="73" t="str">
        <f>VLOOKUP(A1148,SÜRELER!A:B,2,0)</f>
        <v>Reflektör O580 R ECE FRA</v>
      </c>
      <c r="C1148" s="57">
        <v>10</v>
      </c>
      <c r="D1148" s="58"/>
      <c r="E1148" s="59"/>
      <c r="G1148" t="str">
        <f t="shared" si="19"/>
        <v>15006150061872</v>
      </c>
    </row>
    <row r="1149" spans="1:7" ht="14.5" x14ac:dyDescent="0.35">
      <c r="A1149" s="107" t="s">
        <v>4580</v>
      </c>
      <c r="B1149" s="73" t="str">
        <f>VLOOKUP(A1149,SÜRELER!A:B,2,0)</f>
        <v>Gövde SML 3500(24V 1.5W-yatay-gri)</v>
      </c>
      <c r="C1149" s="57">
        <v>10</v>
      </c>
      <c r="D1149" s="58"/>
      <c r="E1149" s="59"/>
      <c r="G1149" t="str">
        <f t="shared" si="19"/>
        <v>15006150061874</v>
      </c>
    </row>
    <row r="1150" spans="1:7" ht="14.5" x14ac:dyDescent="0.35">
      <c r="A1150" s="107" t="s">
        <v>4581</v>
      </c>
      <c r="B1150" s="73" t="str">
        <f>VLOOKUP(A1150,SÜRELER!A:B,2,0)</f>
        <v>C190 Dis Lens Sol</v>
      </c>
      <c r="C1150" s="57">
        <v>10</v>
      </c>
      <c r="D1150" s="58"/>
      <c r="E1150" s="59"/>
      <c r="G1150" t="str">
        <f t="shared" si="19"/>
        <v>15006150061875</v>
      </c>
    </row>
    <row r="1151" spans="1:7" ht="14.5" x14ac:dyDescent="0.35">
      <c r="A1151" s="107" t="s">
        <v>4582</v>
      </c>
      <c r="B1151" s="73" t="str">
        <f>VLOOKUP(A1151,SÜRELER!A:B,2,0)</f>
        <v>C190 Dis Lens Sag</v>
      </c>
      <c r="C1151" s="57">
        <v>10</v>
      </c>
      <c r="D1151" s="58"/>
      <c r="E1151" s="59"/>
      <c r="G1151" t="str">
        <f t="shared" si="19"/>
        <v>15006150061876</v>
      </c>
    </row>
    <row r="1152" spans="1:7" ht="14.5" x14ac:dyDescent="0.35">
      <c r="A1152" s="107" t="s">
        <v>4583</v>
      </c>
      <c r="B1152" s="73" t="str">
        <f>VLOOKUP(A1152,SÜRELER!A:B,2,0)</f>
        <v>C190 Optik Lens Sol</v>
      </c>
      <c r="C1152" s="57">
        <v>10</v>
      </c>
      <c r="D1152" s="58"/>
      <c r="E1152" s="59"/>
      <c r="G1152" t="str">
        <f t="shared" si="19"/>
        <v>15006150061877</v>
      </c>
    </row>
    <row r="1153" spans="1:7" ht="14.5" x14ac:dyDescent="0.35">
      <c r="A1153" s="107" t="s">
        <v>4584</v>
      </c>
      <c r="B1153" s="73" t="str">
        <f>VLOOKUP(A1153,SÜRELER!A:B,2,0)</f>
        <v>C190 Optik Lens Sag</v>
      </c>
      <c r="C1153" s="57">
        <v>10</v>
      </c>
      <c r="D1153" s="58"/>
      <c r="E1153" s="59"/>
      <c r="G1153" t="str">
        <f t="shared" si="19"/>
        <v>15006150061878</v>
      </c>
    </row>
    <row r="1154" spans="1:7" ht="14.5" x14ac:dyDescent="0.35">
      <c r="A1154" s="107" t="s">
        <v>4585</v>
      </c>
      <c r="B1154" s="73" t="str">
        <f>VLOOKUP(A1154,SÜRELER!A:B,2,0)</f>
        <v>Reflektör VW D1 R ZFRA 395304</v>
      </c>
      <c r="C1154" s="57">
        <v>10</v>
      </c>
      <c r="D1154" s="58"/>
      <c r="E1154" s="59"/>
      <c r="G1154" t="str">
        <f t="shared" si="19"/>
        <v>15006150061879</v>
      </c>
    </row>
    <row r="1155" spans="1:7" ht="14.5" x14ac:dyDescent="0.35">
      <c r="A1155" s="107" t="s">
        <v>4586</v>
      </c>
      <c r="B1155" s="73" t="str">
        <f>VLOOKUP(A1155,SÜRELER!A:B,2,0)</f>
        <v>Kapak VW D1 R ZFRA 395306</v>
      </c>
      <c r="C1155" s="57">
        <v>10</v>
      </c>
      <c r="D1155" s="58"/>
      <c r="E1155" s="59"/>
      <c r="G1155" t="str">
        <f t="shared" si="19"/>
        <v>15006150061880</v>
      </c>
    </row>
    <row r="1156" spans="1:7" ht="14.5" x14ac:dyDescent="0.35">
      <c r="A1156" s="107" t="s">
        <v>4587</v>
      </c>
      <c r="B1156" s="73" t="str">
        <f>VLOOKUP(A1156,SÜRELER!A:B,2,0)</f>
        <v>Reflektör VW D1 L ZFRA 395303</v>
      </c>
      <c r="C1156" s="57">
        <v>10</v>
      </c>
      <c r="D1156" s="58"/>
      <c r="E1156" s="59"/>
      <c r="G1156" t="str">
        <f t="shared" si="19"/>
        <v>15006150061881</v>
      </c>
    </row>
    <row r="1157" spans="1:7" ht="14.5" x14ac:dyDescent="0.35">
      <c r="A1157" s="107" t="s">
        <v>4588</v>
      </c>
      <c r="B1157" s="73" t="str">
        <f>VLOOKUP(A1157,SÜRELER!A:B,2,0)</f>
        <v>Kapak VW D1 L ZFRA 395305</v>
      </c>
      <c r="C1157" s="57">
        <v>10</v>
      </c>
      <c r="D1157" s="58"/>
      <c r="E1157" s="59"/>
      <c r="G1157" t="str">
        <f t="shared" si="19"/>
        <v>15006150061882</v>
      </c>
    </row>
    <row r="1158" spans="1:7" ht="14.5" x14ac:dyDescent="0.35">
      <c r="A1158" s="107" t="s">
        <v>4589</v>
      </c>
      <c r="B1158" s="73" t="str">
        <f>VLOOKUP(A1158,SÜRELER!A:B,2,0)</f>
        <v>Lens VW D1 GP3 L ZFRA CCC</v>
      </c>
      <c r="C1158" s="57">
        <v>10</v>
      </c>
      <c r="D1158" s="58"/>
      <c r="E1158" s="59"/>
      <c r="G1158" t="str">
        <f t="shared" si="19"/>
        <v>15006150061883</v>
      </c>
    </row>
    <row r="1159" spans="1:7" ht="14.5" x14ac:dyDescent="0.35">
      <c r="A1159" s="107" t="s">
        <v>4590</v>
      </c>
      <c r="B1159" s="73" t="e">
        <f>VLOOKUP(A1159,SÜRELER!A:B,2,0)</f>
        <v>#N/A</v>
      </c>
      <c r="C1159" s="57">
        <v>10</v>
      </c>
      <c r="D1159" s="58"/>
      <c r="E1159" s="59"/>
      <c r="G1159" t="str">
        <f t="shared" si="19"/>
        <v>15006150061884</v>
      </c>
    </row>
    <row r="1160" spans="1:7" ht="14.5" x14ac:dyDescent="0.35">
      <c r="A1160" s="107" t="s">
        <v>4591</v>
      </c>
      <c r="B1160" s="73" t="e">
        <f>VLOOKUP(A1160,SÜRELER!A:B,2,0)</f>
        <v>#N/A</v>
      </c>
      <c r="C1160" s="57">
        <v>10</v>
      </c>
      <c r="D1160" s="58"/>
      <c r="E1160" s="59"/>
      <c r="G1160" t="str">
        <f t="shared" si="19"/>
        <v>15006150061885</v>
      </c>
    </row>
    <row r="1161" spans="1:7" ht="14.5" x14ac:dyDescent="0.35">
      <c r="A1161" s="107" t="s">
        <v>4592</v>
      </c>
      <c r="B1161" s="73" t="e">
        <f>VLOOKUP(A1161,SÜRELER!A:B,2,0)</f>
        <v>#N/A</v>
      </c>
      <c r="C1161" s="57">
        <v>10</v>
      </c>
      <c r="D1161" s="58"/>
      <c r="E1161" s="59"/>
      <c r="G1161" t="str">
        <f t="shared" si="19"/>
        <v>15006150061886</v>
      </c>
    </row>
    <row r="1162" spans="1:7" ht="14.5" x14ac:dyDescent="0.35">
      <c r="A1162" s="107" t="s">
        <v>4593</v>
      </c>
      <c r="B1162" s="73" t="e">
        <f>VLOOKUP(A1162,SÜRELER!A:B,2,0)</f>
        <v>#N/A</v>
      </c>
      <c r="C1162" s="57">
        <v>10</v>
      </c>
      <c r="D1162" s="58"/>
      <c r="E1162" s="59"/>
      <c r="G1162" t="str">
        <f t="shared" si="19"/>
        <v>15006150061887</v>
      </c>
    </row>
    <row r="1163" spans="1:7" ht="14.5" x14ac:dyDescent="0.35">
      <c r="A1163" s="107" t="s">
        <v>4594</v>
      </c>
      <c r="B1163" s="73" t="e">
        <f>VLOOKUP(A1163,SÜRELER!A:B,2,0)</f>
        <v>#N/A</v>
      </c>
      <c r="C1163" s="57">
        <v>10</v>
      </c>
      <c r="D1163" s="58"/>
      <c r="E1163" s="59"/>
      <c r="G1163" t="str">
        <f t="shared" si="19"/>
        <v>15006150061888</v>
      </c>
    </row>
    <row r="1164" spans="1:7" ht="14.5" x14ac:dyDescent="0.35">
      <c r="A1164" s="107" t="s">
        <v>4595</v>
      </c>
      <c r="B1164" s="73" t="e">
        <f>VLOOKUP(A1164,SÜRELER!A:B,2,0)</f>
        <v>#N/A</v>
      </c>
      <c r="C1164" s="57">
        <v>10</v>
      </c>
      <c r="D1164" s="58"/>
      <c r="E1164" s="59"/>
      <c r="G1164" t="str">
        <f t="shared" si="19"/>
        <v>15006150061889</v>
      </c>
    </row>
    <row r="1165" spans="1:7" ht="14.5" x14ac:dyDescent="0.35">
      <c r="A1165" s="107" t="s">
        <v>4596</v>
      </c>
      <c r="B1165" s="73" t="e">
        <f>VLOOKUP(A1165,SÜRELER!A:B,2,0)</f>
        <v>#N/A</v>
      </c>
      <c r="C1165" s="57">
        <v>10</v>
      </c>
      <c r="D1165" s="58"/>
      <c r="E1165" s="59"/>
      <c r="G1165" t="str">
        <f t="shared" si="19"/>
        <v>15006150061890</v>
      </c>
    </row>
    <row r="1166" spans="1:7" ht="14.5" x14ac:dyDescent="0.35">
      <c r="A1166" s="107" t="s">
        <v>4597</v>
      </c>
      <c r="B1166" s="73" t="e">
        <f>VLOOKUP(A1166,SÜRELER!A:B,2,0)</f>
        <v>#N/A</v>
      </c>
      <c r="C1166" s="57">
        <v>10</v>
      </c>
      <c r="D1166" s="58"/>
      <c r="E1166" s="59"/>
      <c r="G1166" t="str">
        <f t="shared" si="19"/>
        <v>15006150061891</v>
      </c>
    </row>
    <row r="1167" spans="1:7" ht="14.5" x14ac:dyDescent="0.35">
      <c r="A1167" s="107" t="s">
        <v>4598</v>
      </c>
      <c r="B1167" s="73" t="e">
        <f>VLOOKUP(A1167,SÜRELER!A:B,2,0)</f>
        <v>#N/A</v>
      </c>
      <c r="C1167" s="57">
        <v>10</v>
      </c>
      <c r="D1167" s="58"/>
      <c r="E1167" s="59"/>
      <c r="G1167" t="str">
        <f t="shared" si="19"/>
        <v>15006150061892</v>
      </c>
    </row>
    <row r="1168" spans="1:7" ht="14.5" x14ac:dyDescent="0.35">
      <c r="A1168" s="107" t="s">
        <v>4599</v>
      </c>
      <c r="B1168" s="73" t="e">
        <f>VLOOKUP(A1168,SÜRELER!A:B,2,0)</f>
        <v>#N/A</v>
      </c>
      <c r="C1168" s="57">
        <v>10</v>
      </c>
      <c r="D1168" s="58"/>
      <c r="E1168" s="59"/>
      <c r="G1168" t="str">
        <f t="shared" si="19"/>
        <v>15006150061893</v>
      </c>
    </row>
    <row r="1169" spans="1:7" ht="14.5" x14ac:dyDescent="0.35">
      <c r="A1169" s="107" t="s">
        <v>4600</v>
      </c>
      <c r="B1169" s="73" t="e">
        <f>VLOOKUP(A1169,SÜRELER!A:B,2,0)</f>
        <v>#N/A</v>
      </c>
      <c r="C1169" s="57">
        <v>10</v>
      </c>
      <c r="D1169" s="58"/>
      <c r="E1169" s="59"/>
      <c r="G1169" t="str">
        <f t="shared" si="19"/>
        <v>15006150061894</v>
      </c>
    </row>
    <row r="1170" spans="1:7" ht="14.5" x14ac:dyDescent="0.35">
      <c r="A1170" s="107" t="s">
        <v>4601</v>
      </c>
      <c r="B1170" s="73" t="e">
        <f>VLOOKUP(A1170,SÜRELER!A:B,2,0)</f>
        <v>#N/A</v>
      </c>
      <c r="C1170" s="57">
        <v>10</v>
      </c>
      <c r="D1170" s="58"/>
      <c r="E1170" s="59"/>
      <c r="G1170" t="str">
        <f t="shared" si="19"/>
        <v>15006150061895</v>
      </c>
    </row>
    <row r="1171" spans="1:7" ht="14.5" x14ac:dyDescent="0.35">
      <c r="A1171" s="107" t="s">
        <v>4602</v>
      </c>
      <c r="B1171" s="73" t="str">
        <f>VLOOKUP(A1171,SÜRELER!A:B,2,0)</f>
        <v>Gövde SML 3500(24V 1.5W-dikey-gri)</v>
      </c>
      <c r="C1171" s="57">
        <v>10</v>
      </c>
      <c r="D1171" s="58"/>
      <c r="E1171" s="59"/>
      <c r="G1171" t="str">
        <f t="shared" si="19"/>
        <v>15006150061896</v>
      </c>
    </row>
    <row r="1172" spans="1:7" ht="14.5" x14ac:dyDescent="0.35">
      <c r="A1172" s="107" t="s">
        <v>4603</v>
      </c>
      <c r="B1172" s="73" t="str">
        <f>VLOOKUP(A1172,SÜRELER!A:B,2,0)</f>
        <v>Gövde SML 3500(12V 0.75W-yatay-gri)</v>
      </c>
      <c r="C1172" s="57">
        <v>10</v>
      </c>
      <c r="D1172" s="58"/>
      <c r="E1172" s="59"/>
      <c r="G1172" t="str">
        <f t="shared" si="19"/>
        <v>15006150061897</v>
      </c>
    </row>
    <row r="1173" spans="1:7" ht="14.5" x14ac:dyDescent="0.35">
      <c r="A1173" s="107" t="s">
        <v>4604</v>
      </c>
      <c r="B1173" s="73" t="str">
        <f>VLOOKUP(A1173,SÜRELER!A:B,2,0)</f>
        <v>Gövde SML 3500(12V 0.75W-dikey-gri)</v>
      </c>
      <c r="C1173" s="57">
        <v>10</v>
      </c>
      <c r="D1173" s="58"/>
      <c r="E1173" s="59"/>
      <c r="G1173" t="str">
        <f t="shared" si="19"/>
        <v>15006150061898</v>
      </c>
    </row>
    <row r="1174" spans="1:7" ht="14.5" x14ac:dyDescent="0.35">
      <c r="A1174" s="107" t="s">
        <v>4605</v>
      </c>
      <c r="B1174" s="73" t="str">
        <f>VLOOKUP(A1174,SÜRELER!A:B,2,0)</f>
        <v>Gövde SML 3500(24V 1.5W-yatay-siyah)</v>
      </c>
      <c r="C1174" s="57">
        <v>10</v>
      </c>
      <c r="D1174" s="58"/>
      <c r="E1174" s="59"/>
      <c r="G1174" t="str">
        <f t="shared" si="19"/>
        <v>15006150061899</v>
      </c>
    </row>
    <row r="1175" spans="1:7" ht="14.5" x14ac:dyDescent="0.35">
      <c r="A1175" s="107" t="s">
        <v>4606</v>
      </c>
      <c r="B1175" s="73" t="str">
        <f>VLOOKUP(A1175,SÜRELER!A:B,2,0)</f>
        <v>Neo Facelift Sol</v>
      </c>
      <c r="C1175" s="57">
        <v>10</v>
      </c>
      <c r="D1175" s="58"/>
      <c r="E1175" s="59"/>
      <c r="G1175" t="str">
        <f t="shared" si="19"/>
        <v>15006150061900</v>
      </c>
    </row>
    <row r="1176" spans="1:7" ht="14.5" x14ac:dyDescent="0.35">
      <c r="A1176" s="107" t="s">
        <v>4607</v>
      </c>
      <c r="B1176" s="73" t="str">
        <f>VLOOKUP(A1176,SÜRELER!A:B,2,0)</f>
        <v>Neo Facelift Sağ</v>
      </c>
      <c r="C1176" s="57">
        <v>10</v>
      </c>
      <c r="D1176" s="58"/>
      <c r="E1176" s="59"/>
      <c r="G1176" t="str">
        <f t="shared" ref="G1176:G1239" si="20">CONCATENATE($F$471,A1176,)</f>
        <v>15006150061901</v>
      </c>
    </row>
    <row r="1177" spans="1:7" ht="14.5" x14ac:dyDescent="0.35">
      <c r="A1177" s="107" t="s">
        <v>4608</v>
      </c>
      <c r="B1177" s="73" t="str">
        <f>VLOOKUP(A1177,SÜRELER!A:B,2,0)</f>
        <v>Reflektör Braket LV/HV Sol</v>
      </c>
      <c r="C1177" s="57">
        <v>10</v>
      </c>
      <c r="D1177" s="58"/>
      <c r="E1177" s="59"/>
      <c r="G1177" t="str">
        <f t="shared" si="20"/>
        <v>15006150061902</v>
      </c>
    </row>
    <row r="1178" spans="1:7" ht="14.5" x14ac:dyDescent="0.35">
      <c r="A1178" s="107" t="s">
        <v>4609</v>
      </c>
      <c r="B1178" s="73" t="str">
        <f>VLOOKUP(A1178,SÜRELER!A:B,2,0)</f>
        <v>Reflektör Braket LV/HV Sağ</v>
      </c>
      <c r="C1178" s="57">
        <v>10</v>
      </c>
      <c r="D1178" s="58"/>
      <c r="E1178" s="59"/>
      <c r="G1178" t="str">
        <f t="shared" si="20"/>
        <v>15006150061903</v>
      </c>
    </row>
    <row r="1179" spans="1:7" ht="14.5" x14ac:dyDescent="0.35">
      <c r="A1179" s="107" t="s">
        <v>4610</v>
      </c>
      <c r="B1179" s="73" t="str">
        <f>VLOOKUP(A1179,SÜRELER!A:B,2,0)</f>
        <v>Lightguide Mounting Peace HV Sol</v>
      </c>
      <c r="C1179" s="57">
        <v>10</v>
      </c>
      <c r="D1179" s="58"/>
      <c r="E1179" s="59"/>
      <c r="G1179" t="str">
        <f t="shared" si="20"/>
        <v>15006150061904</v>
      </c>
    </row>
    <row r="1180" spans="1:7" ht="14.5" x14ac:dyDescent="0.35">
      <c r="A1180" s="107" t="s">
        <v>4611</v>
      </c>
      <c r="B1180" s="73" t="str">
        <f>VLOOKUP(A1180,SÜRELER!A:B,2,0)</f>
        <v>Lightguide Mounting Peace HV Sag</v>
      </c>
      <c r="C1180" s="57">
        <v>10</v>
      </c>
      <c r="D1180" s="58"/>
      <c r="E1180" s="59"/>
      <c r="G1180" t="str">
        <f t="shared" si="20"/>
        <v>15006150061905</v>
      </c>
    </row>
    <row r="1181" spans="1:7" ht="14.5" x14ac:dyDescent="0.35">
      <c r="A1181" s="107" t="s">
        <v>4612</v>
      </c>
      <c r="B1181" s="73" t="str">
        <f>VLOOKUP(A1181,SÜRELER!A:B,2,0)</f>
        <v>Motor Tutucu LV/HV Sol</v>
      </c>
      <c r="C1181" s="57">
        <v>10</v>
      </c>
      <c r="D1181" s="58"/>
      <c r="E1181" s="59"/>
      <c r="G1181" t="str">
        <f t="shared" si="20"/>
        <v>15006150061906</v>
      </c>
    </row>
    <row r="1182" spans="1:7" ht="14.5" x14ac:dyDescent="0.35">
      <c r="A1182" s="107" t="s">
        <v>4613</v>
      </c>
      <c r="B1182" s="73" t="str">
        <f>VLOOKUP(A1182,SÜRELER!A:B,2,0)</f>
        <v>Motor Tutucu LV/HV Sağ</v>
      </c>
      <c r="C1182" s="57">
        <v>10</v>
      </c>
      <c r="D1182" s="58"/>
      <c r="E1182" s="59"/>
      <c r="G1182" t="str">
        <f t="shared" si="20"/>
        <v>15006150061907</v>
      </c>
    </row>
    <row r="1183" spans="1:7" ht="14.5" x14ac:dyDescent="0.35">
      <c r="A1183" s="107" t="s">
        <v>4614</v>
      </c>
      <c r="B1183" s="73" t="str">
        <f>VLOOKUP(A1183,SÜRELER!A:B,2,0)</f>
        <v>130D,BRACKET-SOL,FAR+SİNYAL,LOW</v>
      </c>
      <c r="C1183" s="57">
        <v>10</v>
      </c>
      <c r="D1183" s="58"/>
      <c r="E1183" s="59"/>
      <c r="G1183" t="str">
        <f t="shared" si="20"/>
        <v>15006150061908</v>
      </c>
    </row>
    <row r="1184" spans="1:7" ht="14.5" x14ac:dyDescent="0.35">
      <c r="A1184" s="107" t="s">
        <v>4615</v>
      </c>
      <c r="B1184" s="73" t="str">
        <f>VLOOKUP(A1184,SÜRELER!A:B,2,0)</f>
        <v>130D,BRACKET-SAĞ,FAR+SİNYAL,LOW</v>
      </c>
      <c r="C1184" s="57">
        <v>10</v>
      </c>
      <c r="D1184" s="58"/>
      <c r="E1184" s="59"/>
      <c r="G1184" t="str">
        <f t="shared" si="20"/>
        <v>15006150061909</v>
      </c>
    </row>
    <row r="1185" spans="1:7" ht="14.5" x14ac:dyDescent="0.35">
      <c r="A1185" s="107" t="s">
        <v>4616</v>
      </c>
      <c r="B1185" s="73" t="str">
        <f>VLOOKUP(A1185,SÜRELER!A:B,2,0)</f>
        <v>Lens LACK EVOBUS 0404 L 1887</v>
      </c>
      <c r="C1185" s="57">
        <v>10</v>
      </c>
      <c r="D1185" s="58"/>
      <c r="E1185" s="59"/>
      <c r="G1185" t="str">
        <f t="shared" si="20"/>
        <v>15006150061910</v>
      </c>
    </row>
    <row r="1186" spans="1:7" ht="14.5" x14ac:dyDescent="0.35">
      <c r="A1186" s="107" t="s">
        <v>4617</v>
      </c>
      <c r="B1186" s="73" t="str">
        <f>VLOOKUP(A1186,SÜRELER!A:B,2,0)</f>
        <v>Lens LACK EVOBUS 0404 R 1887</v>
      </c>
      <c r="C1186" s="57">
        <v>10</v>
      </c>
      <c r="D1186" s="58"/>
      <c r="E1186" s="59"/>
      <c r="G1186" t="str">
        <f t="shared" si="20"/>
        <v>15006150061911</v>
      </c>
    </row>
    <row r="1187" spans="1:7" ht="14.5" x14ac:dyDescent="0.35">
      <c r="A1187" s="107" t="s">
        <v>4618</v>
      </c>
      <c r="B1187" s="73" t="str">
        <f>VLOOKUP(A1187,SÜRELER!A:B,2,0)</f>
        <v>Lens, Geri Vites, Sol, Clio ASK</v>
      </c>
      <c r="C1187" s="57">
        <v>10</v>
      </c>
      <c r="D1187" s="58"/>
      <c r="E1187" s="59"/>
      <c r="G1187" t="str">
        <f t="shared" si="20"/>
        <v>15006150061912</v>
      </c>
    </row>
    <row r="1188" spans="1:7" ht="14.5" x14ac:dyDescent="0.35">
      <c r="A1188" s="107" t="s">
        <v>4619</v>
      </c>
      <c r="B1188" s="73" t="str">
        <f>VLOOKUP(A1188,SÜRELER!A:B,2,0)</f>
        <v>Lens, Geri Vites, Sağ, Clio ASK</v>
      </c>
      <c r="C1188" s="57">
        <v>10</v>
      </c>
      <c r="D1188" s="58"/>
      <c r="E1188" s="59"/>
      <c r="G1188" t="str">
        <f t="shared" si="20"/>
        <v>15006150061913</v>
      </c>
    </row>
    <row r="1189" spans="1:7" ht="14.5" x14ac:dyDescent="0.35">
      <c r="A1189" s="107" t="s">
        <v>4620</v>
      </c>
      <c r="B1189" s="73" t="str">
        <f>VLOOKUP(A1189,SÜRELER!A:B,2,0)</f>
        <v>Lens, Turuncu, Sol, Clio ASK</v>
      </c>
      <c r="C1189" s="57">
        <v>10</v>
      </c>
      <c r="D1189" s="58"/>
      <c r="E1189" s="59"/>
      <c r="G1189" t="str">
        <f t="shared" si="20"/>
        <v>15006150061914</v>
      </c>
    </row>
    <row r="1190" spans="1:7" ht="14.5" x14ac:dyDescent="0.35">
      <c r="A1190" s="107" t="s">
        <v>4621</v>
      </c>
      <c r="B1190" s="73" t="str">
        <f>VLOOKUP(A1190,SÜRELER!A:B,2,0)</f>
        <v>Lens, Turuncu, Sağ, Clio ASK</v>
      </c>
      <c r="C1190" s="57">
        <v>10</v>
      </c>
      <c r="D1190" s="58"/>
      <c r="E1190" s="59"/>
      <c r="G1190" t="str">
        <f t="shared" si="20"/>
        <v>15006150061915</v>
      </c>
    </row>
    <row r="1191" spans="1:7" ht="14.5" x14ac:dyDescent="0.35">
      <c r="A1191" s="107" t="s">
        <v>4622</v>
      </c>
      <c r="B1191" s="73" t="str">
        <f>VLOOKUP(A1191,SÜRELER!A:B,2,0)</f>
        <v>Lens, Sinyal, Naturel, Sol, Clio ASK, Faz-3</v>
      </c>
      <c r="C1191" s="57">
        <v>10</v>
      </c>
      <c r="D1191" s="58"/>
      <c r="E1191" s="59"/>
      <c r="G1191" t="str">
        <f t="shared" si="20"/>
        <v>15006150061916</v>
      </c>
    </row>
    <row r="1192" spans="1:7" ht="14.5" x14ac:dyDescent="0.35">
      <c r="A1192" s="107" t="s">
        <v>4623</v>
      </c>
      <c r="B1192" s="73" t="str">
        <f>VLOOKUP(A1192,SÜRELER!A:B,2,0)</f>
        <v>Lens, Sinyal, Naturel, Sağ, Clio ASK, Faz-3</v>
      </c>
      <c r="C1192" s="57">
        <v>10</v>
      </c>
      <c r="D1192" s="58"/>
      <c r="E1192" s="59"/>
      <c r="G1192" t="str">
        <f t="shared" si="20"/>
        <v>15006150061917</v>
      </c>
    </row>
    <row r="1193" spans="1:7" ht="14.5" x14ac:dyDescent="0.35">
      <c r="A1193" s="107" t="s">
        <v>4624</v>
      </c>
      <c r="B1193" s="73" t="str">
        <f>VLOOKUP(A1193,SÜRELER!A:B,2,0)</f>
        <v>Balon, W211</v>
      </c>
      <c r="C1193" s="57">
        <v>10</v>
      </c>
      <c r="D1193" s="58"/>
      <c r="E1193" s="59"/>
      <c r="G1193" t="str">
        <f t="shared" si="20"/>
        <v>15006150061918</v>
      </c>
    </row>
    <row r="1194" spans="1:7" ht="14.5" x14ac:dyDescent="0.35">
      <c r="A1194" s="107" t="s">
        <v>4625</v>
      </c>
      <c r="B1194" s="73" t="str">
        <f>VLOOKUP(A1194,SÜRELER!A:B,2,0)</f>
        <v>LAMPENTRAEGER L SWL W212, Plastik Soket</v>
      </c>
      <c r="C1194" s="57">
        <v>10</v>
      </c>
      <c r="D1194" s="58"/>
      <c r="E1194" s="59"/>
      <c r="G1194" t="str">
        <f t="shared" si="20"/>
        <v>15006150061919</v>
      </c>
    </row>
    <row r="1195" spans="1:7" ht="14.5" x14ac:dyDescent="0.35">
      <c r="A1195" s="107" t="s">
        <v>4626</v>
      </c>
      <c r="B1195" s="73" t="str">
        <f>VLOOKUP(A1195,SÜRELER!A:B,2,0)</f>
        <v>LAMPENTRAEGER R SWL W212, Plastik Soket</v>
      </c>
      <c r="C1195" s="57">
        <v>10</v>
      </c>
      <c r="D1195" s="58"/>
      <c r="E1195" s="59"/>
      <c r="G1195" t="str">
        <f t="shared" si="20"/>
        <v>15006150061920</v>
      </c>
    </row>
    <row r="1196" spans="1:7" ht="14.5" x14ac:dyDescent="0.35">
      <c r="A1196" s="107" t="s">
        <v>4627</v>
      </c>
      <c r="B1196" s="73" t="str">
        <f>VLOOKUP(A1196,SÜRELER!A:B,2,0)</f>
        <v>GEHAEUSE SCHW SML/SRS 3500 24V</v>
      </c>
      <c r="C1196" s="57">
        <v>10</v>
      </c>
      <c r="D1196" s="58"/>
      <c r="E1196" s="59"/>
      <c r="G1196" t="str">
        <f t="shared" si="20"/>
        <v>15006150061921</v>
      </c>
    </row>
    <row r="1197" spans="1:7" ht="14.5" x14ac:dyDescent="0.35">
      <c r="A1197" s="107" t="s">
        <v>4628</v>
      </c>
      <c r="B1197" s="73" t="str">
        <f>VLOOKUP(A1197,SÜRELER!A:B,2,0)</f>
        <v>130D,JOINT,FAR+SİNYAL,HİGH</v>
      </c>
      <c r="C1197" s="57">
        <v>10</v>
      </c>
      <c r="D1197" s="58"/>
      <c r="E1197" s="59"/>
      <c r="G1197" t="str">
        <f t="shared" si="20"/>
        <v>15006150061922</v>
      </c>
    </row>
    <row r="1198" spans="1:7" ht="14.5" x14ac:dyDescent="0.35">
      <c r="A1198" s="107" t="s">
        <v>4629</v>
      </c>
      <c r="B1198" s="73" t="str">
        <f>VLOOKUP(A1198,SÜRELER!A:B,2,0)</f>
        <v>130D,BRACKET-SOL,FAR+SİNYAL,HİGH</v>
      </c>
      <c r="C1198" s="57">
        <v>10</v>
      </c>
      <c r="D1198" s="58"/>
      <c r="E1198" s="59"/>
      <c r="G1198" t="str">
        <f t="shared" si="20"/>
        <v>15006150061923</v>
      </c>
    </row>
    <row r="1199" spans="1:7" ht="14.5" x14ac:dyDescent="0.35">
      <c r="A1199" s="107" t="s">
        <v>4630</v>
      </c>
      <c r="B1199" s="73" t="str">
        <f>VLOOKUP(A1199,SÜRELER!A:B,2,0)</f>
        <v>130D,BRACKET-SAG,FAR+SİNYAL,HİGH</v>
      </c>
      <c r="C1199" s="57">
        <v>10</v>
      </c>
      <c r="D1199" s="58"/>
      <c r="E1199" s="59"/>
      <c r="G1199" t="str">
        <f t="shared" si="20"/>
        <v>15006150061924</v>
      </c>
    </row>
    <row r="1200" spans="1:7" ht="14.5" x14ac:dyDescent="0.35">
      <c r="A1200" s="107" t="s">
        <v>4631</v>
      </c>
      <c r="B1200" s="73" t="str">
        <f>VLOOKUP(A1200,SÜRELER!A:B,2,0)</f>
        <v>S2S REFLEKTÖR PH2 SOL</v>
      </c>
      <c r="C1200" s="57">
        <v>10</v>
      </c>
      <c r="D1200" s="58"/>
      <c r="E1200" s="59"/>
      <c r="G1200" t="str">
        <f t="shared" si="20"/>
        <v>15006150062157</v>
      </c>
    </row>
    <row r="1201" spans="1:7" ht="14.5" x14ac:dyDescent="0.35">
      <c r="A1201" s="107" t="s">
        <v>4632</v>
      </c>
      <c r="B1201" s="73" t="str">
        <f>VLOOKUP(A1201,SÜRELER!A:B,2,0)</f>
        <v>S2S REFLEKTÖR PH2 SAG</v>
      </c>
      <c r="C1201" s="57">
        <v>10</v>
      </c>
      <c r="D1201" s="58"/>
      <c r="E1201" s="59"/>
      <c r="G1201" t="str">
        <f t="shared" si="20"/>
        <v>15006150062158</v>
      </c>
    </row>
    <row r="1202" spans="1:7" ht="14.5" x14ac:dyDescent="0.35">
      <c r="A1202" s="107" t="s">
        <v>4633</v>
      </c>
      <c r="B1202" s="73" t="e">
        <f>VLOOKUP(A1202,SÜRELER!A:B,2,0)</f>
        <v>#N/A</v>
      </c>
      <c r="C1202" s="57">
        <v>10</v>
      </c>
      <c r="D1202" s="58"/>
      <c r="E1202" s="59"/>
      <c r="G1202" t="str">
        <f t="shared" si="20"/>
        <v>15006150069800</v>
      </c>
    </row>
    <row r="1203" spans="1:7" ht="14.5" x14ac:dyDescent="0.35">
      <c r="A1203" s="107" t="s">
        <v>4634</v>
      </c>
      <c r="B1203" s="73" t="e">
        <f>VLOOKUP(A1203,SÜRELER!A:B,2,0)</f>
        <v>#N/A</v>
      </c>
      <c r="C1203" s="57">
        <v>10</v>
      </c>
      <c r="D1203" s="58"/>
      <c r="E1203" s="59"/>
      <c r="G1203" t="str">
        <f t="shared" si="20"/>
        <v>15006150069801</v>
      </c>
    </row>
    <row r="1204" spans="1:7" ht="14.5" x14ac:dyDescent="0.35">
      <c r="A1204" s="107" t="s">
        <v>4635</v>
      </c>
      <c r="B1204" s="73" t="e">
        <f>VLOOKUP(A1204,SÜRELER!A:B,2,0)</f>
        <v>#N/A</v>
      </c>
      <c r="C1204" s="57">
        <v>10</v>
      </c>
      <c r="D1204" s="58"/>
      <c r="E1204" s="59"/>
      <c r="G1204" t="str">
        <f t="shared" si="20"/>
        <v>15006150069802</v>
      </c>
    </row>
    <row r="1205" spans="1:7" ht="14.5" x14ac:dyDescent="0.35">
      <c r="A1205" s="107" t="s">
        <v>4636</v>
      </c>
      <c r="B1205" s="73" t="e">
        <f>VLOOKUP(A1205,SÜRELER!A:B,2,0)</f>
        <v>#N/A</v>
      </c>
      <c r="C1205" s="57">
        <v>10</v>
      </c>
      <c r="D1205" s="58"/>
      <c r="E1205" s="59"/>
      <c r="G1205" t="str">
        <f t="shared" si="20"/>
        <v>15006150069803</v>
      </c>
    </row>
    <row r="1206" spans="1:7" ht="14.5" x14ac:dyDescent="0.35">
      <c r="A1206" s="107" t="s">
        <v>4637</v>
      </c>
      <c r="B1206" s="73" t="e">
        <f>VLOOKUP(A1206,SÜRELER!A:B,2,0)</f>
        <v>#N/A</v>
      </c>
      <c r="C1206" s="57">
        <v>10</v>
      </c>
      <c r="D1206" s="58"/>
      <c r="E1206" s="59"/>
      <c r="G1206" t="str">
        <f t="shared" si="20"/>
        <v>15006150069804</v>
      </c>
    </row>
    <row r="1207" spans="1:7" ht="14.5" x14ac:dyDescent="0.35">
      <c r="A1207" s="107" t="s">
        <v>4638</v>
      </c>
      <c r="B1207" s="73" t="e">
        <f>VLOOKUP(A1207,SÜRELER!A:B,2,0)</f>
        <v>#N/A</v>
      </c>
      <c r="C1207" s="57">
        <v>10</v>
      </c>
      <c r="D1207" s="58"/>
      <c r="E1207" s="59"/>
      <c r="G1207" t="str">
        <f t="shared" si="20"/>
        <v>15006150069805</v>
      </c>
    </row>
    <row r="1208" spans="1:7" ht="14.5" x14ac:dyDescent="0.35">
      <c r="A1208" s="107" t="s">
        <v>4639</v>
      </c>
      <c r="B1208" s="73" t="e">
        <f>VLOOKUP(A1208,SÜRELER!A:B,2,0)</f>
        <v>#N/A</v>
      </c>
      <c r="C1208" s="57">
        <v>10</v>
      </c>
      <c r="D1208" s="58"/>
      <c r="E1208" s="59"/>
      <c r="G1208" t="str">
        <f t="shared" si="20"/>
        <v>15006150069806</v>
      </c>
    </row>
    <row r="1209" spans="1:7" ht="14.5" x14ac:dyDescent="0.35">
      <c r="A1209" s="107" t="s">
        <v>4640</v>
      </c>
      <c r="B1209" s="73" t="e">
        <f>VLOOKUP(A1209,SÜRELER!A:B,2,0)</f>
        <v>#N/A</v>
      </c>
      <c r="C1209" s="57">
        <v>10</v>
      </c>
      <c r="D1209" s="58"/>
      <c r="E1209" s="59"/>
      <c r="G1209" t="str">
        <f t="shared" si="20"/>
        <v>15006150069807</v>
      </c>
    </row>
    <row r="1210" spans="1:7" ht="14.5" x14ac:dyDescent="0.35">
      <c r="A1210" s="107" t="s">
        <v>4641</v>
      </c>
      <c r="B1210" s="73" t="e">
        <f>VLOOKUP(A1210,SÜRELER!A:B,2,0)</f>
        <v>#N/A</v>
      </c>
      <c r="C1210" s="57">
        <v>10</v>
      </c>
      <c r="D1210" s="58"/>
      <c r="E1210" s="59"/>
      <c r="G1210" t="str">
        <f t="shared" si="20"/>
        <v>15006150069808</v>
      </c>
    </row>
    <row r="1211" spans="1:7" ht="14.5" x14ac:dyDescent="0.35">
      <c r="A1211" s="107" t="s">
        <v>4642</v>
      </c>
      <c r="B1211" s="73" t="e">
        <f>VLOOKUP(A1211,SÜRELER!A:B,2,0)</f>
        <v>#N/A</v>
      </c>
      <c r="C1211" s="57">
        <v>10</v>
      </c>
      <c r="D1211" s="58"/>
      <c r="E1211" s="59"/>
      <c r="G1211" t="str">
        <f t="shared" si="20"/>
        <v>15006150069809</v>
      </c>
    </row>
    <row r="1212" spans="1:7" ht="14.5" x14ac:dyDescent="0.35">
      <c r="A1212" s="107" t="s">
        <v>4643</v>
      </c>
      <c r="B1212" s="73" t="e">
        <f>VLOOKUP(A1212,SÜRELER!A:B,2,0)</f>
        <v>#N/A</v>
      </c>
      <c r="C1212" s="57">
        <v>10</v>
      </c>
      <c r="D1212" s="58"/>
      <c r="E1212" s="59"/>
      <c r="G1212" t="str">
        <f t="shared" si="20"/>
        <v>15006150069810</v>
      </c>
    </row>
    <row r="1213" spans="1:7" ht="14.5" x14ac:dyDescent="0.35">
      <c r="A1213" s="71" t="s">
        <v>4644</v>
      </c>
      <c r="B1213" s="73" t="e">
        <f>VLOOKUP(A1213,SÜRELER!A:B,2,0)</f>
        <v>#N/A</v>
      </c>
      <c r="C1213" s="41">
        <v>0</v>
      </c>
      <c r="D1213" s="34"/>
      <c r="E1213" s="35"/>
      <c r="G1213" t="str">
        <f t="shared" si="20"/>
        <v>1500615006150160140</v>
      </c>
    </row>
    <row r="1214" spans="1:7" ht="14.5" x14ac:dyDescent="0.35">
      <c r="A1214" s="71" t="s">
        <v>4645</v>
      </c>
      <c r="B1214" s="73" t="e">
        <f>VLOOKUP(A1214,SÜRELER!A:B,2,0)</f>
        <v>#N/A</v>
      </c>
      <c r="C1214" s="41">
        <v>0</v>
      </c>
      <c r="D1214" s="34"/>
      <c r="E1214" s="35"/>
      <c r="G1214" t="str">
        <f t="shared" si="20"/>
        <v>1500615006150160150</v>
      </c>
    </row>
    <row r="1215" spans="1:7" ht="14.5" x14ac:dyDescent="0.35">
      <c r="A1215" s="71" t="s">
        <v>4646</v>
      </c>
      <c r="B1215" s="73" t="e">
        <f>VLOOKUP(A1215,SÜRELER!A:B,2,0)</f>
        <v>#N/A</v>
      </c>
      <c r="C1215" s="41">
        <v>0</v>
      </c>
      <c r="D1215" s="34"/>
      <c r="E1215" s="35"/>
      <c r="G1215" t="str">
        <f t="shared" si="20"/>
        <v>1500615006150160175</v>
      </c>
    </row>
    <row r="1216" spans="1:7" ht="14.5" x14ac:dyDescent="0.35">
      <c r="A1216" s="71" t="s">
        <v>4647</v>
      </c>
      <c r="B1216" s="73" t="e">
        <f>VLOOKUP(A1216,SÜRELER!A:B,2,0)</f>
        <v>#N/A</v>
      </c>
      <c r="C1216" s="41">
        <v>0</v>
      </c>
      <c r="D1216" s="34"/>
      <c r="E1216" s="35"/>
      <c r="G1216" t="str">
        <f t="shared" si="20"/>
        <v>1500615006150160309</v>
      </c>
    </row>
    <row r="1217" spans="1:7" ht="14.5" x14ac:dyDescent="0.35">
      <c r="A1217" s="71" t="s">
        <v>4648</v>
      </c>
      <c r="B1217" s="73" t="e">
        <f>VLOOKUP(A1217,SÜRELER!A:B,2,0)</f>
        <v>#N/A</v>
      </c>
      <c r="C1217" s="41">
        <v>0</v>
      </c>
      <c r="D1217" s="34"/>
      <c r="E1217" s="35"/>
      <c r="G1217" t="str">
        <f t="shared" si="20"/>
        <v>1500615006150160310</v>
      </c>
    </row>
    <row r="1218" spans="1:7" ht="14.5" x14ac:dyDescent="0.35">
      <c r="A1218" s="71" t="s">
        <v>4649</v>
      </c>
      <c r="B1218" s="73" t="e">
        <f>VLOOKUP(A1218,SÜRELER!A:B,2,0)</f>
        <v>#N/A</v>
      </c>
      <c r="C1218" s="41">
        <v>0</v>
      </c>
      <c r="D1218" s="34"/>
      <c r="E1218" s="35"/>
      <c r="G1218" t="str">
        <f t="shared" si="20"/>
        <v>1500615006150160313</v>
      </c>
    </row>
    <row r="1219" spans="1:7" ht="14.5" x14ac:dyDescent="0.35">
      <c r="A1219" s="71" t="s">
        <v>4650</v>
      </c>
      <c r="B1219" s="73" t="e">
        <f>VLOOKUP(A1219,SÜRELER!A:B,2,0)</f>
        <v>#N/A</v>
      </c>
      <c r="C1219" s="41">
        <v>0</v>
      </c>
      <c r="D1219" s="34"/>
      <c r="E1219" s="35"/>
      <c r="G1219" t="str">
        <f t="shared" si="20"/>
        <v>1500615006150160314</v>
      </c>
    </row>
    <row r="1220" spans="1:7" ht="14.5" x14ac:dyDescent="0.35">
      <c r="A1220" s="71" t="s">
        <v>4651</v>
      </c>
      <c r="B1220" s="73" t="e">
        <f>VLOOKUP(A1220,SÜRELER!A:B,2,0)</f>
        <v>#N/A</v>
      </c>
      <c r="C1220" s="41">
        <v>0</v>
      </c>
      <c r="D1220" s="34"/>
      <c r="E1220" s="35"/>
      <c r="G1220" t="str">
        <f t="shared" si="20"/>
        <v>1500615006150160323</v>
      </c>
    </row>
    <row r="1221" spans="1:7" ht="14.5" x14ac:dyDescent="0.35">
      <c r="A1221" s="71" t="s">
        <v>4652</v>
      </c>
      <c r="B1221" s="73" t="e">
        <f>VLOOKUP(A1221,SÜRELER!A:B,2,0)</f>
        <v>#N/A</v>
      </c>
      <c r="C1221" s="41">
        <v>0</v>
      </c>
      <c r="D1221" s="34"/>
      <c r="E1221" s="35"/>
      <c r="G1221" t="str">
        <f t="shared" si="20"/>
        <v>1500615006150160324</v>
      </c>
    </row>
    <row r="1222" spans="1:7" ht="14.5" x14ac:dyDescent="0.35">
      <c r="A1222" s="71" t="s">
        <v>4653</v>
      </c>
      <c r="B1222" s="73" t="e">
        <f>VLOOKUP(A1222,SÜRELER!A:B,2,0)</f>
        <v>#N/A</v>
      </c>
      <c r="C1222" s="41">
        <v>0</v>
      </c>
      <c r="D1222" s="34"/>
      <c r="E1222" s="35"/>
      <c r="G1222" t="str">
        <f t="shared" si="20"/>
        <v>1500615006150160331</v>
      </c>
    </row>
    <row r="1223" spans="1:7" ht="14.5" x14ac:dyDescent="0.35">
      <c r="A1223" s="71" t="s">
        <v>4654</v>
      </c>
      <c r="B1223" s="73" t="e">
        <f>VLOOKUP(A1223,SÜRELER!A:B,2,0)</f>
        <v>#N/A</v>
      </c>
      <c r="C1223" s="41">
        <v>0</v>
      </c>
      <c r="D1223" s="34"/>
      <c r="E1223" s="35"/>
      <c r="G1223" t="str">
        <f t="shared" si="20"/>
        <v>1500615006150160332</v>
      </c>
    </row>
    <row r="1224" spans="1:7" ht="14.5" x14ac:dyDescent="0.35">
      <c r="A1224" s="71" t="s">
        <v>4655</v>
      </c>
      <c r="B1224" s="73" t="e">
        <f>VLOOKUP(A1224,SÜRELER!A:B,2,0)</f>
        <v>#N/A</v>
      </c>
      <c r="C1224" s="41">
        <v>0</v>
      </c>
      <c r="D1224" s="34"/>
      <c r="E1224" s="35"/>
      <c r="G1224" t="str">
        <f t="shared" si="20"/>
        <v>1500615006150160333</v>
      </c>
    </row>
    <row r="1225" spans="1:7" ht="14.5" x14ac:dyDescent="0.35">
      <c r="A1225" s="71" t="s">
        <v>4656</v>
      </c>
      <c r="B1225" s="73" t="e">
        <f>VLOOKUP(A1225,SÜRELER!A:B,2,0)</f>
        <v>#N/A</v>
      </c>
      <c r="C1225" s="41">
        <v>0</v>
      </c>
      <c r="D1225" s="34"/>
      <c r="E1225" s="35"/>
      <c r="G1225" t="str">
        <f t="shared" si="20"/>
        <v>1500615006150160334</v>
      </c>
    </row>
    <row r="1226" spans="1:7" ht="14.5" x14ac:dyDescent="0.35">
      <c r="A1226" s="71" t="s">
        <v>4657</v>
      </c>
      <c r="B1226" s="73" t="e">
        <f>VLOOKUP(A1226,SÜRELER!A:B,2,0)</f>
        <v>#N/A</v>
      </c>
      <c r="C1226" s="41">
        <v>0</v>
      </c>
      <c r="D1226" s="34"/>
      <c r="E1226" s="35"/>
      <c r="G1226" t="str">
        <f t="shared" si="20"/>
        <v>1500615006150160337</v>
      </c>
    </row>
    <row r="1227" spans="1:7" ht="14.5" x14ac:dyDescent="0.35">
      <c r="A1227" s="71" t="s">
        <v>4658</v>
      </c>
      <c r="B1227" s="73" t="e">
        <f>VLOOKUP(A1227,SÜRELER!A:B,2,0)</f>
        <v>#N/A</v>
      </c>
      <c r="C1227" s="41">
        <v>0</v>
      </c>
      <c r="D1227" s="34"/>
      <c r="E1227" s="35"/>
      <c r="G1227" t="str">
        <f t="shared" si="20"/>
        <v>1500615006150160340</v>
      </c>
    </row>
    <row r="1228" spans="1:7" ht="14.5" x14ac:dyDescent="0.35">
      <c r="A1228" s="71" t="s">
        <v>4659</v>
      </c>
      <c r="B1228" s="73" t="e">
        <f>VLOOKUP(A1228,SÜRELER!A:B,2,0)</f>
        <v>#N/A</v>
      </c>
      <c r="C1228" s="41">
        <v>0</v>
      </c>
      <c r="D1228" s="34"/>
      <c r="E1228" s="35"/>
      <c r="G1228" t="str">
        <f t="shared" si="20"/>
        <v>1500615006150160341</v>
      </c>
    </row>
    <row r="1229" spans="1:7" ht="14.5" x14ac:dyDescent="0.35">
      <c r="A1229" s="71" t="s">
        <v>4660</v>
      </c>
      <c r="B1229" s="73" t="e">
        <f>VLOOKUP(A1229,SÜRELER!A:B,2,0)</f>
        <v>#N/A</v>
      </c>
      <c r="C1229" s="41">
        <v>0</v>
      </c>
      <c r="D1229" s="34"/>
      <c r="E1229" s="35"/>
      <c r="G1229" t="str">
        <f t="shared" si="20"/>
        <v>1500615006150160342</v>
      </c>
    </row>
    <row r="1230" spans="1:7" ht="14.5" x14ac:dyDescent="0.35">
      <c r="A1230" s="71" t="s">
        <v>4661</v>
      </c>
      <c r="B1230" s="73" t="e">
        <f>VLOOKUP(A1230,SÜRELER!A:B,2,0)</f>
        <v>#N/A</v>
      </c>
      <c r="C1230" s="41">
        <v>0</v>
      </c>
      <c r="D1230" s="34"/>
      <c r="E1230" s="35"/>
      <c r="G1230" t="str">
        <f t="shared" si="20"/>
        <v>1500615006150160343</v>
      </c>
    </row>
    <row r="1231" spans="1:7" ht="14.5" x14ac:dyDescent="0.35">
      <c r="A1231" s="71" t="s">
        <v>4662</v>
      </c>
      <c r="B1231" s="73" t="e">
        <f>VLOOKUP(A1231,SÜRELER!A:B,2,0)</f>
        <v>#N/A</v>
      </c>
      <c r="C1231" s="41">
        <v>0</v>
      </c>
      <c r="D1231" s="34"/>
      <c r="E1231" s="35"/>
      <c r="G1231" t="str">
        <f t="shared" si="20"/>
        <v>1500615006150160344</v>
      </c>
    </row>
    <row r="1232" spans="1:7" ht="14.5" x14ac:dyDescent="0.35">
      <c r="A1232" s="71" t="s">
        <v>4663</v>
      </c>
      <c r="B1232" s="73" t="e">
        <f>VLOOKUP(A1232,SÜRELER!A:B,2,0)</f>
        <v>#N/A</v>
      </c>
      <c r="C1232" s="41">
        <v>0</v>
      </c>
      <c r="D1232" s="34"/>
      <c r="E1232" s="35"/>
      <c r="G1232" t="str">
        <f t="shared" si="20"/>
        <v>1500615006150160345</v>
      </c>
    </row>
    <row r="1233" spans="1:7" ht="14.5" x14ac:dyDescent="0.35">
      <c r="A1233" s="71" t="s">
        <v>4664</v>
      </c>
      <c r="B1233" s="73" t="e">
        <f>VLOOKUP(A1233,SÜRELER!A:B,2,0)</f>
        <v>#N/A</v>
      </c>
      <c r="C1233" s="41">
        <v>0</v>
      </c>
      <c r="D1233" s="34"/>
      <c r="E1233" s="35"/>
      <c r="G1233" t="str">
        <f t="shared" si="20"/>
        <v>1500615006150160350</v>
      </c>
    </row>
    <row r="1234" spans="1:7" ht="14.5" x14ac:dyDescent="0.35">
      <c r="A1234" s="71" t="s">
        <v>4665</v>
      </c>
      <c r="B1234" s="73" t="e">
        <f>VLOOKUP(A1234,SÜRELER!A:B,2,0)</f>
        <v>#N/A</v>
      </c>
      <c r="C1234" s="41">
        <v>0</v>
      </c>
      <c r="D1234" s="34"/>
      <c r="E1234" s="35"/>
      <c r="G1234" t="str">
        <f t="shared" si="20"/>
        <v>1500615006150160351</v>
      </c>
    </row>
    <row r="1235" spans="1:7" ht="14.5" x14ac:dyDescent="0.35">
      <c r="A1235" s="71" t="s">
        <v>4666</v>
      </c>
      <c r="B1235" s="73" t="e">
        <f>VLOOKUP(A1235,SÜRELER!A:B,2,0)</f>
        <v>#N/A</v>
      </c>
      <c r="C1235" s="41">
        <v>0</v>
      </c>
      <c r="D1235" s="34"/>
      <c r="E1235" s="35"/>
      <c r="G1235" t="str">
        <f t="shared" si="20"/>
        <v>1500615006150160352</v>
      </c>
    </row>
    <row r="1236" spans="1:7" ht="14.5" x14ac:dyDescent="0.35">
      <c r="A1236" s="71" t="s">
        <v>4667</v>
      </c>
      <c r="B1236" s="73" t="e">
        <f>VLOOKUP(A1236,SÜRELER!A:B,2,0)</f>
        <v>#N/A</v>
      </c>
      <c r="C1236" s="41">
        <v>0</v>
      </c>
      <c r="D1236" s="34"/>
      <c r="E1236" s="35"/>
      <c r="G1236" t="str">
        <f t="shared" si="20"/>
        <v>1500615006150160353</v>
      </c>
    </row>
    <row r="1237" spans="1:7" ht="14.5" x14ac:dyDescent="0.35">
      <c r="A1237" s="71" t="s">
        <v>4668</v>
      </c>
      <c r="B1237" s="73" t="e">
        <f>VLOOKUP(A1237,SÜRELER!A:B,2,0)</f>
        <v>#N/A</v>
      </c>
      <c r="C1237" s="67">
        <v>0</v>
      </c>
      <c r="D1237" s="58"/>
      <c r="E1237" s="59"/>
      <c r="G1237" t="str">
        <f t="shared" si="20"/>
        <v>1500615006150160386</v>
      </c>
    </row>
    <row r="1238" spans="1:7" ht="14.5" x14ac:dyDescent="0.35">
      <c r="A1238" s="71" t="s">
        <v>4669</v>
      </c>
      <c r="B1238" s="73" t="e">
        <f>VLOOKUP(A1238,SÜRELER!A:B,2,0)</f>
        <v>#N/A</v>
      </c>
      <c r="C1238" s="67">
        <v>0</v>
      </c>
      <c r="D1238" s="58"/>
      <c r="E1238" s="59"/>
      <c r="G1238" t="str">
        <f t="shared" si="20"/>
        <v>1500615006150160387</v>
      </c>
    </row>
    <row r="1239" spans="1:7" ht="14.5" x14ac:dyDescent="0.35">
      <c r="A1239" s="71" t="s">
        <v>4670</v>
      </c>
      <c r="B1239" s="73" t="e">
        <f>VLOOKUP(A1239,SÜRELER!A:B,2,0)</f>
        <v>#N/A</v>
      </c>
      <c r="C1239" s="41">
        <v>0</v>
      </c>
      <c r="D1239" s="34"/>
      <c r="E1239" s="35"/>
      <c r="G1239" t="str">
        <f t="shared" si="20"/>
        <v>1500615006150160444</v>
      </c>
    </row>
    <row r="1240" spans="1:7" ht="14.5" x14ac:dyDescent="0.35">
      <c r="A1240" s="71" t="s">
        <v>4671</v>
      </c>
      <c r="B1240" s="73" t="e">
        <f>VLOOKUP(A1240,SÜRELER!A:B,2,0)</f>
        <v>#N/A</v>
      </c>
      <c r="C1240" s="41">
        <v>0</v>
      </c>
      <c r="D1240" s="34"/>
      <c r="E1240" s="35"/>
      <c r="G1240" t="str">
        <f t="shared" ref="G1240:G1303" si="21">CONCATENATE($F$471,A1240,)</f>
        <v>1500615006150160445</v>
      </c>
    </row>
    <row r="1241" spans="1:7" ht="14.5" x14ac:dyDescent="0.35">
      <c r="A1241" s="71" t="s">
        <v>4672</v>
      </c>
      <c r="B1241" s="73" t="e">
        <f>VLOOKUP(A1241,SÜRELER!A:B,2,0)</f>
        <v>#N/A</v>
      </c>
      <c r="C1241" s="41">
        <v>0</v>
      </c>
      <c r="D1241" s="34"/>
      <c r="E1241" s="35"/>
      <c r="G1241" t="str">
        <f t="shared" si="21"/>
        <v>1500615006150160446</v>
      </c>
    </row>
    <row r="1242" spans="1:7" ht="14.5" x14ac:dyDescent="0.35">
      <c r="A1242" s="71" t="s">
        <v>4673</v>
      </c>
      <c r="B1242" s="73" t="e">
        <f>VLOOKUP(A1242,SÜRELER!A:B,2,0)</f>
        <v>#N/A</v>
      </c>
      <c r="C1242" s="41">
        <v>0</v>
      </c>
      <c r="D1242" s="34"/>
      <c r="E1242" s="35"/>
      <c r="G1242" t="str">
        <f t="shared" si="21"/>
        <v>1500615006150160448</v>
      </c>
    </row>
    <row r="1243" spans="1:7" ht="14.5" x14ac:dyDescent="0.35">
      <c r="A1243" s="71" t="s">
        <v>4674</v>
      </c>
      <c r="B1243" s="73" t="e">
        <f>VLOOKUP(A1243,SÜRELER!A:B,2,0)</f>
        <v>#N/A</v>
      </c>
      <c r="C1243" s="41">
        <v>0</v>
      </c>
      <c r="D1243" s="34"/>
      <c r="E1243" s="35"/>
      <c r="G1243" t="str">
        <f t="shared" si="21"/>
        <v>1500615006150160449</v>
      </c>
    </row>
    <row r="1244" spans="1:7" ht="14.5" x14ac:dyDescent="0.35">
      <c r="A1244" s="71" t="s">
        <v>4675</v>
      </c>
      <c r="B1244" s="73" t="e">
        <f>VLOOKUP(A1244,SÜRELER!A:B,2,0)</f>
        <v>#N/A</v>
      </c>
      <c r="C1244" s="41">
        <v>0</v>
      </c>
      <c r="D1244" s="34"/>
      <c r="E1244" s="35"/>
      <c r="G1244" t="str">
        <f t="shared" si="21"/>
        <v>1500615006150160461</v>
      </c>
    </row>
    <row r="1245" spans="1:7" ht="14.5" x14ac:dyDescent="0.35">
      <c r="A1245" s="71" t="s">
        <v>4676</v>
      </c>
      <c r="B1245" s="73" t="e">
        <f>VLOOKUP(A1245,SÜRELER!A:B,2,0)</f>
        <v>#N/A</v>
      </c>
      <c r="C1245" s="41">
        <v>0</v>
      </c>
      <c r="D1245" s="34"/>
      <c r="E1245" s="35"/>
      <c r="G1245" t="str">
        <f t="shared" si="21"/>
        <v>1500615006150160462</v>
      </c>
    </row>
    <row r="1246" spans="1:7" ht="14.5" x14ac:dyDescent="0.35">
      <c r="A1246" s="71" t="s">
        <v>4677</v>
      </c>
      <c r="B1246" s="73" t="e">
        <f>VLOOKUP(A1246,SÜRELER!A:B,2,0)</f>
        <v>#N/A</v>
      </c>
      <c r="C1246" s="41">
        <v>0</v>
      </c>
      <c r="D1246" s="34"/>
      <c r="E1246" s="35"/>
      <c r="G1246" t="str">
        <f t="shared" si="21"/>
        <v>1500615006150160466</v>
      </c>
    </row>
    <row r="1247" spans="1:7" ht="14.5" x14ac:dyDescent="0.35">
      <c r="A1247" s="71" t="s">
        <v>4678</v>
      </c>
      <c r="B1247" s="73" t="e">
        <f>VLOOKUP(A1247,SÜRELER!A:B,2,0)</f>
        <v>#N/A</v>
      </c>
      <c r="C1247" s="41">
        <v>0</v>
      </c>
      <c r="D1247" s="34"/>
      <c r="E1247" s="35"/>
      <c r="G1247" t="str">
        <f t="shared" si="21"/>
        <v>1500615006150160467</v>
      </c>
    </row>
    <row r="1248" spans="1:7" ht="14.5" x14ac:dyDescent="0.35">
      <c r="A1248" s="71" t="s">
        <v>4679</v>
      </c>
      <c r="B1248" s="73" t="e">
        <f>VLOOKUP(A1248,SÜRELER!A:B,2,0)</f>
        <v>#N/A</v>
      </c>
      <c r="C1248" s="41">
        <v>0</v>
      </c>
      <c r="D1248" s="34"/>
      <c r="E1248" s="35"/>
      <c r="G1248" t="str">
        <f t="shared" si="21"/>
        <v>1500615006150160471</v>
      </c>
    </row>
    <row r="1249" spans="1:7" ht="14.5" x14ac:dyDescent="0.35">
      <c r="A1249" s="71" t="s">
        <v>4680</v>
      </c>
      <c r="B1249" s="73" t="e">
        <f>VLOOKUP(A1249,SÜRELER!A:B,2,0)</f>
        <v>#N/A</v>
      </c>
      <c r="C1249" s="41">
        <v>0</v>
      </c>
      <c r="D1249" s="34"/>
      <c r="E1249" s="35"/>
      <c r="G1249" t="str">
        <f t="shared" si="21"/>
        <v>1500615006150160472</v>
      </c>
    </row>
    <row r="1250" spans="1:7" ht="14.5" x14ac:dyDescent="0.35">
      <c r="A1250" s="71" t="s">
        <v>4681</v>
      </c>
      <c r="B1250" s="73" t="e">
        <f>VLOOKUP(A1250,SÜRELER!A:B,2,0)</f>
        <v>#N/A</v>
      </c>
      <c r="C1250" s="41">
        <v>0</v>
      </c>
      <c r="D1250" s="34"/>
      <c r="E1250" s="35"/>
      <c r="G1250" t="str">
        <f t="shared" si="21"/>
        <v>1500615006150160473</v>
      </c>
    </row>
    <row r="1251" spans="1:7" ht="14.5" x14ac:dyDescent="0.35">
      <c r="A1251" s="71" t="s">
        <v>4682</v>
      </c>
      <c r="B1251" s="73" t="e">
        <f>VLOOKUP(A1251,SÜRELER!A:B,2,0)</f>
        <v>#N/A</v>
      </c>
      <c r="C1251" s="41">
        <v>0</v>
      </c>
      <c r="D1251" s="34"/>
      <c r="E1251" s="35"/>
      <c r="G1251" t="str">
        <f t="shared" si="21"/>
        <v>1500615006150160476</v>
      </c>
    </row>
    <row r="1252" spans="1:7" ht="14.5" x14ac:dyDescent="0.35">
      <c r="A1252" s="71" t="s">
        <v>4683</v>
      </c>
      <c r="B1252" s="73" t="e">
        <f>VLOOKUP(A1252,SÜRELER!A:B,2,0)</f>
        <v>#N/A</v>
      </c>
      <c r="C1252" s="41">
        <v>0</v>
      </c>
      <c r="D1252" s="34"/>
      <c r="E1252" s="35"/>
      <c r="G1252" t="str">
        <f t="shared" si="21"/>
        <v>1500615006150160477</v>
      </c>
    </row>
    <row r="1253" spans="1:7" ht="14.5" x14ac:dyDescent="0.35">
      <c r="A1253" s="71" t="s">
        <v>4684</v>
      </c>
      <c r="B1253" s="73" t="e">
        <f>VLOOKUP(A1253,SÜRELER!A:B,2,0)</f>
        <v>#N/A</v>
      </c>
      <c r="C1253" s="41">
        <v>0</v>
      </c>
      <c r="D1253" s="34"/>
      <c r="E1253" s="35"/>
      <c r="G1253" t="str">
        <f t="shared" si="21"/>
        <v>1500615006150160480</v>
      </c>
    </row>
    <row r="1254" spans="1:7" ht="14.5" x14ac:dyDescent="0.35">
      <c r="A1254" s="71" t="s">
        <v>4685</v>
      </c>
      <c r="B1254" s="73" t="e">
        <f>VLOOKUP(A1254,SÜRELER!A:B,2,0)</f>
        <v>#N/A</v>
      </c>
      <c r="C1254" s="41">
        <v>0</v>
      </c>
      <c r="D1254" s="34"/>
      <c r="E1254" s="35"/>
      <c r="G1254" t="str">
        <f t="shared" si="21"/>
        <v>1500615006150160481</v>
      </c>
    </row>
    <row r="1255" spans="1:7" ht="14.5" x14ac:dyDescent="0.35">
      <c r="A1255" s="71" t="s">
        <v>4686</v>
      </c>
      <c r="B1255" s="73" t="e">
        <f>VLOOKUP(A1255,SÜRELER!A:B,2,0)</f>
        <v>#N/A</v>
      </c>
      <c r="C1255" s="41">
        <v>0</v>
      </c>
      <c r="D1255" s="34"/>
      <c r="E1255" s="35"/>
      <c r="G1255" t="str">
        <f t="shared" si="21"/>
        <v>1500615006150160482</v>
      </c>
    </row>
    <row r="1256" spans="1:7" ht="14.5" x14ac:dyDescent="0.35">
      <c r="A1256" s="71" t="s">
        <v>4687</v>
      </c>
      <c r="B1256" s="73" t="e">
        <f>VLOOKUP(A1256,SÜRELER!A:B,2,0)</f>
        <v>#N/A</v>
      </c>
      <c r="C1256" s="41">
        <v>0</v>
      </c>
      <c r="D1256" s="34"/>
      <c r="E1256" s="35"/>
      <c r="G1256" t="str">
        <f t="shared" si="21"/>
        <v>1500615006150160483</v>
      </c>
    </row>
    <row r="1257" spans="1:7" ht="14.5" x14ac:dyDescent="0.35">
      <c r="A1257" s="71" t="s">
        <v>4688</v>
      </c>
      <c r="B1257" s="73" t="e">
        <f>VLOOKUP(A1257,SÜRELER!A:B,2,0)</f>
        <v>#N/A</v>
      </c>
      <c r="C1257" s="41">
        <v>0</v>
      </c>
      <c r="D1257" s="34"/>
      <c r="E1257" s="35"/>
      <c r="G1257" t="str">
        <f t="shared" si="21"/>
        <v>1500615006150160488</v>
      </c>
    </row>
    <row r="1258" spans="1:7" ht="14.5" x14ac:dyDescent="0.35">
      <c r="A1258" s="71" t="s">
        <v>4689</v>
      </c>
      <c r="B1258" s="73" t="e">
        <f>VLOOKUP(A1258,SÜRELER!A:B,2,0)</f>
        <v>#N/A</v>
      </c>
      <c r="C1258" s="41">
        <v>0</v>
      </c>
      <c r="D1258" s="34"/>
      <c r="E1258" s="35"/>
      <c r="G1258" t="str">
        <f t="shared" si="21"/>
        <v>1500615006150160489</v>
      </c>
    </row>
    <row r="1259" spans="1:7" ht="14.5" x14ac:dyDescent="0.35">
      <c r="A1259" s="71" t="s">
        <v>4690</v>
      </c>
      <c r="B1259" s="73" t="e">
        <f>VLOOKUP(A1259,SÜRELER!A:B,2,0)</f>
        <v>#N/A</v>
      </c>
      <c r="C1259" s="41">
        <v>0</v>
      </c>
      <c r="D1259" s="34"/>
      <c r="E1259" s="35"/>
      <c r="G1259" t="str">
        <f t="shared" si="21"/>
        <v>1500615006150160494</v>
      </c>
    </row>
    <row r="1260" spans="1:7" ht="14.5" x14ac:dyDescent="0.35">
      <c r="A1260" s="71" t="s">
        <v>4691</v>
      </c>
      <c r="B1260" s="73" t="e">
        <f>VLOOKUP(A1260,SÜRELER!A:B,2,0)</f>
        <v>#N/A</v>
      </c>
      <c r="C1260" s="41">
        <v>0</v>
      </c>
      <c r="D1260" s="34"/>
      <c r="E1260" s="35"/>
      <c r="G1260" t="str">
        <f t="shared" si="21"/>
        <v>1500615006150160495</v>
      </c>
    </row>
    <row r="1261" spans="1:7" ht="14.5" x14ac:dyDescent="0.35">
      <c r="A1261" s="71" t="s">
        <v>4692</v>
      </c>
      <c r="B1261" s="73" t="e">
        <f>VLOOKUP(A1261,SÜRELER!A:B,2,0)</f>
        <v>#N/A</v>
      </c>
      <c r="C1261" s="41">
        <v>0</v>
      </c>
      <c r="D1261" s="34"/>
      <c r="E1261" s="35"/>
      <c r="G1261" t="str">
        <f t="shared" si="21"/>
        <v>1500615006150160496</v>
      </c>
    </row>
    <row r="1262" spans="1:7" ht="14.5" x14ac:dyDescent="0.35">
      <c r="A1262" s="71" t="s">
        <v>4693</v>
      </c>
      <c r="B1262" s="73" t="e">
        <f>VLOOKUP(A1262,SÜRELER!A:B,2,0)</f>
        <v>#N/A</v>
      </c>
      <c r="C1262" s="41">
        <v>0</v>
      </c>
      <c r="D1262" s="34"/>
      <c r="E1262" s="35"/>
      <c r="G1262" t="str">
        <f t="shared" si="21"/>
        <v>1500615006150160497</v>
      </c>
    </row>
    <row r="1263" spans="1:7" ht="14.5" x14ac:dyDescent="0.35">
      <c r="A1263" s="71" t="s">
        <v>4694</v>
      </c>
      <c r="B1263" s="73" t="e">
        <f>VLOOKUP(A1263,SÜRELER!A:B,2,0)</f>
        <v>#N/A</v>
      </c>
      <c r="C1263" s="41">
        <v>0</v>
      </c>
      <c r="D1263" s="34"/>
      <c r="E1263" s="35"/>
      <c r="G1263" t="str">
        <f t="shared" si="21"/>
        <v>1500615006150160539</v>
      </c>
    </row>
    <row r="1264" spans="1:7" ht="14.5" x14ac:dyDescent="0.35">
      <c r="A1264" s="71" t="s">
        <v>4695</v>
      </c>
      <c r="B1264" s="73" t="e">
        <f>VLOOKUP(A1264,SÜRELER!A:B,2,0)</f>
        <v>#N/A</v>
      </c>
      <c r="C1264" s="41">
        <v>0</v>
      </c>
      <c r="D1264" s="34"/>
      <c r="E1264" s="35"/>
      <c r="G1264" t="str">
        <f t="shared" si="21"/>
        <v>1500615006150160605</v>
      </c>
    </row>
    <row r="1265" spans="1:7" ht="14.5" x14ac:dyDescent="0.35">
      <c r="A1265" s="71" t="s">
        <v>4696</v>
      </c>
      <c r="B1265" s="73" t="e">
        <f>VLOOKUP(A1265,SÜRELER!A:B,2,0)</f>
        <v>#N/A</v>
      </c>
      <c r="C1265" s="41">
        <v>0</v>
      </c>
      <c r="D1265" s="34"/>
      <c r="E1265" s="35"/>
      <c r="G1265" t="str">
        <f t="shared" si="21"/>
        <v>1500615006150160802</v>
      </c>
    </row>
    <row r="1266" spans="1:7" ht="14.5" x14ac:dyDescent="0.35">
      <c r="A1266" s="71" t="s">
        <v>4697</v>
      </c>
      <c r="B1266" s="73" t="e">
        <f>VLOOKUP(A1266,SÜRELER!A:B,2,0)</f>
        <v>#N/A</v>
      </c>
      <c r="C1266" s="41">
        <v>0</v>
      </c>
      <c r="D1266" s="34"/>
      <c r="E1266" s="35"/>
      <c r="G1266" t="str">
        <f t="shared" si="21"/>
        <v>1500615006150160803</v>
      </c>
    </row>
    <row r="1267" spans="1:7" ht="14.5" x14ac:dyDescent="0.35">
      <c r="A1267" s="71" t="s">
        <v>4698</v>
      </c>
      <c r="B1267" s="73" t="e">
        <f>VLOOKUP(A1267,SÜRELER!A:B,2,0)</f>
        <v>#N/A</v>
      </c>
      <c r="C1267" s="41">
        <v>0</v>
      </c>
      <c r="D1267" s="34"/>
      <c r="E1267" s="35"/>
      <c r="G1267" t="str">
        <f t="shared" si="21"/>
        <v>1500615006150160806</v>
      </c>
    </row>
    <row r="1268" spans="1:7" ht="14.5" x14ac:dyDescent="0.35">
      <c r="A1268" s="71" t="s">
        <v>4699</v>
      </c>
      <c r="B1268" s="73" t="e">
        <f>VLOOKUP(A1268,SÜRELER!A:B,2,0)</f>
        <v>#N/A</v>
      </c>
      <c r="C1268" s="41">
        <v>0</v>
      </c>
      <c r="D1268" s="34"/>
      <c r="E1268" s="35"/>
      <c r="G1268" t="str">
        <f t="shared" si="21"/>
        <v>1500615006150160807</v>
      </c>
    </row>
    <row r="1269" spans="1:7" ht="14.5" x14ac:dyDescent="0.35">
      <c r="A1269" s="71" t="s">
        <v>4700</v>
      </c>
      <c r="B1269" s="73" t="e">
        <f>VLOOKUP(A1269,SÜRELER!A:B,2,0)</f>
        <v>#N/A</v>
      </c>
      <c r="C1269" s="41">
        <v>0</v>
      </c>
      <c r="D1269" s="34"/>
      <c r="E1269" s="35"/>
      <c r="G1269" t="str">
        <f t="shared" si="21"/>
        <v>1500615006150160814</v>
      </c>
    </row>
    <row r="1270" spans="1:7" ht="14.5" x14ac:dyDescent="0.35">
      <c r="A1270" s="71" t="s">
        <v>4701</v>
      </c>
      <c r="B1270" s="73" t="e">
        <f>VLOOKUP(A1270,SÜRELER!A:B,2,0)</f>
        <v>#N/A</v>
      </c>
      <c r="C1270" s="41">
        <v>0</v>
      </c>
      <c r="D1270" s="34"/>
      <c r="E1270" s="35"/>
      <c r="G1270" t="str">
        <f t="shared" si="21"/>
        <v>1500615006150160815</v>
      </c>
    </row>
    <row r="1271" spans="1:7" ht="14.5" x14ac:dyDescent="0.35">
      <c r="A1271" s="71" t="s">
        <v>4702</v>
      </c>
      <c r="B1271" s="73" t="e">
        <f>VLOOKUP(A1271,SÜRELER!A:B,2,0)</f>
        <v>#N/A</v>
      </c>
      <c r="C1271" s="41">
        <v>0</v>
      </c>
      <c r="D1271" s="34"/>
      <c r="E1271" s="35"/>
      <c r="G1271" t="str">
        <f t="shared" si="21"/>
        <v>1500615006150160832</v>
      </c>
    </row>
    <row r="1272" spans="1:7" ht="14.5" x14ac:dyDescent="0.35">
      <c r="A1272" s="71" t="s">
        <v>4703</v>
      </c>
      <c r="B1272" s="73" t="e">
        <f>VLOOKUP(A1272,SÜRELER!A:B,2,0)</f>
        <v>#N/A</v>
      </c>
      <c r="C1272" s="41">
        <v>0</v>
      </c>
      <c r="D1272" s="34"/>
      <c r="E1272" s="35"/>
      <c r="G1272" t="str">
        <f t="shared" si="21"/>
        <v>1500615006150160833</v>
      </c>
    </row>
    <row r="1273" spans="1:7" ht="14.5" x14ac:dyDescent="0.35">
      <c r="A1273" s="71" t="s">
        <v>4704</v>
      </c>
      <c r="B1273" s="73" t="e">
        <f>VLOOKUP(A1273,SÜRELER!A:B,2,0)</f>
        <v>#N/A</v>
      </c>
      <c r="C1273" s="41">
        <v>0</v>
      </c>
      <c r="D1273" s="34"/>
      <c r="E1273" s="35"/>
      <c r="G1273" t="str">
        <f t="shared" si="21"/>
        <v>1500615006150160834</v>
      </c>
    </row>
    <row r="1274" spans="1:7" ht="14.5" x14ac:dyDescent="0.35">
      <c r="A1274" s="71" t="s">
        <v>4705</v>
      </c>
      <c r="B1274" s="73" t="e">
        <f>VLOOKUP(A1274,SÜRELER!A:B,2,0)</f>
        <v>#N/A</v>
      </c>
      <c r="C1274" s="41">
        <v>0</v>
      </c>
      <c r="D1274" s="34"/>
      <c r="E1274" s="35"/>
      <c r="G1274" t="str">
        <f t="shared" si="21"/>
        <v>1500615006150160838</v>
      </c>
    </row>
    <row r="1275" spans="1:7" ht="14.5" x14ac:dyDescent="0.35">
      <c r="A1275" s="71" t="s">
        <v>4706</v>
      </c>
      <c r="B1275" s="73" t="e">
        <f>VLOOKUP(A1275,SÜRELER!A:B,2,0)</f>
        <v>#N/A</v>
      </c>
      <c r="C1275" s="41">
        <v>0</v>
      </c>
      <c r="D1275" s="34"/>
      <c r="E1275" s="35"/>
      <c r="G1275" t="str">
        <f t="shared" si="21"/>
        <v>1500615006150160839</v>
      </c>
    </row>
    <row r="1276" spans="1:7" ht="14.5" x14ac:dyDescent="0.35">
      <c r="A1276" s="71" t="s">
        <v>4707</v>
      </c>
      <c r="B1276" s="73" t="e">
        <f>VLOOKUP(A1276,SÜRELER!A:B,2,0)</f>
        <v>#N/A</v>
      </c>
      <c r="C1276" s="41">
        <v>0</v>
      </c>
      <c r="D1276" s="34"/>
      <c r="E1276" s="35"/>
      <c r="G1276" t="str">
        <f t="shared" si="21"/>
        <v>1500615006150160840</v>
      </c>
    </row>
    <row r="1277" spans="1:7" ht="14.5" x14ac:dyDescent="0.35">
      <c r="A1277" s="71" t="s">
        <v>4708</v>
      </c>
      <c r="B1277" s="73" t="e">
        <f>VLOOKUP(A1277,SÜRELER!A:B,2,0)</f>
        <v>#N/A</v>
      </c>
      <c r="C1277" s="41">
        <v>0</v>
      </c>
      <c r="D1277" s="34"/>
      <c r="E1277" s="35"/>
      <c r="G1277" t="str">
        <f t="shared" si="21"/>
        <v>1500615006150160914</v>
      </c>
    </row>
    <row r="1278" spans="1:7" ht="14.5" x14ac:dyDescent="0.35">
      <c r="A1278" s="71" t="s">
        <v>4709</v>
      </c>
      <c r="B1278" s="73" t="e">
        <f>VLOOKUP(A1278,SÜRELER!A:B,2,0)</f>
        <v>#N/A</v>
      </c>
      <c r="C1278" s="41">
        <v>0</v>
      </c>
      <c r="D1278" s="34"/>
      <c r="E1278" s="35"/>
      <c r="G1278" t="str">
        <f t="shared" si="21"/>
        <v>1500615006150160915</v>
      </c>
    </row>
    <row r="1279" spans="1:7" ht="14.5" x14ac:dyDescent="0.35">
      <c r="A1279" s="71" t="s">
        <v>4710</v>
      </c>
      <c r="B1279" s="73" t="e">
        <f>VLOOKUP(A1279,SÜRELER!A:B,2,0)</f>
        <v>#N/A</v>
      </c>
      <c r="C1279" s="41">
        <v>0</v>
      </c>
      <c r="D1279" s="34"/>
      <c r="E1279" s="35"/>
      <c r="G1279" t="str">
        <f t="shared" si="21"/>
        <v>1500615006150160916</v>
      </c>
    </row>
    <row r="1280" spans="1:7" ht="14.5" x14ac:dyDescent="0.35">
      <c r="A1280" s="71" t="s">
        <v>4711</v>
      </c>
      <c r="B1280" s="73" t="e">
        <f>VLOOKUP(A1280,SÜRELER!A:B,2,0)</f>
        <v>#N/A</v>
      </c>
      <c r="C1280" s="41">
        <v>0</v>
      </c>
      <c r="D1280" s="34"/>
      <c r="E1280" s="35"/>
      <c r="G1280" t="str">
        <f t="shared" si="21"/>
        <v>1500615006150160917</v>
      </c>
    </row>
    <row r="1281" spans="1:7" ht="14.5" x14ac:dyDescent="0.35">
      <c r="A1281" s="71" t="s">
        <v>4712</v>
      </c>
      <c r="B1281" s="73" t="e">
        <f>VLOOKUP(A1281,SÜRELER!A:B,2,0)</f>
        <v>#N/A</v>
      </c>
      <c r="C1281" s="41">
        <v>0</v>
      </c>
      <c r="D1281" s="34"/>
      <c r="E1281" s="35"/>
      <c r="G1281" t="str">
        <f t="shared" si="21"/>
        <v>1500615006150160918</v>
      </c>
    </row>
    <row r="1282" spans="1:7" ht="14.5" x14ac:dyDescent="0.35">
      <c r="A1282" s="71" t="s">
        <v>4713</v>
      </c>
      <c r="B1282" s="73" t="e">
        <f>VLOOKUP(A1282,SÜRELER!A:B,2,0)</f>
        <v>#N/A</v>
      </c>
      <c r="C1282" s="41">
        <v>0</v>
      </c>
      <c r="D1282" s="34"/>
      <c r="E1282" s="35"/>
      <c r="G1282" t="str">
        <f t="shared" si="21"/>
        <v>1500615006150160919</v>
      </c>
    </row>
    <row r="1283" spans="1:7" ht="14.5" x14ac:dyDescent="0.35">
      <c r="A1283" s="71" t="s">
        <v>4714</v>
      </c>
      <c r="B1283" s="73" t="e">
        <f>VLOOKUP(A1283,SÜRELER!A:B,2,0)</f>
        <v>#N/A</v>
      </c>
      <c r="C1283" s="41">
        <v>0</v>
      </c>
      <c r="D1283" s="34"/>
      <c r="E1283" s="35"/>
      <c r="G1283" t="str">
        <f t="shared" si="21"/>
        <v>1500615006150160920</v>
      </c>
    </row>
    <row r="1284" spans="1:7" ht="14.5" x14ac:dyDescent="0.35">
      <c r="A1284" s="71" t="s">
        <v>4715</v>
      </c>
      <c r="B1284" s="73" t="e">
        <f>VLOOKUP(A1284,SÜRELER!A:B,2,0)</f>
        <v>#N/A</v>
      </c>
      <c r="C1284" s="41">
        <v>0</v>
      </c>
      <c r="D1284" s="34"/>
      <c r="E1284" s="35"/>
      <c r="G1284" t="str">
        <f t="shared" si="21"/>
        <v>1500615006150160931</v>
      </c>
    </row>
    <row r="1285" spans="1:7" ht="14.5" x14ac:dyDescent="0.35">
      <c r="A1285" s="71" t="s">
        <v>4716</v>
      </c>
      <c r="B1285" s="73" t="e">
        <f>VLOOKUP(A1285,SÜRELER!A:B,2,0)</f>
        <v>#N/A</v>
      </c>
      <c r="C1285" s="41">
        <v>0</v>
      </c>
      <c r="D1285" s="34"/>
      <c r="E1285" s="35"/>
      <c r="G1285" t="str">
        <f t="shared" si="21"/>
        <v>1500615006150160952</v>
      </c>
    </row>
    <row r="1286" spans="1:7" ht="14.5" x14ac:dyDescent="0.35">
      <c r="A1286" s="71" t="s">
        <v>4717</v>
      </c>
      <c r="B1286" s="73" t="e">
        <f>VLOOKUP(A1286,SÜRELER!A:B,2,0)</f>
        <v>#N/A</v>
      </c>
      <c r="C1286" s="41">
        <v>0</v>
      </c>
      <c r="D1286" s="34"/>
      <c r="E1286" s="35"/>
      <c r="G1286" t="str">
        <f t="shared" si="21"/>
        <v>1500615006150160953</v>
      </c>
    </row>
    <row r="1287" spans="1:7" ht="14.5" x14ac:dyDescent="0.35">
      <c r="A1287" s="71" t="s">
        <v>4718</v>
      </c>
      <c r="B1287" s="73" t="e">
        <f>VLOOKUP(A1287,SÜRELER!A:B,2,0)</f>
        <v>#N/A</v>
      </c>
      <c r="C1287" s="41">
        <v>0</v>
      </c>
      <c r="D1287" s="34"/>
      <c r="E1287" s="35"/>
      <c r="G1287" t="str">
        <f t="shared" si="21"/>
        <v>1500615006150160954</v>
      </c>
    </row>
    <row r="1288" spans="1:7" ht="14.5" x14ac:dyDescent="0.35">
      <c r="A1288" s="71" t="s">
        <v>4719</v>
      </c>
      <c r="B1288" s="73" t="e">
        <f>VLOOKUP(A1288,SÜRELER!A:B,2,0)</f>
        <v>#N/A</v>
      </c>
      <c r="C1288" s="41">
        <v>0</v>
      </c>
      <c r="D1288" s="34"/>
      <c r="E1288" s="35"/>
      <c r="G1288" t="str">
        <f t="shared" si="21"/>
        <v>1500615006150160955</v>
      </c>
    </row>
    <row r="1289" spans="1:7" ht="14.5" x14ac:dyDescent="0.35">
      <c r="A1289" s="71" t="s">
        <v>4720</v>
      </c>
      <c r="B1289" s="73" t="e">
        <f>VLOOKUP(A1289,SÜRELER!A:B,2,0)</f>
        <v>#N/A</v>
      </c>
      <c r="C1289" s="41">
        <v>0</v>
      </c>
      <c r="D1289" s="34"/>
      <c r="E1289" s="35"/>
      <c r="G1289" t="str">
        <f t="shared" si="21"/>
        <v>1500615006150161055</v>
      </c>
    </row>
    <row r="1290" spans="1:7" ht="14.5" x14ac:dyDescent="0.35">
      <c r="A1290" s="71" t="s">
        <v>4721</v>
      </c>
      <c r="B1290" s="73" t="e">
        <f>VLOOKUP(A1290,SÜRELER!A:B,2,0)</f>
        <v>#N/A</v>
      </c>
      <c r="C1290" s="41">
        <v>0</v>
      </c>
      <c r="D1290" s="34"/>
      <c r="E1290" s="35"/>
      <c r="G1290" t="str">
        <f t="shared" si="21"/>
        <v>1500615006150161056</v>
      </c>
    </row>
    <row r="1291" spans="1:7" ht="14.5" x14ac:dyDescent="0.35">
      <c r="A1291" s="71" t="s">
        <v>4722</v>
      </c>
      <c r="B1291" s="73" t="e">
        <f>VLOOKUP(A1291,SÜRELER!A:B,2,0)</f>
        <v>#N/A</v>
      </c>
      <c r="C1291" s="41">
        <v>0</v>
      </c>
      <c r="D1291" s="58"/>
      <c r="E1291" s="59"/>
      <c r="G1291" t="str">
        <f t="shared" si="21"/>
        <v>1500615006150161016</v>
      </c>
    </row>
    <row r="1292" spans="1:7" ht="14.5" x14ac:dyDescent="0.35">
      <c r="A1292" s="71" t="s">
        <v>4723</v>
      </c>
      <c r="B1292" s="73" t="e">
        <f>VLOOKUP(A1292,SÜRELER!A:B,2,0)</f>
        <v>#N/A</v>
      </c>
      <c r="C1292" s="41">
        <v>0</v>
      </c>
      <c r="D1292" s="58"/>
      <c r="E1292" s="59"/>
      <c r="G1292" t="str">
        <f t="shared" si="21"/>
        <v>1500615006150161017</v>
      </c>
    </row>
    <row r="1293" spans="1:7" ht="14.5" x14ac:dyDescent="0.35">
      <c r="A1293" s="71" t="s">
        <v>4724</v>
      </c>
      <c r="B1293" s="73" t="e">
        <f>VLOOKUP(A1293,SÜRELER!A:B,2,0)</f>
        <v>#N/A</v>
      </c>
      <c r="C1293" s="41">
        <v>0</v>
      </c>
      <c r="D1293" s="34"/>
      <c r="E1293" s="35"/>
      <c r="G1293" t="str">
        <f t="shared" si="21"/>
        <v>1500615006150161109</v>
      </c>
    </row>
    <row r="1294" spans="1:7" ht="14.5" x14ac:dyDescent="0.35">
      <c r="A1294" s="71" t="s">
        <v>4725</v>
      </c>
      <c r="B1294" s="73" t="e">
        <f>VLOOKUP(A1294,SÜRELER!A:B,2,0)</f>
        <v>#N/A</v>
      </c>
      <c r="C1294" s="41">
        <v>0</v>
      </c>
      <c r="D1294" s="34"/>
      <c r="E1294" s="35"/>
      <c r="G1294" t="str">
        <f t="shared" si="21"/>
        <v>1500615006150161132</v>
      </c>
    </row>
    <row r="1295" spans="1:7" ht="14.5" x14ac:dyDescent="0.35">
      <c r="A1295" s="71" t="s">
        <v>4726</v>
      </c>
      <c r="B1295" s="73" t="e">
        <f>VLOOKUP(A1295,SÜRELER!A:B,2,0)</f>
        <v>#N/A</v>
      </c>
      <c r="C1295" s="41">
        <v>0</v>
      </c>
      <c r="D1295" s="34"/>
      <c r="E1295" s="35"/>
      <c r="G1295" t="str">
        <f t="shared" si="21"/>
        <v>1500615006150161134</v>
      </c>
    </row>
    <row r="1296" spans="1:7" ht="14.5" x14ac:dyDescent="0.35">
      <c r="A1296" s="71" t="s">
        <v>4727</v>
      </c>
      <c r="B1296" s="73" t="e">
        <f>VLOOKUP(A1296,SÜRELER!A:B,2,0)</f>
        <v>#N/A</v>
      </c>
      <c r="C1296" s="41">
        <v>0</v>
      </c>
      <c r="D1296" s="34"/>
      <c r="E1296" s="35"/>
      <c r="G1296" t="str">
        <f t="shared" si="21"/>
        <v>1500615006150161135</v>
      </c>
    </row>
    <row r="1297" spans="1:7" ht="14.5" x14ac:dyDescent="0.35">
      <c r="A1297" s="71" t="s">
        <v>4728</v>
      </c>
      <c r="B1297" s="73" t="e">
        <f>VLOOKUP(A1297,SÜRELER!A:B,2,0)</f>
        <v>#N/A</v>
      </c>
      <c r="C1297" s="41">
        <v>0</v>
      </c>
      <c r="D1297" s="44"/>
      <c r="E1297" s="45"/>
      <c r="G1297" t="str">
        <f t="shared" si="21"/>
        <v>1500615006150161206</v>
      </c>
    </row>
    <row r="1298" spans="1:7" ht="14.5" x14ac:dyDescent="0.35">
      <c r="A1298" s="71" t="s">
        <v>4729</v>
      </c>
      <c r="B1298" s="73" t="e">
        <f>VLOOKUP(A1298,SÜRELER!A:B,2,0)</f>
        <v>#N/A</v>
      </c>
      <c r="C1298" s="41">
        <v>0</v>
      </c>
      <c r="D1298" s="44"/>
      <c r="E1298" s="45"/>
      <c r="G1298" t="str">
        <f t="shared" si="21"/>
        <v>1500615006150161207</v>
      </c>
    </row>
    <row r="1299" spans="1:7" ht="14.5" x14ac:dyDescent="0.35">
      <c r="A1299" s="71" t="s">
        <v>4730</v>
      </c>
      <c r="B1299" s="73" t="e">
        <f>VLOOKUP(A1299,SÜRELER!A:B,2,0)</f>
        <v>#N/A</v>
      </c>
      <c r="C1299" s="41">
        <v>0</v>
      </c>
      <c r="D1299" s="44"/>
      <c r="E1299" s="45"/>
      <c r="G1299" t="str">
        <f t="shared" si="21"/>
        <v>1500615006150161248</v>
      </c>
    </row>
    <row r="1300" spans="1:7" ht="14.5" x14ac:dyDescent="0.35">
      <c r="A1300" s="71" t="s">
        <v>4731</v>
      </c>
      <c r="B1300" s="73" t="e">
        <f>VLOOKUP(A1300,SÜRELER!A:B,2,0)</f>
        <v>#N/A</v>
      </c>
      <c r="C1300" s="41">
        <v>0</v>
      </c>
      <c r="D1300" s="44"/>
      <c r="E1300" s="45"/>
      <c r="G1300" t="str">
        <f t="shared" si="21"/>
        <v>1500615006150161249</v>
      </c>
    </row>
    <row r="1301" spans="1:7" ht="14.5" x14ac:dyDescent="0.35">
      <c r="A1301" s="71" t="s">
        <v>4732</v>
      </c>
      <c r="B1301" s="73" t="e">
        <f>VLOOKUP(A1301,SÜRELER!A:B,2,0)</f>
        <v>#N/A</v>
      </c>
      <c r="C1301" s="41">
        <v>0</v>
      </c>
      <c r="D1301" s="34"/>
      <c r="E1301" s="35"/>
      <c r="G1301" t="str">
        <f t="shared" si="21"/>
        <v>1500615006150161292</v>
      </c>
    </row>
    <row r="1302" spans="1:7" ht="14.5" x14ac:dyDescent="0.35">
      <c r="A1302" s="71" t="s">
        <v>4733</v>
      </c>
      <c r="B1302" s="73" t="e">
        <f>VLOOKUP(A1302,SÜRELER!A:B,2,0)</f>
        <v>#N/A</v>
      </c>
      <c r="C1302" s="41">
        <v>0</v>
      </c>
      <c r="D1302" s="34"/>
      <c r="E1302" s="35"/>
      <c r="G1302" t="str">
        <f t="shared" si="21"/>
        <v>1500615006150161293</v>
      </c>
    </row>
    <row r="1303" spans="1:7" ht="14.5" x14ac:dyDescent="0.35">
      <c r="A1303" s="71" t="s">
        <v>4734</v>
      </c>
      <c r="B1303" s="73" t="e">
        <f>VLOOKUP(A1303,SÜRELER!A:B,2,0)</f>
        <v>#N/A</v>
      </c>
      <c r="C1303" s="41">
        <v>0</v>
      </c>
      <c r="D1303" s="34"/>
      <c r="E1303" s="35"/>
      <c r="G1303" t="str">
        <f t="shared" si="21"/>
        <v>1500615006150161294</v>
      </c>
    </row>
    <row r="1304" spans="1:7" ht="14.5" x14ac:dyDescent="0.35">
      <c r="A1304" s="71" t="s">
        <v>4735</v>
      </c>
      <c r="B1304" s="73" t="e">
        <f>VLOOKUP(A1304,SÜRELER!A:B,2,0)</f>
        <v>#N/A</v>
      </c>
      <c r="C1304" s="41">
        <v>0</v>
      </c>
      <c r="D1304" s="34"/>
      <c r="E1304" s="35"/>
      <c r="G1304" t="str">
        <f t="shared" ref="G1304:G1367" si="22">CONCATENATE($F$471,A1304,)</f>
        <v>1500615006150161295</v>
      </c>
    </row>
    <row r="1305" spans="1:7" ht="14.5" x14ac:dyDescent="0.35">
      <c r="A1305" s="71" t="s">
        <v>4736</v>
      </c>
      <c r="B1305" s="73" t="e">
        <f>VLOOKUP(A1305,SÜRELER!A:B,2,0)</f>
        <v>#N/A</v>
      </c>
      <c r="C1305" s="41">
        <v>0</v>
      </c>
      <c r="D1305" s="34"/>
      <c r="E1305" s="35"/>
      <c r="G1305" t="str">
        <f t="shared" si="22"/>
        <v>1500615006150161300</v>
      </c>
    </row>
    <row r="1306" spans="1:7" ht="14.5" x14ac:dyDescent="0.35">
      <c r="A1306" s="71" t="s">
        <v>4737</v>
      </c>
      <c r="B1306" s="73" t="e">
        <f>VLOOKUP(A1306,SÜRELER!A:B,2,0)</f>
        <v>#N/A</v>
      </c>
      <c r="C1306" s="41">
        <v>0</v>
      </c>
      <c r="D1306" s="34"/>
      <c r="E1306" s="35"/>
      <c r="G1306" t="str">
        <f t="shared" si="22"/>
        <v>1500615006150161301</v>
      </c>
    </row>
    <row r="1307" spans="1:7" ht="14.5" x14ac:dyDescent="0.35">
      <c r="A1307" s="71" t="s">
        <v>4738</v>
      </c>
      <c r="B1307" s="73" t="e">
        <f>VLOOKUP(A1307,SÜRELER!A:B,2,0)</f>
        <v>#N/A</v>
      </c>
      <c r="C1307" s="41">
        <v>0</v>
      </c>
      <c r="D1307" s="34"/>
      <c r="E1307" s="35"/>
      <c r="G1307" t="str">
        <f t="shared" si="22"/>
        <v>1500615006150170834</v>
      </c>
    </row>
    <row r="1308" spans="1:7" ht="14.5" x14ac:dyDescent="0.35">
      <c r="A1308" s="71" t="s">
        <v>4739</v>
      </c>
      <c r="B1308" s="73" t="e">
        <f>VLOOKUP(A1308,SÜRELER!A:B,2,0)</f>
        <v>#N/A</v>
      </c>
      <c r="C1308" s="41">
        <v>0</v>
      </c>
      <c r="D1308" s="58"/>
      <c r="E1308" s="59"/>
      <c r="G1308" t="str">
        <f t="shared" si="22"/>
        <v>1500615006455</v>
      </c>
    </row>
    <row r="1309" spans="1:7" ht="14.5" x14ac:dyDescent="0.35">
      <c r="A1309" s="71" t="s">
        <v>4740</v>
      </c>
      <c r="B1309" s="73" t="e">
        <f>VLOOKUP(A1309,SÜRELER!A:B,2,0)</f>
        <v>#N/A</v>
      </c>
      <c r="C1309" s="41">
        <v>0</v>
      </c>
      <c r="D1309" s="58"/>
      <c r="E1309" s="59"/>
      <c r="G1309" t="str">
        <f t="shared" si="22"/>
        <v>1500615006502</v>
      </c>
    </row>
    <row r="1310" spans="1:7" ht="14.5" x14ac:dyDescent="0.35">
      <c r="A1310" s="71" t="s">
        <v>4741</v>
      </c>
      <c r="B1310" s="73" t="e">
        <f>VLOOKUP(A1310,SÜRELER!A:B,2,0)</f>
        <v>#N/A</v>
      </c>
      <c r="C1310" s="41">
        <v>0</v>
      </c>
      <c r="D1310" s="34"/>
      <c r="E1310" s="35"/>
      <c r="G1310" t="str">
        <f t="shared" si="22"/>
        <v>1500615006503</v>
      </c>
    </row>
    <row r="1311" spans="1:7" ht="14.5" x14ac:dyDescent="0.35">
      <c r="A1311" s="71" t="s">
        <v>4742</v>
      </c>
      <c r="B1311" s="73" t="e">
        <f>VLOOKUP(A1311,SÜRELER!A:B,2,0)</f>
        <v>#N/A</v>
      </c>
      <c r="C1311" s="41">
        <v>0</v>
      </c>
      <c r="D1311" s="58"/>
      <c r="E1311" s="59"/>
      <c r="G1311" t="str">
        <f t="shared" si="22"/>
        <v>1500615006988</v>
      </c>
    </row>
    <row r="1312" spans="1:7" ht="14.5" x14ac:dyDescent="0.35">
      <c r="A1312" s="71" t="s">
        <v>4743</v>
      </c>
      <c r="B1312" s="73" t="e">
        <f>VLOOKUP(A1312,SÜRELER!A:B,2,0)</f>
        <v>#N/A</v>
      </c>
      <c r="C1312" s="41">
        <v>0</v>
      </c>
      <c r="D1312" s="58"/>
      <c r="E1312" s="59"/>
      <c r="G1312" t="str">
        <f t="shared" si="22"/>
        <v>1500615006989</v>
      </c>
    </row>
    <row r="1313" spans="1:7" ht="14.5" x14ac:dyDescent="0.35">
      <c r="A1313" s="71" t="s">
        <v>4744</v>
      </c>
      <c r="B1313" s="73" t="e">
        <f>VLOOKUP(A1313,SÜRELER!A:B,2,0)</f>
        <v>#N/A</v>
      </c>
      <c r="C1313" s="41">
        <v>0</v>
      </c>
      <c r="D1313" s="58"/>
      <c r="E1313" s="59"/>
      <c r="G1313" t="str">
        <f t="shared" si="22"/>
        <v>1500615006990</v>
      </c>
    </row>
    <row r="1314" spans="1:7" ht="14.5" x14ac:dyDescent="0.35">
      <c r="A1314" s="71" t="s">
        <v>4745</v>
      </c>
      <c r="B1314" s="73" t="e">
        <f>VLOOKUP(A1314,SÜRELER!A:B,2,0)</f>
        <v>#N/A</v>
      </c>
      <c r="C1314" s="41">
        <v>0</v>
      </c>
      <c r="D1314" s="58"/>
      <c r="E1314" s="59"/>
      <c r="G1314" t="str">
        <f t="shared" si="22"/>
        <v>1500615006991</v>
      </c>
    </row>
    <row r="1315" spans="1:7" ht="14.5" x14ac:dyDescent="0.35">
      <c r="A1315" s="71" t="s">
        <v>4746</v>
      </c>
      <c r="B1315" s="73" t="e">
        <f>VLOOKUP(A1315,SÜRELER!A:B,2,0)</f>
        <v>#N/A</v>
      </c>
      <c r="C1315" s="41">
        <v>0</v>
      </c>
      <c r="D1315" s="58"/>
      <c r="E1315" s="59"/>
      <c r="G1315" t="str">
        <f t="shared" si="22"/>
        <v>1500615006992</v>
      </c>
    </row>
    <row r="1316" spans="1:7" ht="14.5" x14ac:dyDescent="0.35">
      <c r="A1316" s="71" t="s">
        <v>4747</v>
      </c>
      <c r="B1316" s="73" t="e">
        <f>VLOOKUP(A1316,SÜRELER!A:B,2,0)</f>
        <v>#N/A</v>
      </c>
      <c r="C1316" s="41">
        <v>0</v>
      </c>
      <c r="D1316" s="58"/>
      <c r="E1316" s="59"/>
      <c r="G1316" t="str">
        <f t="shared" si="22"/>
        <v>1500615006993</v>
      </c>
    </row>
    <row r="1317" spans="1:7" ht="14.5" x14ac:dyDescent="0.35">
      <c r="A1317" s="71" t="s">
        <v>4748</v>
      </c>
      <c r="B1317" s="73" t="e">
        <f>VLOOKUP(A1317,SÜRELER!A:B,2,0)</f>
        <v>#N/A</v>
      </c>
      <c r="C1317" s="41">
        <v>0</v>
      </c>
      <c r="D1317" s="58"/>
      <c r="E1317" s="59"/>
      <c r="G1317" t="str">
        <f t="shared" si="22"/>
        <v>1500615006994</v>
      </c>
    </row>
    <row r="1318" spans="1:7" ht="14.5" x14ac:dyDescent="0.35">
      <c r="A1318" s="71" t="s">
        <v>4749</v>
      </c>
      <c r="B1318" s="73" t="e">
        <f>VLOOKUP(A1318,SÜRELER!A:B,2,0)</f>
        <v>#N/A</v>
      </c>
      <c r="C1318" s="41">
        <v>0</v>
      </c>
      <c r="D1318" s="58"/>
      <c r="E1318" s="59"/>
      <c r="G1318" t="str">
        <f t="shared" si="22"/>
        <v>1500615006995</v>
      </c>
    </row>
    <row r="1319" spans="1:7" ht="14.5" x14ac:dyDescent="0.35">
      <c r="A1319" s="71" t="s">
        <v>4750</v>
      </c>
      <c r="B1319" s="73" t="e">
        <f>VLOOKUP(A1319,SÜRELER!A:B,2,0)</f>
        <v>#N/A</v>
      </c>
      <c r="C1319" s="41">
        <v>0</v>
      </c>
      <c r="D1319" s="34"/>
      <c r="E1319" s="35"/>
      <c r="G1319" t="str">
        <f t="shared" si="22"/>
        <v>15006150068524</v>
      </c>
    </row>
    <row r="1320" spans="1:7" ht="14.5" x14ac:dyDescent="0.35">
      <c r="A1320" s="71" t="s">
        <v>4751</v>
      </c>
      <c r="B1320" s="73" t="e">
        <f>VLOOKUP(A1320,SÜRELER!A:B,2,0)</f>
        <v>#N/A</v>
      </c>
      <c r="C1320" s="41">
        <v>0</v>
      </c>
      <c r="D1320" s="34"/>
      <c r="E1320" s="35"/>
      <c r="G1320" t="str">
        <f t="shared" si="22"/>
        <v>15006150068674</v>
      </c>
    </row>
    <row r="1321" spans="1:7" ht="14.5" x14ac:dyDescent="0.35">
      <c r="A1321" s="71" t="s">
        <v>4752</v>
      </c>
      <c r="B1321" s="73" t="e">
        <f>VLOOKUP(A1321,SÜRELER!A:B,2,0)</f>
        <v>#N/A</v>
      </c>
      <c r="C1321" s="41">
        <v>0</v>
      </c>
      <c r="D1321" s="34"/>
      <c r="E1321" s="35"/>
      <c r="G1321" t="str">
        <f t="shared" si="22"/>
        <v>15006150068684</v>
      </c>
    </row>
    <row r="1322" spans="1:7" ht="14.5" x14ac:dyDescent="0.35">
      <c r="A1322" s="71" t="s">
        <v>4753</v>
      </c>
      <c r="B1322" s="73" t="e">
        <f>VLOOKUP(A1322,SÜRELER!A:B,2,0)</f>
        <v>#N/A</v>
      </c>
      <c r="C1322" s="67">
        <v>0</v>
      </c>
      <c r="D1322" s="58"/>
      <c r="E1322" s="59"/>
      <c r="G1322" t="str">
        <f t="shared" si="22"/>
        <v>15006150068704</v>
      </c>
    </row>
    <row r="1323" spans="1:7" ht="14.5" x14ac:dyDescent="0.35">
      <c r="A1323" s="71" t="s">
        <v>4754</v>
      </c>
      <c r="B1323" s="73" t="e">
        <f>VLOOKUP(A1323,SÜRELER!A:B,2,0)</f>
        <v>#N/A</v>
      </c>
      <c r="C1323" s="41">
        <v>0</v>
      </c>
      <c r="D1323" s="34"/>
      <c r="E1323" s="35"/>
      <c r="G1323" t="str">
        <f t="shared" si="22"/>
        <v>15006150068714</v>
      </c>
    </row>
    <row r="1324" spans="1:7" ht="14.5" x14ac:dyDescent="0.35">
      <c r="A1324" s="71" t="s">
        <v>4755</v>
      </c>
      <c r="B1324" s="73" t="e">
        <f>VLOOKUP(A1324,SÜRELER!A:B,2,0)</f>
        <v>#N/A</v>
      </c>
      <c r="C1324" s="33">
        <v>0</v>
      </c>
      <c r="D1324" s="34"/>
      <c r="E1324" s="35"/>
      <c r="G1324" t="str">
        <f t="shared" si="22"/>
        <v>15006150068720</v>
      </c>
    </row>
    <row r="1325" spans="1:7" ht="14.5" x14ac:dyDescent="0.35">
      <c r="A1325" s="71" t="s">
        <v>4756</v>
      </c>
      <c r="B1325" s="73" t="e">
        <f>VLOOKUP(A1325,SÜRELER!A:B,2,0)</f>
        <v>#N/A</v>
      </c>
      <c r="C1325" s="33">
        <v>0</v>
      </c>
      <c r="D1325" s="34"/>
      <c r="E1325" s="35"/>
      <c r="G1325" t="str">
        <f t="shared" si="22"/>
        <v>15006150068724</v>
      </c>
    </row>
    <row r="1326" spans="1:7" ht="14.5" x14ac:dyDescent="0.35">
      <c r="A1326" s="71" t="s">
        <v>4757</v>
      </c>
      <c r="B1326" s="73" t="e">
        <f>VLOOKUP(A1326,SÜRELER!A:B,2,0)</f>
        <v>#N/A</v>
      </c>
      <c r="C1326" s="33">
        <v>0</v>
      </c>
      <c r="D1326" s="34"/>
      <c r="E1326" s="35"/>
      <c r="G1326" t="str">
        <f t="shared" si="22"/>
        <v>15006150068730</v>
      </c>
    </row>
    <row r="1327" spans="1:7" ht="14.5" x14ac:dyDescent="0.35">
      <c r="A1327" s="71" t="s">
        <v>4758</v>
      </c>
      <c r="B1327" s="73" t="e">
        <f>VLOOKUP(A1327,SÜRELER!A:B,2,0)</f>
        <v>#N/A</v>
      </c>
      <c r="C1327" s="33">
        <v>0</v>
      </c>
      <c r="D1327" s="34"/>
      <c r="E1327" s="35"/>
      <c r="G1327" t="str">
        <f t="shared" si="22"/>
        <v>15006150068734</v>
      </c>
    </row>
    <row r="1328" spans="1:7" ht="14.5" x14ac:dyDescent="0.35">
      <c r="A1328" s="71" t="s">
        <v>4759</v>
      </c>
      <c r="B1328" s="73" t="e">
        <f>VLOOKUP(A1328,SÜRELER!A:B,2,0)</f>
        <v>#N/A</v>
      </c>
      <c r="C1328" s="33">
        <v>0</v>
      </c>
      <c r="D1328" s="34"/>
      <c r="E1328" s="35"/>
      <c r="G1328" t="str">
        <f t="shared" si="22"/>
        <v>15006150068774</v>
      </c>
    </row>
    <row r="1329" spans="1:7" ht="14.5" x14ac:dyDescent="0.35">
      <c r="A1329" s="71" t="s">
        <v>4760</v>
      </c>
      <c r="B1329" s="73" t="e">
        <f>VLOOKUP(A1329,SÜRELER!A:B,2,0)</f>
        <v>#N/A</v>
      </c>
      <c r="C1329" s="33">
        <v>0</v>
      </c>
      <c r="D1329" s="34"/>
      <c r="E1329" s="35"/>
      <c r="G1329" t="str">
        <f t="shared" si="22"/>
        <v>15006150068784</v>
      </c>
    </row>
    <row r="1330" spans="1:7" ht="14.5" x14ac:dyDescent="0.35">
      <c r="A1330" s="71" t="s">
        <v>4761</v>
      </c>
      <c r="B1330" s="73" t="e">
        <f>VLOOKUP(A1330,SÜRELER!A:B,2,0)</f>
        <v>#N/A</v>
      </c>
      <c r="C1330" s="33">
        <v>0</v>
      </c>
      <c r="D1330" s="34"/>
      <c r="E1330" s="35"/>
      <c r="G1330" t="str">
        <f t="shared" si="22"/>
        <v>15006150068794</v>
      </c>
    </row>
    <row r="1331" spans="1:7" ht="14.5" x14ac:dyDescent="0.35">
      <c r="A1331" s="71" t="s">
        <v>4762</v>
      </c>
      <c r="B1331" s="73" t="e">
        <f>VLOOKUP(A1331,SÜRELER!A:B,2,0)</f>
        <v>#N/A</v>
      </c>
      <c r="C1331" s="33">
        <v>0</v>
      </c>
      <c r="D1331" s="34"/>
      <c r="E1331" s="35"/>
      <c r="G1331" t="str">
        <f t="shared" si="22"/>
        <v>15006150068806</v>
      </c>
    </row>
    <row r="1332" spans="1:7" ht="14.5" x14ac:dyDescent="0.35">
      <c r="A1332" s="71" t="s">
        <v>4763</v>
      </c>
      <c r="B1332" s="73" t="e">
        <f>VLOOKUP(A1332,SÜRELER!A:B,2,0)</f>
        <v>#N/A</v>
      </c>
      <c r="C1332" s="33">
        <v>0</v>
      </c>
      <c r="D1332" s="34"/>
      <c r="E1332" s="35"/>
      <c r="G1332" t="str">
        <f t="shared" si="22"/>
        <v>15006150068846</v>
      </c>
    </row>
    <row r="1333" spans="1:7" ht="14.5" x14ac:dyDescent="0.35">
      <c r="A1333" s="71" t="s">
        <v>4764</v>
      </c>
      <c r="B1333" s="73" t="e">
        <f>VLOOKUP(A1333,SÜRELER!A:B,2,0)</f>
        <v>#N/A</v>
      </c>
      <c r="C1333" s="33">
        <v>0</v>
      </c>
      <c r="D1333" s="34"/>
      <c r="E1333" s="35"/>
      <c r="G1333" t="str">
        <f t="shared" si="22"/>
        <v>15006150068915</v>
      </c>
    </row>
    <row r="1334" spans="1:7" ht="14.5" x14ac:dyDescent="0.35">
      <c r="A1334" s="71" t="s">
        <v>4765</v>
      </c>
      <c r="B1334" s="73" t="e">
        <f>VLOOKUP(A1334,SÜRELER!A:B,2,0)</f>
        <v>#N/A</v>
      </c>
      <c r="C1334" s="33">
        <v>0</v>
      </c>
      <c r="D1334" s="34"/>
      <c r="E1334" s="35"/>
      <c r="G1334" t="str">
        <f t="shared" si="22"/>
        <v>15006150068924</v>
      </c>
    </row>
    <row r="1335" spans="1:7" ht="14.5" x14ac:dyDescent="0.35">
      <c r="A1335" s="71" t="s">
        <v>4766</v>
      </c>
      <c r="B1335" s="73" t="e">
        <f>VLOOKUP(A1335,SÜRELER!A:B,2,0)</f>
        <v>#N/A</v>
      </c>
      <c r="C1335" s="33">
        <v>0</v>
      </c>
      <c r="D1335" s="34"/>
      <c r="E1335" s="35"/>
      <c r="G1335" t="str">
        <f t="shared" si="22"/>
        <v>15006150068934</v>
      </c>
    </row>
    <row r="1336" spans="1:7" ht="14.5" x14ac:dyDescent="0.35">
      <c r="A1336" s="71" t="s">
        <v>4767</v>
      </c>
      <c r="B1336" s="73" t="e">
        <f>VLOOKUP(A1336,SÜRELER!A:B,2,0)</f>
        <v>#N/A</v>
      </c>
      <c r="C1336" s="33">
        <v>0</v>
      </c>
      <c r="D1336" s="34"/>
      <c r="E1336" s="35"/>
      <c r="G1336" t="str">
        <f t="shared" si="22"/>
        <v>15006150068944</v>
      </c>
    </row>
    <row r="1337" spans="1:7" ht="14.5" x14ac:dyDescent="0.35">
      <c r="A1337" s="71" t="s">
        <v>4768</v>
      </c>
      <c r="B1337" s="73" t="e">
        <f>VLOOKUP(A1337,SÜRELER!A:B,2,0)</f>
        <v>#N/A</v>
      </c>
      <c r="C1337" s="33">
        <v>0</v>
      </c>
      <c r="D1337" s="34"/>
      <c r="E1337" s="35"/>
      <c r="G1337" t="str">
        <f t="shared" si="22"/>
        <v>15006150068954</v>
      </c>
    </row>
    <row r="1338" spans="1:7" ht="14.5" x14ac:dyDescent="0.35">
      <c r="A1338" s="71" t="s">
        <v>4769</v>
      </c>
      <c r="B1338" s="73" t="e">
        <f>VLOOKUP(A1338,SÜRELER!A:B,2,0)</f>
        <v>#N/A</v>
      </c>
      <c r="C1338" s="33">
        <v>0</v>
      </c>
      <c r="D1338" s="34"/>
      <c r="E1338" s="35"/>
      <c r="G1338" t="str">
        <f t="shared" si="22"/>
        <v>15006150069040</v>
      </c>
    </row>
    <row r="1339" spans="1:7" ht="14.5" x14ac:dyDescent="0.35">
      <c r="A1339" s="71" t="s">
        <v>4770</v>
      </c>
      <c r="B1339" s="73" t="e">
        <f>VLOOKUP(A1339,SÜRELER!A:B,2,0)</f>
        <v>#N/A</v>
      </c>
      <c r="C1339" s="33">
        <v>0</v>
      </c>
      <c r="D1339" s="34"/>
      <c r="E1339" s="35"/>
      <c r="G1339" t="str">
        <f t="shared" si="22"/>
        <v>15006150069050</v>
      </c>
    </row>
    <row r="1340" spans="1:7" ht="14.5" x14ac:dyDescent="0.35">
      <c r="A1340" s="71" t="s">
        <v>4771</v>
      </c>
      <c r="B1340" s="73" t="e">
        <f>VLOOKUP(A1340,SÜRELER!A:B,2,0)</f>
        <v>#N/A</v>
      </c>
      <c r="C1340" s="33">
        <v>0</v>
      </c>
      <c r="D1340" s="34"/>
      <c r="E1340" s="35"/>
      <c r="G1340" t="str">
        <f t="shared" si="22"/>
        <v>15006150069080</v>
      </c>
    </row>
    <row r="1341" spans="1:7" ht="14.5" x14ac:dyDescent="0.35">
      <c r="A1341" s="71" t="s">
        <v>4772</v>
      </c>
      <c r="B1341" s="73" t="e">
        <f>VLOOKUP(A1341,SÜRELER!A:B,2,0)</f>
        <v>#N/A</v>
      </c>
      <c r="C1341" s="33">
        <v>0</v>
      </c>
      <c r="D1341" s="34"/>
      <c r="E1341" s="35"/>
      <c r="G1341" t="str">
        <f t="shared" si="22"/>
        <v>15006150069090</v>
      </c>
    </row>
    <row r="1342" spans="1:7" ht="14.5" x14ac:dyDescent="0.35">
      <c r="A1342" s="71" t="s">
        <v>4773</v>
      </c>
      <c r="B1342" s="73" t="e">
        <f>VLOOKUP(A1342,SÜRELER!A:B,2,0)</f>
        <v>#N/A</v>
      </c>
      <c r="C1342" s="33">
        <v>0</v>
      </c>
      <c r="D1342" s="34"/>
      <c r="E1342" s="35"/>
      <c r="G1342" t="str">
        <f t="shared" si="22"/>
        <v>15006150069100</v>
      </c>
    </row>
    <row r="1343" spans="1:7" ht="14.5" x14ac:dyDescent="0.35">
      <c r="A1343" s="71" t="s">
        <v>4774</v>
      </c>
      <c r="B1343" s="73" t="e">
        <f>VLOOKUP(A1343,SÜRELER!A:B,2,0)</f>
        <v>#N/A</v>
      </c>
      <c r="C1343" s="33">
        <v>0</v>
      </c>
      <c r="D1343" s="34"/>
      <c r="E1343" s="35"/>
      <c r="G1343" t="str">
        <f t="shared" si="22"/>
        <v>15006150069110</v>
      </c>
    </row>
    <row r="1344" spans="1:7" ht="14.5" x14ac:dyDescent="0.35">
      <c r="A1344" s="71" t="s">
        <v>4775</v>
      </c>
      <c r="B1344" s="73" t="e">
        <f>VLOOKUP(A1344,SÜRELER!A:B,2,0)</f>
        <v>#N/A</v>
      </c>
      <c r="C1344" s="33">
        <v>0</v>
      </c>
      <c r="D1344" s="34"/>
      <c r="E1344" s="35"/>
      <c r="G1344" t="str">
        <f t="shared" si="22"/>
        <v>15006150069120</v>
      </c>
    </row>
    <row r="1345" spans="1:7" ht="14.5" x14ac:dyDescent="0.35">
      <c r="A1345" s="71" t="s">
        <v>4776</v>
      </c>
      <c r="B1345" s="73" t="e">
        <f>VLOOKUP(A1345,SÜRELER!A:B,2,0)</f>
        <v>#N/A</v>
      </c>
      <c r="C1345" s="33">
        <v>0</v>
      </c>
      <c r="D1345" s="44"/>
      <c r="E1345" s="45"/>
      <c r="G1345" t="str">
        <f t="shared" si="22"/>
        <v>15006150069150</v>
      </c>
    </row>
    <row r="1346" spans="1:7" ht="14.5" x14ac:dyDescent="0.35">
      <c r="A1346" s="71" t="s">
        <v>4777</v>
      </c>
      <c r="B1346" s="73" t="e">
        <f>VLOOKUP(A1346,SÜRELER!A:B,2,0)</f>
        <v>#N/A</v>
      </c>
      <c r="C1346" s="33">
        <v>0</v>
      </c>
      <c r="D1346" s="34"/>
      <c r="E1346" s="35"/>
      <c r="G1346" t="str">
        <f t="shared" si="22"/>
        <v>15006150069160</v>
      </c>
    </row>
    <row r="1347" spans="1:7" ht="14.5" x14ac:dyDescent="0.35">
      <c r="A1347" s="71" t="s">
        <v>4778</v>
      </c>
      <c r="B1347" s="73" t="e">
        <f>VLOOKUP(A1347,SÜRELER!A:B,2,0)</f>
        <v>#N/A</v>
      </c>
      <c r="C1347" s="33">
        <v>0</v>
      </c>
      <c r="D1347" s="34"/>
      <c r="E1347" s="35"/>
      <c r="G1347" t="str">
        <f t="shared" si="22"/>
        <v>15006150069194</v>
      </c>
    </row>
    <row r="1348" spans="1:7" ht="14.5" x14ac:dyDescent="0.35">
      <c r="A1348" s="71" t="s">
        <v>4779</v>
      </c>
      <c r="B1348" s="73" t="e">
        <f>VLOOKUP(A1348,SÜRELER!A:B,2,0)</f>
        <v>#N/A</v>
      </c>
      <c r="C1348" s="33">
        <v>0</v>
      </c>
      <c r="D1348" s="34"/>
      <c r="E1348" s="35"/>
      <c r="G1348" t="str">
        <f t="shared" si="22"/>
        <v>15006150069204</v>
      </c>
    </row>
    <row r="1349" spans="1:7" ht="14.5" x14ac:dyDescent="0.35">
      <c r="A1349" s="71" t="s">
        <v>4780</v>
      </c>
      <c r="B1349" s="73" t="e">
        <f>VLOOKUP(A1349,SÜRELER!A:B,2,0)</f>
        <v>#N/A</v>
      </c>
      <c r="C1349" s="33">
        <v>0</v>
      </c>
      <c r="D1349" s="34"/>
      <c r="E1349" s="35"/>
      <c r="G1349" t="str">
        <f t="shared" si="22"/>
        <v>15006150069214</v>
      </c>
    </row>
    <row r="1350" spans="1:7" ht="14.5" x14ac:dyDescent="0.35">
      <c r="A1350" s="71" t="s">
        <v>4781</v>
      </c>
      <c r="B1350" s="73" t="e">
        <f>VLOOKUP(A1350,SÜRELER!A:B,2,0)</f>
        <v>#N/A</v>
      </c>
      <c r="C1350" s="33">
        <v>0</v>
      </c>
      <c r="D1350" s="34"/>
      <c r="E1350" s="35"/>
      <c r="G1350" t="str">
        <f t="shared" si="22"/>
        <v>15006150069224</v>
      </c>
    </row>
    <row r="1351" spans="1:7" ht="14.5" x14ac:dyDescent="0.35">
      <c r="A1351" s="71" t="s">
        <v>4782</v>
      </c>
      <c r="B1351" s="73" t="e">
        <f>VLOOKUP(A1351,SÜRELER!A:B,2,0)</f>
        <v>#N/A</v>
      </c>
      <c r="C1351" s="33">
        <v>0</v>
      </c>
      <c r="D1351" s="34"/>
      <c r="E1351" s="35"/>
      <c r="G1351" t="str">
        <f t="shared" si="22"/>
        <v>15006150069274</v>
      </c>
    </row>
    <row r="1352" spans="1:7" ht="14.5" x14ac:dyDescent="0.35">
      <c r="A1352" s="71" t="s">
        <v>4783</v>
      </c>
      <c r="B1352" s="73" t="e">
        <f>VLOOKUP(A1352,SÜRELER!A:B,2,0)</f>
        <v>#N/A</v>
      </c>
      <c r="C1352" s="33">
        <v>0</v>
      </c>
      <c r="D1352" s="34"/>
      <c r="E1352" s="35"/>
      <c r="G1352" t="str">
        <f t="shared" si="22"/>
        <v>15006150069284</v>
      </c>
    </row>
    <row r="1353" spans="1:7" ht="14.5" x14ac:dyDescent="0.35">
      <c r="A1353" s="71" t="s">
        <v>4784</v>
      </c>
      <c r="B1353" s="73" t="e">
        <f>VLOOKUP(A1353,SÜRELER!A:B,2,0)</f>
        <v>#N/A</v>
      </c>
      <c r="C1353" s="33">
        <v>0</v>
      </c>
      <c r="D1353" s="34"/>
      <c r="E1353" s="35"/>
      <c r="G1353" t="str">
        <f t="shared" si="22"/>
        <v>15006150069310</v>
      </c>
    </row>
    <row r="1354" spans="1:7" ht="14.5" x14ac:dyDescent="0.35">
      <c r="A1354" s="71" t="s">
        <v>4785</v>
      </c>
      <c r="B1354" s="73" t="e">
        <f>VLOOKUP(A1354,SÜRELER!A:B,2,0)</f>
        <v>#N/A</v>
      </c>
      <c r="C1354" s="33">
        <v>0</v>
      </c>
      <c r="D1354" s="34"/>
      <c r="E1354" s="35"/>
      <c r="G1354" t="str">
        <f t="shared" si="22"/>
        <v>15006150069320</v>
      </c>
    </row>
    <row r="1355" spans="1:7" ht="14.5" x14ac:dyDescent="0.35">
      <c r="A1355" s="71" t="s">
        <v>4786</v>
      </c>
      <c r="B1355" s="73" t="e">
        <f>VLOOKUP(A1355,SÜRELER!A:B,2,0)</f>
        <v>#N/A</v>
      </c>
      <c r="C1355" s="33">
        <v>0</v>
      </c>
      <c r="D1355" s="34"/>
      <c r="E1355" s="35"/>
      <c r="G1355" t="str">
        <f t="shared" si="22"/>
        <v>15006150069330</v>
      </c>
    </row>
    <row r="1356" spans="1:7" ht="14.5" x14ac:dyDescent="0.35">
      <c r="A1356" s="71" t="s">
        <v>4787</v>
      </c>
      <c r="B1356" s="73" t="e">
        <f>VLOOKUP(A1356,SÜRELER!A:B,2,0)</f>
        <v>#N/A</v>
      </c>
      <c r="C1356" s="33">
        <v>0</v>
      </c>
      <c r="D1356" s="34"/>
      <c r="E1356" s="35"/>
      <c r="G1356" t="str">
        <f t="shared" si="22"/>
        <v>15006150069340</v>
      </c>
    </row>
    <row r="1357" spans="1:7" ht="14.5" x14ac:dyDescent="0.35">
      <c r="A1357" s="72" t="s">
        <v>4788</v>
      </c>
      <c r="B1357" s="73" t="e">
        <f>VLOOKUP(A1357,SÜRELER!A:B,2,0)</f>
        <v>#N/A</v>
      </c>
      <c r="C1357" s="99">
        <v>10</v>
      </c>
      <c r="D1357" s="100"/>
      <c r="E1357" s="101"/>
      <c r="G1357" t="str">
        <f t="shared" si="22"/>
        <v>1500615006170029270</v>
      </c>
    </row>
    <row r="1358" spans="1:7" ht="14.5" x14ac:dyDescent="0.35">
      <c r="A1358" s="72" t="s">
        <v>4789</v>
      </c>
      <c r="B1358" s="73" t="e">
        <f>VLOOKUP(A1358,SÜRELER!A:B,2,0)</f>
        <v>#N/A</v>
      </c>
      <c r="C1358" s="99">
        <v>10</v>
      </c>
      <c r="D1358" s="100"/>
      <c r="E1358" s="101"/>
      <c r="G1358" t="str">
        <f t="shared" si="22"/>
        <v>1500615006170029280</v>
      </c>
    </row>
    <row r="1359" spans="1:7" ht="14.5" x14ac:dyDescent="0.35">
      <c r="A1359" s="72" t="s">
        <v>4790</v>
      </c>
      <c r="B1359" s="73" t="e">
        <f>VLOOKUP(A1359,SÜRELER!A:B,2,0)</f>
        <v>#N/A</v>
      </c>
      <c r="C1359" s="99">
        <v>10</v>
      </c>
      <c r="D1359" s="100"/>
      <c r="E1359" s="101"/>
      <c r="G1359" t="str">
        <f t="shared" si="22"/>
        <v>1500615006170029805</v>
      </c>
    </row>
    <row r="1360" spans="1:7" ht="14.5" x14ac:dyDescent="0.35">
      <c r="A1360" s="72" t="s">
        <v>4791</v>
      </c>
      <c r="B1360" s="73" t="e">
        <f>VLOOKUP(A1360,SÜRELER!A:B,2,0)</f>
        <v>#N/A</v>
      </c>
      <c r="C1360" s="99">
        <v>10</v>
      </c>
      <c r="D1360" s="100"/>
      <c r="E1360" s="101"/>
      <c r="G1360" t="str">
        <f t="shared" si="22"/>
        <v>1500615006170029806</v>
      </c>
    </row>
    <row r="1361" spans="1:7" ht="14.5" x14ac:dyDescent="0.35">
      <c r="A1361" s="103" t="s">
        <v>4792</v>
      </c>
      <c r="B1361" s="73" t="e">
        <f>VLOOKUP(A1361,SÜRELER!A:B,2,0)</f>
        <v>#N/A</v>
      </c>
      <c r="C1361" s="99">
        <v>10</v>
      </c>
      <c r="D1361" s="100"/>
      <c r="E1361" s="101"/>
      <c r="G1361" t="str">
        <f t="shared" si="22"/>
        <v>1500615006173021108</v>
      </c>
    </row>
    <row r="1362" spans="1:7" ht="14.5" x14ac:dyDescent="0.35">
      <c r="A1362" s="107" t="s">
        <v>4793</v>
      </c>
      <c r="B1362" s="73" t="str">
        <f>VLOOKUP(A1362,SÜRELER!A:B,2,0)</f>
        <v>TOGG,SIDE COVER,SOL,X-COUPE,ÇAMURLUK</v>
      </c>
      <c r="C1362" s="57">
        <v>5</v>
      </c>
      <c r="D1362" s="58"/>
      <c r="E1362" s="59"/>
      <c r="G1362" t="str">
        <f t="shared" si="22"/>
        <v>15006150062100</v>
      </c>
    </row>
    <row r="1363" spans="1:7" ht="14.5" x14ac:dyDescent="0.35">
      <c r="A1363" s="107" t="s">
        <v>4794</v>
      </c>
      <c r="B1363" s="73" t="str">
        <f>VLOOKUP(A1363,SÜRELER!A:B,2,0)</f>
        <v>TOGG,SIDE COVER,SAĞ,X-COUPE,ÇAMURLUK</v>
      </c>
      <c r="C1363" s="57">
        <v>5</v>
      </c>
      <c r="D1363" s="58"/>
      <c r="E1363" s="59"/>
      <c r="G1363" t="str">
        <f t="shared" si="22"/>
        <v>15006150062101</v>
      </c>
    </row>
    <row r="1364" spans="1:7" ht="14.5" x14ac:dyDescent="0.35">
      <c r="A1364" s="107" t="s">
        <v>4795</v>
      </c>
      <c r="B1364" s="73" t="str">
        <f>VLOOKUP(A1364,SÜRELER!A:B,2,0)</f>
        <v>H566 AYAR VİDASI</v>
      </c>
      <c r="C1364" s="57">
        <v>5</v>
      </c>
      <c r="D1364" s="58"/>
      <c r="E1364" s="59"/>
      <c r="G1364" t="str">
        <f t="shared" si="22"/>
        <v>15006150062093</v>
      </c>
    </row>
    <row r="1365" spans="1:7" ht="14.5" x14ac:dyDescent="0.35">
      <c r="A1365" s="107" t="s">
        <v>4796</v>
      </c>
      <c r="B1365" s="73" t="str">
        <f>VLOOKUP(A1365,SÜRELER!A:B,2,0)</f>
        <v>DIŞ LENS,SOL,S205 SA ,ÇAMURLUK</v>
      </c>
      <c r="C1365" s="57">
        <v>20</v>
      </c>
      <c r="D1365" s="58"/>
      <c r="E1365" s="59"/>
      <c r="G1365" t="str">
        <f t="shared" si="22"/>
        <v>15006150061577</v>
      </c>
    </row>
    <row r="1366" spans="1:7" ht="14.5" x14ac:dyDescent="0.35">
      <c r="A1366" s="107" t="s">
        <v>4797</v>
      </c>
      <c r="B1366" s="73" t="str">
        <f>VLOOKUP(A1366,SÜRELER!A:B,2,0)</f>
        <v xml:space="preserve">DIŞ LENS,SAĞ,S205 SA ,ÇAMURLUK  </v>
      </c>
      <c r="C1366" s="57">
        <v>20</v>
      </c>
      <c r="D1366" s="58"/>
      <c r="E1366" s="59"/>
      <c r="G1366" t="str">
        <f t="shared" si="22"/>
        <v>15006150061578</v>
      </c>
    </row>
    <row r="1367" spans="1:7" ht="14.5" x14ac:dyDescent="0.35">
      <c r="A1367" s="107" t="s">
        <v>4798</v>
      </c>
      <c r="B1367" s="73" t="str">
        <f>VLOOKUP(A1367,SÜRELER!A:B,2,0)</f>
        <v>DIŞ LENS,SOL,S205 SA ,ÇAMURLUK,ULO</v>
      </c>
      <c r="C1367" s="57">
        <v>20</v>
      </c>
      <c r="D1367" s="58"/>
      <c r="E1367" s="59"/>
      <c r="G1367" t="str">
        <f t="shared" si="22"/>
        <v>15006150062011</v>
      </c>
    </row>
    <row r="1368" spans="1:7" ht="14.5" x14ac:dyDescent="0.35">
      <c r="A1368" s="107" t="s">
        <v>4799</v>
      </c>
      <c r="B1368" s="73" t="str">
        <f>VLOOKUP(A1368,SÜRELER!A:B,2,0)</f>
        <v xml:space="preserve">DIŞ LENS,SAĞ,S205 SA ,ÇAMURLUK,ULO </v>
      </c>
      <c r="C1368" s="57">
        <v>20</v>
      </c>
      <c r="D1368" s="58"/>
      <c r="E1368" s="59"/>
      <c r="G1368" t="str">
        <f t="shared" ref="G1368:G1431" si="23">CONCATENATE($F$471,A1368,)</f>
        <v>15006150062012</v>
      </c>
    </row>
    <row r="1369" spans="1:7" ht="14.5" x14ac:dyDescent="0.35">
      <c r="A1369" s="107" t="s">
        <v>4800</v>
      </c>
      <c r="B1369" s="73" t="e">
        <f>VLOOKUP(A1369,SÜRELER!A:B,2,0)</f>
        <v>#N/A</v>
      </c>
      <c r="C1369" s="57">
        <v>20</v>
      </c>
      <c r="D1369" s="58"/>
      <c r="E1369" s="59"/>
      <c r="G1369" t="str">
        <f t="shared" si="23"/>
        <v>1500615006130031077</v>
      </c>
    </row>
    <row r="1370" spans="1:7" ht="14.5" x14ac:dyDescent="0.35">
      <c r="A1370" s="107" t="s">
        <v>4801</v>
      </c>
      <c r="B1370" s="73" t="str">
        <f>VLOOKUP(A1370,SÜRELER!A:B,2,0)</f>
        <v>ÇERÇEVE KAPAK,ÜST,SOL,S205 SA ,BAGAJ</v>
      </c>
      <c r="C1370" s="57">
        <v>20</v>
      </c>
      <c r="D1370" s="58"/>
      <c r="E1370" s="59"/>
      <c r="G1370" t="str">
        <f t="shared" si="23"/>
        <v>15006150061989</v>
      </c>
    </row>
    <row r="1371" spans="1:7" ht="14.5" x14ac:dyDescent="0.35">
      <c r="A1371" s="107" t="s">
        <v>4802</v>
      </c>
      <c r="B1371" s="73" t="str">
        <f>VLOOKUP(A1371,SÜRELER!A:B,2,0)</f>
        <v>ÇERÇEVE KAPAK,ÜST,SAĞ,S205 SA ,BAGAJ</v>
      </c>
      <c r="C1371" s="57">
        <v>20</v>
      </c>
      <c r="D1371" s="58"/>
      <c r="E1371" s="59"/>
      <c r="G1371" t="str">
        <f t="shared" si="23"/>
        <v>15006150061990</v>
      </c>
    </row>
    <row r="1372" spans="1:7" ht="14.5" x14ac:dyDescent="0.35">
      <c r="A1372" s="107" t="s">
        <v>4803</v>
      </c>
      <c r="B1372" s="73" t="str">
        <f>VLOOKUP(A1372,SÜRELER!A:B,2,0)</f>
        <v>ÇERÇEVE KAPAK,ALT,SOL,S205 SA ,BAGAJ</v>
      </c>
      <c r="C1372" s="57">
        <v>20</v>
      </c>
      <c r="D1372" s="58"/>
      <c r="E1372" s="59"/>
      <c r="G1372" t="str">
        <f t="shared" si="23"/>
        <v>15006150061991</v>
      </c>
    </row>
    <row r="1373" spans="1:7" ht="14.5" x14ac:dyDescent="0.35">
      <c r="A1373" s="107" t="s">
        <v>4804</v>
      </c>
      <c r="B1373" s="73" t="str">
        <f>VLOOKUP(A1373,SÜRELER!A:B,2,0)</f>
        <v>ÇERÇEVE KAPAK,ALT,SAĞ,S205 SA ,BAGAJ</v>
      </c>
      <c r="C1373" s="57">
        <v>20</v>
      </c>
      <c r="D1373" s="58"/>
      <c r="E1373" s="59"/>
      <c r="G1373" t="str">
        <f t="shared" si="23"/>
        <v>15006150061992</v>
      </c>
    </row>
    <row r="1374" spans="1:7" ht="14.5" x14ac:dyDescent="0.35">
      <c r="A1374" s="107" t="s">
        <v>4805</v>
      </c>
      <c r="B1374" s="73" t="str">
        <f>VLOOKUP(A1374,SÜRELER!A:B,2,0)</f>
        <v>ÇERÇEVE KAPAK,ÜST,SOL,S205 SA,BAGAJ,MOPF</v>
      </c>
      <c r="C1374" s="57">
        <v>20</v>
      </c>
      <c r="D1374" s="58"/>
      <c r="E1374" s="59"/>
      <c r="G1374" t="str">
        <f t="shared" si="23"/>
        <v>15006150062042</v>
      </c>
    </row>
    <row r="1375" spans="1:7" ht="14.5" x14ac:dyDescent="0.35">
      <c r="A1375" s="107" t="s">
        <v>4806</v>
      </c>
      <c r="B1375" s="73" t="str">
        <f>VLOOKUP(A1375,SÜRELER!A:B,2,0)</f>
        <v>ÇERÇEVE KAPAK,ÜST,SAĞ,S205 SA,BAGAJ,MOPF</v>
      </c>
      <c r="C1375" s="57">
        <v>20</v>
      </c>
      <c r="D1375" s="58"/>
      <c r="E1375" s="59"/>
      <c r="G1375" t="str">
        <f t="shared" si="23"/>
        <v>15006150062043</v>
      </c>
    </row>
    <row r="1376" spans="1:7" ht="14.5" x14ac:dyDescent="0.35">
      <c r="A1376" s="107" t="s">
        <v>4807</v>
      </c>
      <c r="B1376" s="73" t="str">
        <f>VLOOKUP(A1376,SÜRELER!A:B,2,0)</f>
        <v>ÇERÇEVE KAPAK,ALT,SOL,S205 SA,BAGAJ,MOPF</v>
      </c>
      <c r="C1376" s="57">
        <v>20</v>
      </c>
      <c r="D1376" s="58"/>
      <c r="E1376" s="59"/>
      <c r="G1376" t="str">
        <f t="shared" si="23"/>
        <v>15006150062044</v>
      </c>
    </row>
    <row r="1377" spans="1:7" ht="14.5" x14ac:dyDescent="0.35">
      <c r="A1377" s="107" t="s">
        <v>4808</v>
      </c>
      <c r="B1377" s="73" t="str">
        <f>VLOOKUP(A1377,SÜRELER!A:B,2,0)</f>
        <v>ÇERÇEVE KAPAK,ALT,SAĞ,S205 SA,BAGAJ,MOPF</v>
      </c>
      <c r="C1377" s="57">
        <v>20</v>
      </c>
      <c r="D1377" s="58"/>
      <c r="E1377" s="59"/>
      <c r="G1377" t="str">
        <f t="shared" si="23"/>
        <v>15006150062045</v>
      </c>
    </row>
    <row r="1378" spans="1:7" ht="14.5" x14ac:dyDescent="0.35">
      <c r="A1378" s="107" t="s">
        <v>4809</v>
      </c>
      <c r="B1378" s="73" t="str">
        <f>VLOOKUP(A1378,SÜRELER!A:B,2,0)</f>
        <v>İÇ LENS ÜST,SOL,S205 SA ,BAGAJ</v>
      </c>
      <c r="C1378" s="57">
        <v>10</v>
      </c>
      <c r="D1378" s="58"/>
      <c r="E1378" s="59"/>
      <c r="G1378" t="str">
        <f t="shared" si="23"/>
        <v>15006150061981</v>
      </c>
    </row>
    <row r="1379" spans="1:7" ht="14.5" x14ac:dyDescent="0.35">
      <c r="A1379" s="107" t="s">
        <v>4810</v>
      </c>
      <c r="B1379" s="73" t="str">
        <f>VLOOKUP(A1379,SÜRELER!A:B,2,0)</f>
        <v>İÇ LENS ÜST,SAĞ,S205 SA ,BAGAJ</v>
      </c>
      <c r="C1379" s="57">
        <v>10</v>
      </c>
      <c r="D1379" s="58"/>
      <c r="E1379" s="59"/>
      <c r="G1379" t="str">
        <f t="shared" si="23"/>
        <v>15006150061982</v>
      </c>
    </row>
    <row r="1380" spans="1:7" ht="14.5" x14ac:dyDescent="0.35">
      <c r="A1380" s="107" t="s">
        <v>4811</v>
      </c>
      <c r="B1380" s="73" t="str">
        <f>VLOOKUP(A1380,SÜRELER!A:B,2,0)</f>
        <v>İÇ LENS ALT,SOL,S205 SA ,BAGAJ</v>
      </c>
      <c r="C1380" s="57">
        <v>10</v>
      </c>
      <c r="D1380" s="58"/>
      <c r="E1380" s="59"/>
      <c r="G1380" t="str">
        <f t="shared" si="23"/>
        <v>15006150061983</v>
      </c>
    </row>
    <row r="1381" spans="1:7" ht="14.5" x14ac:dyDescent="0.35">
      <c r="A1381" s="107" t="s">
        <v>4812</v>
      </c>
      <c r="B1381" s="73" t="str">
        <f>VLOOKUP(A1381,SÜRELER!A:B,2,0)</f>
        <v>İÇ LENS ALT,SAĞ,S205 SA ,BAGAJ</v>
      </c>
      <c r="C1381" s="57">
        <v>10</v>
      </c>
      <c r="D1381" s="58"/>
      <c r="E1381" s="59"/>
      <c r="G1381" t="str">
        <f t="shared" si="23"/>
        <v>15006150061984</v>
      </c>
    </row>
    <row r="1382" spans="1:7" ht="14.5" x14ac:dyDescent="0.35">
      <c r="A1382" s="107" t="s">
        <v>4813</v>
      </c>
      <c r="B1382" s="73" t="str">
        <f>VLOOKUP(A1382,SÜRELER!A:B,2,0)</f>
        <v>ARA ÇERÇEVE,SOL,S205 SA ,BAGAJ</v>
      </c>
      <c r="C1382" s="57">
        <v>7</v>
      </c>
      <c r="D1382" s="58"/>
      <c r="E1382" s="59"/>
      <c r="G1382" t="str">
        <f t="shared" si="23"/>
        <v>15006150061993</v>
      </c>
    </row>
    <row r="1383" spans="1:7" ht="14.5" x14ac:dyDescent="0.35">
      <c r="A1383" s="107" t="s">
        <v>4814</v>
      </c>
      <c r="B1383" s="73" t="str">
        <f>VLOOKUP(A1383,SÜRELER!A:B,2,0)</f>
        <v>ARA ÇERÇEVE,SAĞ,S205 SA ,BAGAJ</v>
      </c>
      <c r="C1383" s="57">
        <v>7</v>
      </c>
      <c r="D1383" s="58"/>
      <c r="E1383" s="59"/>
      <c r="G1383" t="str">
        <f t="shared" si="23"/>
        <v>15006150061994</v>
      </c>
    </row>
    <row r="1384" spans="1:7" ht="14.5" x14ac:dyDescent="0.35">
      <c r="A1384" s="107" t="s">
        <v>4815</v>
      </c>
      <c r="B1384" s="73" t="str">
        <f>VLOOKUP(A1384,SÜRELER!A:B,2,0)</f>
        <v>REFLEKTÖR,SOL,S205 SA ,ÇAMURLUK</v>
      </c>
      <c r="C1384" s="57">
        <v>4</v>
      </c>
      <c r="D1384" s="58"/>
      <c r="E1384" s="59"/>
      <c r="G1384" t="str">
        <f t="shared" si="23"/>
        <v>15006150061589</v>
      </c>
    </row>
    <row r="1385" spans="1:7" ht="14.5" x14ac:dyDescent="0.35">
      <c r="A1385" s="107" t="s">
        <v>4816</v>
      </c>
      <c r="B1385" s="73" t="str">
        <f>VLOOKUP(A1385,SÜRELER!A:B,2,0)</f>
        <v>REFLEKTÖR,SAĞ,S205 SA ,ÇAMURLUK</v>
      </c>
      <c r="C1385" s="57">
        <v>4</v>
      </c>
      <c r="D1385" s="58"/>
      <c r="E1385" s="59"/>
      <c r="G1385" t="str">
        <f t="shared" si="23"/>
        <v>15006150061590</v>
      </c>
    </row>
    <row r="1386" spans="1:7" ht="14.5" x14ac:dyDescent="0.35">
      <c r="A1386" s="107" t="s">
        <v>4817</v>
      </c>
      <c r="B1386" s="73" t="str">
        <f>VLOOKUP(A1386,SÜRELER!A:B,2,0)</f>
        <v>Touareg 2K Yan Çıta Sol</v>
      </c>
      <c r="C1386" s="57">
        <v>7</v>
      </c>
      <c r="D1386" s="58"/>
      <c r="E1386" s="59"/>
      <c r="G1386" t="str">
        <f t="shared" si="23"/>
        <v>15006150062104</v>
      </c>
    </row>
    <row r="1387" spans="1:7" ht="14.5" x14ac:dyDescent="0.35">
      <c r="A1387" s="107" t="s">
        <v>4818</v>
      </c>
      <c r="B1387" s="73" t="str">
        <f>VLOOKUP(A1387,SÜRELER!A:B,2,0)</f>
        <v>Touareg 2K Yan Çıta Sağ</v>
      </c>
      <c r="C1387" s="57">
        <v>7</v>
      </c>
      <c r="D1387" s="58"/>
      <c r="E1387" s="59"/>
      <c r="G1387" t="str">
        <f t="shared" si="23"/>
        <v>15006150062105</v>
      </c>
    </row>
    <row r="1388" spans="1:7" ht="14.5" x14ac:dyDescent="0.35">
      <c r="A1388" s="107" t="s">
        <v>4819</v>
      </c>
      <c r="B1388" s="73" t="e">
        <f>VLOOKUP(A1388,SÜRELER!A:B,2,0)</f>
        <v>#N/A</v>
      </c>
      <c r="C1388" s="57">
        <v>20</v>
      </c>
      <c r="D1388" s="58"/>
      <c r="E1388" s="59"/>
      <c r="G1388" t="str">
        <f t="shared" si="23"/>
        <v>150061500698</v>
      </c>
    </row>
    <row r="1389" spans="1:7" ht="14.5" x14ac:dyDescent="0.35">
      <c r="A1389" s="107" t="s">
        <v>4820</v>
      </c>
      <c r="B1389" s="73" t="e">
        <f>VLOOKUP(A1389,SÜRELER!A:B,2,0)</f>
        <v>#N/A</v>
      </c>
      <c r="C1389" s="57">
        <v>20</v>
      </c>
      <c r="D1389" s="58"/>
      <c r="E1389" s="59"/>
      <c r="G1389" t="str">
        <f t="shared" si="23"/>
        <v>150061500699</v>
      </c>
    </row>
    <row r="1390" spans="1:7" ht="14.5" x14ac:dyDescent="0.35">
      <c r="A1390" s="107" t="s">
        <v>4821</v>
      </c>
      <c r="B1390" s="73" t="e">
        <f>VLOOKUP(A1390,SÜRELER!A:B,2,0)</f>
        <v>#N/A</v>
      </c>
      <c r="C1390" s="57">
        <v>10</v>
      </c>
      <c r="D1390" s="58"/>
      <c r="E1390" s="59"/>
      <c r="G1390" t="str">
        <f t="shared" si="23"/>
        <v>1500615006173021102</v>
      </c>
    </row>
    <row r="1391" spans="1:7" ht="14.5" x14ac:dyDescent="0.35">
      <c r="A1391" s="107" t="s">
        <v>4822</v>
      </c>
      <c r="B1391" s="73" t="str">
        <f>VLOOKUP(A1391,SÜRELER!A:B,2,0)</f>
        <v>DIŞ LENS,SOL,S205 ET ,ÇAMURLUK</v>
      </c>
      <c r="C1391" s="57">
        <v>10</v>
      </c>
      <c r="D1391" s="58"/>
      <c r="E1391" s="59"/>
      <c r="G1391" t="str">
        <f t="shared" si="23"/>
        <v>15006150061565</v>
      </c>
    </row>
    <row r="1392" spans="1:7" ht="14.5" x14ac:dyDescent="0.35">
      <c r="A1392" s="107" t="s">
        <v>4823</v>
      </c>
      <c r="B1392" s="73" t="str">
        <f>VLOOKUP(A1392,SÜRELER!A:B,2,0)</f>
        <v>DIŞ LENS,SAĞ,S205 ET ,ÇAMURLUK</v>
      </c>
      <c r="C1392" s="57">
        <v>10</v>
      </c>
      <c r="D1392" s="58"/>
      <c r="E1392" s="59"/>
      <c r="G1392" t="str">
        <f t="shared" si="23"/>
        <v>15006150061566</v>
      </c>
    </row>
    <row r="1393" spans="1:7" ht="14.5" x14ac:dyDescent="0.35">
      <c r="A1393" s="107" t="s">
        <v>4793</v>
      </c>
      <c r="B1393" s="73" t="str">
        <f>VLOOKUP(A1393,SÜRELER!A:B,2,0)</f>
        <v>TOGG,SIDE COVER,SOL,X-COUPE,ÇAMURLUK</v>
      </c>
      <c r="C1393" s="57">
        <v>10</v>
      </c>
      <c r="D1393" s="58"/>
      <c r="E1393" s="59"/>
      <c r="G1393" t="str">
        <f t="shared" si="23"/>
        <v>15006150062100</v>
      </c>
    </row>
    <row r="1394" spans="1:7" ht="14.5" x14ac:dyDescent="0.35">
      <c r="A1394" s="107" t="s">
        <v>4794</v>
      </c>
      <c r="B1394" s="73" t="str">
        <f>VLOOKUP(A1394,SÜRELER!A:B,2,0)</f>
        <v>TOGG,SIDE COVER,SAĞ,X-COUPE,ÇAMURLUK</v>
      </c>
      <c r="C1394" s="57">
        <v>10</v>
      </c>
      <c r="D1394" s="58"/>
      <c r="E1394" s="59"/>
      <c r="G1394" t="str">
        <f t="shared" si="23"/>
        <v>15006150062101</v>
      </c>
    </row>
    <row r="1395" spans="1:7" ht="14.5" x14ac:dyDescent="0.35">
      <c r="A1395" s="107" t="s">
        <v>4824</v>
      </c>
      <c r="B1395" s="73" t="str">
        <f>VLOOKUP(A1395,SÜRELER!A:B,2,0)</f>
        <v>LENS,OPTİK Ph2 SAĞ,GERİ VİTES EDISON S2S</v>
      </c>
      <c r="C1395" s="57">
        <v>10</v>
      </c>
      <c r="D1395" s="58"/>
      <c r="E1395" s="59"/>
      <c r="G1395" t="str">
        <f t="shared" si="23"/>
        <v>15006150062177</v>
      </c>
    </row>
    <row r="1396" spans="1:7" ht="14.5" x14ac:dyDescent="0.35">
      <c r="A1396" s="107" t="s">
        <v>4825</v>
      </c>
      <c r="B1396" s="73" t="str">
        <f>VLOOKUP(A1396,SÜRELER!A:B,2,0)</f>
        <v>LENS,OPTİK Ph2 SOL,EDISON S2S/S4S</v>
      </c>
      <c r="C1396" s="57">
        <v>10</v>
      </c>
      <c r="D1396" s="58"/>
      <c r="E1396" s="59"/>
      <c r="G1396" t="str">
        <f t="shared" si="23"/>
        <v>15006150062178</v>
      </c>
    </row>
    <row r="1397" spans="1:7" ht="14.5" x14ac:dyDescent="0.35">
      <c r="A1397" s="107" t="s">
        <v>4826</v>
      </c>
      <c r="B1397" s="73" t="str">
        <f>VLOOKUP(A1397,SÜRELER!A:B,2,0)</f>
        <v>GÖVDE,SOL,EDISON S2S BASIC</v>
      </c>
      <c r="C1397" s="57">
        <v>10</v>
      </c>
      <c r="D1397" s="58"/>
      <c r="E1397" s="59"/>
      <c r="G1397" t="str">
        <f t="shared" si="23"/>
        <v>15006150062133</v>
      </c>
    </row>
    <row r="1398" spans="1:7" ht="14.5" x14ac:dyDescent="0.35">
      <c r="A1398" s="107" t="s">
        <v>4827</v>
      </c>
      <c r="B1398" s="73" t="str">
        <f>VLOOKUP(A1398,SÜRELER!A:B,2,0)</f>
        <v>GÖVDE,SAĞ,EDISON S2S BASIC</v>
      </c>
      <c r="C1398" s="57">
        <v>10</v>
      </c>
      <c r="D1398" s="58"/>
      <c r="E1398" s="59"/>
      <c r="G1398" t="str">
        <f t="shared" si="23"/>
        <v>15006150062134</v>
      </c>
    </row>
    <row r="1399" spans="1:7" ht="14.5" x14ac:dyDescent="0.35">
      <c r="A1399" s="107" t="s">
        <v>4828</v>
      </c>
      <c r="B1399" s="73" t="str">
        <f>VLOOKUP(A1399,SÜRELER!A:B,2,0)</f>
        <v>REFLEKTÖR,SOL,SİS,EDISON S2S BASIC</v>
      </c>
      <c r="C1399" s="57">
        <v>10</v>
      </c>
      <c r="D1399" s="58"/>
      <c r="E1399" s="59"/>
      <c r="G1399" t="str">
        <f t="shared" si="23"/>
        <v>15006150062137</v>
      </c>
    </row>
    <row r="1400" spans="1:7" ht="14.5" x14ac:dyDescent="0.35">
      <c r="A1400" s="107" t="s">
        <v>4829</v>
      </c>
      <c r="B1400" s="73" t="str">
        <f>VLOOKUP(A1400,SÜRELER!A:B,2,0)</f>
        <v>REFLEKTÖR,SAĞ,SİS,EDISON S2S BASIC</v>
      </c>
      <c r="C1400" s="57">
        <v>10</v>
      </c>
      <c r="D1400" s="58"/>
      <c r="E1400" s="59"/>
      <c r="G1400" t="str">
        <f t="shared" si="23"/>
        <v>15006150062138</v>
      </c>
    </row>
    <row r="1401" spans="1:7" ht="14.5" x14ac:dyDescent="0.35">
      <c r="A1401" s="107" t="s">
        <v>4830</v>
      </c>
      <c r="B1401" s="73" t="str">
        <f>VLOOKUP(A1401,SÜRELER!A:B,2,0)</f>
        <v>GÖVDE,Ph2SOL,EDIS.S2S/S4S LINEUP,KABLOLU</v>
      </c>
      <c r="C1401" s="57">
        <v>10</v>
      </c>
      <c r="D1401" s="58"/>
      <c r="E1401" s="59"/>
      <c r="G1401" t="str">
        <f t="shared" si="23"/>
        <v>15006150062159</v>
      </c>
    </row>
    <row r="1402" spans="1:7" ht="14.5" x14ac:dyDescent="0.35">
      <c r="A1402" s="107" t="s">
        <v>4831</v>
      </c>
      <c r="B1402" s="73" t="str">
        <f>VLOOKUP(A1402,SÜRELER!A:B,2,0)</f>
        <v>GÖVDE,Ph2SAĞ,EDIS.S2S/S4S LINEUP,KABLOLU</v>
      </c>
      <c r="C1402" s="57">
        <v>10</v>
      </c>
      <c r="D1402" s="58"/>
      <c r="E1402" s="59"/>
      <c r="G1402" t="str">
        <f t="shared" si="23"/>
        <v>15006150062160</v>
      </c>
    </row>
    <row r="1403" spans="1:7" ht="14.5" x14ac:dyDescent="0.35">
      <c r="A1403" s="107" t="s">
        <v>4832</v>
      </c>
      <c r="B1403" s="73" t="str">
        <f>VLOOKUP(A1403,SÜRELER!A:B,2,0)</f>
        <v>GÖVDE,SOL,B460 ASK</v>
      </c>
      <c r="C1403" s="57">
        <v>10</v>
      </c>
      <c r="D1403" s="58"/>
      <c r="E1403" s="59"/>
      <c r="G1403" t="str">
        <f t="shared" si="23"/>
        <v>15006150062109</v>
      </c>
    </row>
    <row r="1404" spans="1:7" ht="14.5" x14ac:dyDescent="0.35">
      <c r="A1404" s="107" t="s">
        <v>4833</v>
      </c>
      <c r="B1404" s="73" t="str">
        <f>VLOOKUP(A1404,SÜRELER!A:B,2,0)</f>
        <v>GÖVDE,SAG,B460 ASK</v>
      </c>
      <c r="C1404" s="57">
        <v>10</v>
      </c>
      <c r="D1404" s="58"/>
      <c r="E1404" s="59"/>
      <c r="G1404" t="str">
        <f t="shared" si="23"/>
        <v>15006150062110</v>
      </c>
    </row>
    <row r="1405" spans="1:7" ht="14.5" x14ac:dyDescent="0.35">
      <c r="A1405" s="107" t="s">
        <v>4834</v>
      </c>
      <c r="B1405" s="73" t="str">
        <f>VLOOKUP(A1405,SÜRELER!A:B,2,0)</f>
        <v>KAPAK,SOL,S205 ET ,BAGAJ</v>
      </c>
      <c r="C1405" s="57">
        <v>10</v>
      </c>
      <c r="D1405" s="58"/>
      <c r="E1405" s="59"/>
      <c r="G1405" t="str">
        <f t="shared" si="23"/>
        <v>15006150061971</v>
      </c>
    </row>
    <row r="1406" spans="1:7" ht="14.5" x14ac:dyDescent="0.35">
      <c r="A1406" s="107" t="s">
        <v>4835</v>
      </c>
      <c r="B1406" s="73" t="str">
        <f>VLOOKUP(A1406,SÜRELER!A:B,2,0)</f>
        <v>KAPAK,SAĞ,S205 ET ,BAGAJ</v>
      </c>
      <c r="C1406" s="57">
        <v>10</v>
      </c>
      <c r="D1406" s="58"/>
      <c r="E1406" s="59"/>
      <c r="G1406" t="str">
        <f t="shared" si="23"/>
        <v>15006150061972</v>
      </c>
    </row>
    <row r="1407" spans="1:7" ht="14.5" x14ac:dyDescent="0.35">
      <c r="A1407" s="107" t="s">
        <v>4836</v>
      </c>
      <c r="B1407" s="73" t="str">
        <f>VLOOKUP(A1407,SÜRELER!A:B,2,0)</f>
        <v>DIŞ LENS SOL S205 ET  CAMURLUK ULO</v>
      </c>
      <c r="C1407" s="57">
        <v>10</v>
      </c>
      <c r="D1407" s="58"/>
      <c r="E1407" s="59"/>
      <c r="G1407" t="str">
        <f t="shared" si="23"/>
        <v>15006150062009</v>
      </c>
    </row>
    <row r="1408" spans="1:7" ht="14.5" x14ac:dyDescent="0.35">
      <c r="A1408" s="107" t="s">
        <v>4837</v>
      </c>
      <c r="B1408" s="73" t="str">
        <f>VLOOKUP(A1408,SÜRELER!A:B,2,0)</f>
        <v>DIŞ LENS SAĞ S205 ET CAMURLUK ULO</v>
      </c>
      <c r="C1408" s="57">
        <v>10</v>
      </c>
      <c r="D1408" s="58"/>
      <c r="E1408" s="59"/>
      <c r="G1408" t="str">
        <f t="shared" si="23"/>
        <v>15006150062010</v>
      </c>
    </row>
    <row r="1409" spans="1:7" ht="14.5" x14ac:dyDescent="0.35">
      <c r="A1409" s="107" t="s">
        <v>4838</v>
      </c>
      <c r="B1409" s="73" t="str">
        <f>VLOOKUP(A1409,SÜRELER!A:B,2,0)</f>
        <v>REFLEKTÖR,FRA/SL,SOL,AUDI,ÇAMURLUK</v>
      </c>
      <c r="C1409" s="57">
        <v>10</v>
      </c>
      <c r="D1409" s="58"/>
      <c r="E1409" s="59"/>
      <c r="G1409" t="str">
        <f t="shared" si="23"/>
        <v>15006150061527</v>
      </c>
    </row>
    <row r="1410" spans="1:7" ht="14.5" x14ac:dyDescent="0.35">
      <c r="A1410" s="107" t="s">
        <v>4839</v>
      </c>
      <c r="B1410" s="73" t="str">
        <f>VLOOKUP(A1410,SÜRELER!A:B,2,0)</f>
        <v>REFLEKTÖR,FRA/SL,SAĞ,AUDI,ÇAMURLUK</v>
      </c>
      <c r="C1410" s="57">
        <v>10</v>
      </c>
      <c r="D1410" s="58"/>
      <c r="E1410" s="59"/>
      <c r="G1410" t="str">
        <f t="shared" si="23"/>
        <v>15006150061528</v>
      </c>
    </row>
    <row r="1411" spans="1:7" ht="14.5" x14ac:dyDescent="0.35">
      <c r="A1411" s="107" t="s">
        <v>4840</v>
      </c>
      <c r="B1411" s="73" t="str">
        <f>VLOOKUP(A1411,SÜRELER!A:B,2,0)</f>
        <v xml:space="preserve">ISIK TÜPÜ SİS SOL AUDİ BAGAJ </v>
      </c>
      <c r="C1411" s="57">
        <v>10</v>
      </c>
      <c r="D1411" s="58"/>
      <c r="E1411" s="59"/>
      <c r="G1411" t="str">
        <f t="shared" si="23"/>
        <v>15006150061557</v>
      </c>
    </row>
    <row r="1412" spans="1:7" ht="14.5" x14ac:dyDescent="0.35">
      <c r="A1412" s="107" t="s">
        <v>4841</v>
      </c>
      <c r="B1412" s="73" t="str">
        <f>VLOOKUP(A1412,SÜRELER!A:B,2,0)</f>
        <v xml:space="preserve">ISIK TÜPÜ SİS SAG AUDİ BAGAJ </v>
      </c>
      <c r="C1412" s="57">
        <v>10</v>
      </c>
      <c r="D1412" s="58"/>
      <c r="E1412" s="59"/>
      <c r="G1412" t="str">
        <f t="shared" si="23"/>
        <v>15006150061558</v>
      </c>
    </row>
    <row r="1413" spans="1:7" ht="14.5" x14ac:dyDescent="0.35">
      <c r="A1413" s="107" t="s">
        <v>4842</v>
      </c>
      <c r="B1413" s="73" t="str">
        <f>VLOOKUP(A1413,SÜRELER!A:B,2,0)</f>
        <v>ARA ÇERÇEVE,SOL,AUDI,BAGAJ</v>
      </c>
      <c r="C1413" s="57">
        <v>10</v>
      </c>
      <c r="D1413" s="58"/>
      <c r="E1413" s="59"/>
      <c r="G1413" t="str">
        <f t="shared" si="23"/>
        <v>15006150061549</v>
      </c>
    </row>
    <row r="1414" spans="1:7" ht="14.5" x14ac:dyDescent="0.35">
      <c r="A1414" s="107" t="s">
        <v>4843</v>
      </c>
      <c r="B1414" s="73" t="str">
        <f>VLOOKUP(A1414,SÜRELER!A:B,2,0)</f>
        <v>ARA ÇERÇEVE,SAĞ,AUDI,BAGAJ</v>
      </c>
      <c r="C1414" s="57">
        <v>10</v>
      </c>
      <c r="D1414" s="58"/>
      <c r="E1414" s="59"/>
      <c r="G1414" t="str">
        <f t="shared" si="23"/>
        <v>15006150061550</v>
      </c>
    </row>
    <row r="1415" spans="1:7" ht="14.5" x14ac:dyDescent="0.35">
      <c r="A1415" s="107" t="s">
        <v>4844</v>
      </c>
      <c r="B1415" s="73" t="str">
        <f>VLOOKUP(A1415,SÜRELER!A:B,2,0)</f>
        <v>GÖVDE,KABLOLU,SIDE MARKER,MBT</v>
      </c>
      <c r="C1415" s="57">
        <v>7</v>
      </c>
      <c r="D1415" s="58"/>
      <c r="E1415" s="59"/>
      <c r="G1415" t="str">
        <f t="shared" si="23"/>
        <v>15006150062066</v>
      </c>
    </row>
    <row r="1416" spans="1:7" ht="14.5" x14ac:dyDescent="0.35">
      <c r="A1416" s="107" t="s">
        <v>4845</v>
      </c>
      <c r="B1416" s="73" t="str">
        <f>VLOOKUP(A1416,SÜRELER!A:B,2,0)</f>
        <v>GÖVDE,SOKETLİ,SIDE MARKER,MBT</v>
      </c>
      <c r="C1416" s="57">
        <v>7</v>
      </c>
      <c r="D1416" s="58"/>
      <c r="E1416" s="59"/>
      <c r="G1416" t="str">
        <f t="shared" si="23"/>
        <v>15006150062067</v>
      </c>
    </row>
    <row r="1417" spans="1:7" ht="14.5" x14ac:dyDescent="0.35">
      <c r="A1417" s="107" t="s">
        <v>4846</v>
      </c>
      <c r="B1417" s="73" t="str">
        <f>VLOOKUP(A1417,SÜRELER!A:B,2,0)</f>
        <v>PLASTIK ARA PARCA,MBT</v>
      </c>
      <c r="C1417" s="57">
        <v>7</v>
      </c>
      <c r="D1417" s="58"/>
      <c r="E1417" s="59"/>
      <c r="G1417" t="str">
        <f t="shared" si="23"/>
        <v>15006150062068</v>
      </c>
    </row>
    <row r="1418" spans="1:7" ht="14.5" x14ac:dyDescent="0.35">
      <c r="A1418" s="107" t="s">
        <v>4847</v>
      </c>
      <c r="B1418" s="73" t="str">
        <f>VLOOKUP(A1418,SÜRELER!A:B,2,0)</f>
        <v>ARA ÇERÇEVE,SOL,AUDI,ÇAMURLUK</v>
      </c>
      <c r="C1418" s="57">
        <v>10</v>
      </c>
      <c r="D1418" s="58"/>
      <c r="E1418" s="59"/>
      <c r="G1418" t="str">
        <f t="shared" si="23"/>
        <v>15006150061525</v>
      </c>
    </row>
    <row r="1419" spans="1:7" ht="14.5" x14ac:dyDescent="0.35">
      <c r="A1419" s="107" t="s">
        <v>4848</v>
      </c>
      <c r="B1419" s="73" t="str">
        <f>VLOOKUP(A1419,SÜRELER!A:B,2,0)</f>
        <v>ARA ÇERÇEVE,SAĞ,AUDI,ÇAMURLUK</v>
      </c>
      <c r="C1419" s="57">
        <v>10</v>
      </c>
      <c r="D1419" s="58"/>
      <c r="E1419" s="59"/>
      <c r="G1419" t="str">
        <f t="shared" si="23"/>
        <v>15006150061526</v>
      </c>
    </row>
    <row r="1420" spans="1:7" ht="14.5" x14ac:dyDescent="0.35">
      <c r="A1420" s="107" t="s">
        <v>4849</v>
      </c>
      <c r="B1420" s="73" t="e">
        <f>VLOOKUP(A1420,SÜRELER!A:B,2,0)</f>
        <v>#N/A</v>
      </c>
      <c r="C1420" s="57">
        <v>18</v>
      </c>
      <c r="D1420" s="58"/>
      <c r="E1420" s="59"/>
      <c r="G1420" t="str">
        <f t="shared" si="23"/>
        <v>1500615006114</v>
      </c>
    </row>
    <row r="1421" spans="1:7" ht="14.5" x14ac:dyDescent="0.35">
      <c r="A1421" s="107" t="s">
        <v>4850</v>
      </c>
      <c r="B1421" s="73" t="e">
        <f>VLOOKUP(A1421,SÜRELER!A:B,2,0)</f>
        <v>#N/A</v>
      </c>
      <c r="C1421" s="57">
        <v>18</v>
      </c>
      <c r="D1421" s="58"/>
      <c r="E1421" s="59"/>
      <c r="G1421" t="str">
        <f t="shared" si="23"/>
        <v>1500615006115</v>
      </c>
    </row>
    <row r="1422" spans="1:7" ht="14.5" x14ac:dyDescent="0.35">
      <c r="A1422" s="107" t="s">
        <v>4851</v>
      </c>
      <c r="B1422" s="73" t="e">
        <f>VLOOKUP(A1422,SÜRELER!A:B,2,0)</f>
        <v>#N/A</v>
      </c>
      <c r="C1422" s="57">
        <v>15</v>
      </c>
      <c r="D1422" s="58"/>
      <c r="E1422" s="59"/>
      <c r="G1422" t="str">
        <f t="shared" si="23"/>
        <v>1500615006112</v>
      </c>
    </row>
    <row r="1423" spans="1:7" ht="14.5" x14ac:dyDescent="0.35">
      <c r="A1423" s="107" t="s">
        <v>4852</v>
      </c>
      <c r="B1423" s="73" t="e">
        <f>VLOOKUP(A1423,SÜRELER!A:B,2,0)</f>
        <v>#N/A</v>
      </c>
      <c r="C1423" s="57">
        <v>15</v>
      </c>
      <c r="D1423" s="58"/>
      <c r="E1423" s="59"/>
      <c r="G1423" t="str">
        <f t="shared" si="23"/>
        <v>1500615006113</v>
      </c>
    </row>
    <row r="1424" spans="1:7" ht="14.5" x14ac:dyDescent="0.35">
      <c r="A1424" s="107" t="s">
        <v>4853</v>
      </c>
      <c r="B1424" s="73" t="str">
        <f>VLOOKUP(A1424,SÜRELER!A:B,2,0)</f>
        <v>LENS,KIRMIZI+NATUREL,SOL,B460 ASK</v>
      </c>
      <c r="C1424" s="57">
        <v>20</v>
      </c>
      <c r="D1424" s="58"/>
      <c r="E1424" s="59"/>
      <c r="G1424" t="str">
        <f t="shared" si="23"/>
        <v>15006150062111</v>
      </c>
    </row>
    <row r="1425" spans="1:7" ht="14.5" x14ac:dyDescent="0.35">
      <c r="A1425" s="107" t="s">
        <v>4854</v>
      </c>
      <c r="B1425" s="73" t="str">
        <f>VLOOKUP(A1425,SÜRELER!A:B,2,0)</f>
        <v>LENS,KIRMIZI+NATUREL,SAG,B460 ASK</v>
      </c>
      <c r="C1425" s="57">
        <v>20</v>
      </c>
      <c r="D1425" s="58"/>
      <c r="E1425" s="59"/>
      <c r="G1425" t="str">
        <f t="shared" si="23"/>
        <v>15006150062112</v>
      </c>
    </row>
    <row r="1426" spans="1:7" ht="14.5" x14ac:dyDescent="0.35">
      <c r="A1426" s="107" t="s">
        <v>4855</v>
      </c>
      <c r="B1426" s="73" t="str">
        <f>VLOOKUP(A1426,SÜRELER!A:B,2,0)</f>
        <v>S205 BAGAJ LİGT GUİDE SOL</v>
      </c>
      <c r="C1426" s="57">
        <v>20</v>
      </c>
      <c r="D1426" s="58"/>
      <c r="E1426" s="59"/>
      <c r="G1426" t="str">
        <f t="shared" si="23"/>
        <v>15006150061977</v>
      </c>
    </row>
    <row r="1427" spans="1:7" ht="14.5" x14ac:dyDescent="0.35">
      <c r="A1427" s="107" t="s">
        <v>4856</v>
      </c>
      <c r="B1427" s="73" t="str">
        <f>VLOOKUP(A1427,SÜRELER!A:B,2,0)</f>
        <v>S205 BAGAJ LİGT GUİDE SOL</v>
      </c>
      <c r="C1427" s="57">
        <v>20</v>
      </c>
      <c r="D1427" s="58"/>
      <c r="E1427" s="59"/>
      <c r="G1427" t="str">
        <f t="shared" si="23"/>
        <v>15006150061978</v>
      </c>
    </row>
    <row r="1428" spans="1:7" ht="14.5" x14ac:dyDescent="0.35">
      <c r="A1428" s="107" t="s">
        <v>4857</v>
      </c>
      <c r="B1428" s="73" t="str">
        <f>VLOOKUP(A1428,SÜRELER!A:B,2,0)</f>
        <v>R4S KIRMIZI+NATUREL LENS SOL</v>
      </c>
      <c r="C1428" s="57">
        <v>25</v>
      </c>
      <c r="D1428" s="58"/>
      <c r="E1428" s="59"/>
      <c r="G1428" t="str">
        <f t="shared" si="23"/>
        <v>15006150062113</v>
      </c>
    </row>
    <row r="1429" spans="1:7" ht="14.5" x14ac:dyDescent="0.35">
      <c r="A1429" s="107" t="s">
        <v>4858</v>
      </c>
      <c r="B1429" s="73" t="str">
        <f>VLOOKUP(A1429,SÜRELER!A:B,2,0)</f>
        <v>R4S KIRMIZI+NATUREL LENS SAG</v>
      </c>
      <c r="C1429" s="57">
        <v>25</v>
      </c>
      <c r="D1429" s="58"/>
      <c r="E1429" s="59"/>
      <c r="G1429" t="str">
        <f t="shared" si="23"/>
        <v>15006150062114</v>
      </c>
    </row>
    <row r="1430" spans="1:7" ht="14.5" x14ac:dyDescent="0.35">
      <c r="A1430" s="107" t="s">
        <v>4859</v>
      </c>
      <c r="B1430" s="73" t="str">
        <f>VLOOKUP(A1430,SÜRELER!A:B,2,0)</f>
        <v>Ref.T.Trk.Ön,Ayg.Camli</v>
      </c>
      <c r="C1430" s="57">
        <v>20</v>
      </c>
      <c r="D1430" s="58"/>
      <c r="E1430" s="59"/>
      <c r="G1430" t="str">
        <f t="shared" si="23"/>
        <v>15006150062040</v>
      </c>
    </row>
    <row r="1431" spans="1:7" ht="14.5" x14ac:dyDescent="0.35">
      <c r="A1431" s="107" t="s">
        <v>4860</v>
      </c>
      <c r="B1431" s="73" t="str">
        <f>VLOOKUP(A1431,SÜRELER!A:B,2,0)</f>
        <v>S205 BAGAJ ÇERÇEVE SAG</v>
      </c>
      <c r="C1431" s="57">
        <v>20</v>
      </c>
      <c r="D1431" s="58"/>
      <c r="E1431" s="59"/>
      <c r="G1431" t="str">
        <f t="shared" si="23"/>
        <v>15006150062041</v>
      </c>
    </row>
    <row r="1432" spans="1:7" ht="14.5" x14ac:dyDescent="0.35">
      <c r="A1432" s="107" t="s">
        <v>4861</v>
      </c>
      <c r="B1432" s="73" t="str">
        <f>VLOOKUP(A1432,SÜRELER!A:B,2,0)</f>
        <v>EDİSON DIŞ LENS SOL</v>
      </c>
      <c r="C1432" s="57">
        <v>30</v>
      </c>
      <c r="D1432" s="58"/>
      <c r="E1432" s="59"/>
      <c r="G1432" t="str">
        <f t="shared" ref="G1432:G1495" si="24">CONCATENATE($F$471,A1432,)</f>
        <v>15006150062119</v>
      </c>
    </row>
    <row r="1433" spans="1:7" ht="14.5" x14ac:dyDescent="0.35">
      <c r="A1433" s="107" t="s">
        <v>4862</v>
      </c>
      <c r="B1433" s="73" t="s">
        <v>3328</v>
      </c>
      <c r="C1433" s="57">
        <v>30</v>
      </c>
      <c r="D1433" s="58"/>
      <c r="E1433" s="59"/>
      <c r="G1433" t="str">
        <f t="shared" si="24"/>
        <v>15006150062120</v>
      </c>
    </row>
    <row r="1434" spans="1:7" ht="14.5" x14ac:dyDescent="0.35">
      <c r="A1434" s="107" t="s">
        <v>4863</v>
      </c>
      <c r="B1434" s="73" t="str">
        <f>VLOOKUP(A1434,SÜRELER!A:B,2,0)</f>
        <v>R4S ÇERÇEVE SOL</v>
      </c>
      <c r="C1434" s="57">
        <v>10</v>
      </c>
      <c r="D1434" s="58"/>
      <c r="E1434" s="59"/>
      <c r="G1434" t="str">
        <f t="shared" si="24"/>
        <v>15006150062149</v>
      </c>
    </row>
    <row r="1435" spans="1:7" ht="14.5" x14ac:dyDescent="0.35">
      <c r="A1435" s="107" t="s">
        <v>4864</v>
      </c>
      <c r="B1435" s="73" t="str">
        <f>VLOOKUP(A1435,SÜRELER!A:B,2,0)</f>
        <v>R4S ÇERÇEVE SAG</v>
      </c>
      <c r="C1435" s="57">
        <v>10</v>
      </c>
      <c r="D1435" s="58"/>
      <c r="E1435" s="59"/>
      <c r="G1435" t="str">
        <f t="shared" si="24"/>
        <v>15006150062150</v>
      </c>
    </row>
    <row r="1436" spans="1:7" ht="14.5" x14ac:dyDescent="0.35">
      <c r="A1436" s="107" t="s">
        <v>4865</v>
      </c>
      <c r="B1436" s="73" t="str">
        <f>VLOOKUP(A1436,SÜRELER!A:B,2,0)</f>
        <v>S205 YAN ÇITA SOL</v>
      </c>
      <c r="C1436" s="57">
        <v>10</v>
      </c>
      <c r="D1436" s="58"/>
      <c r="E1436" s="59"/>
      <c r="G1436" t="str">
        <f t="shared" si="24"/>
        <v>15006150061965</v>
      </c>
    </row>
    <row r="1437" spans="1:7" ht="14.5" x14ac:dyDescent="0.35">
      <c r="A1437" s="107" t="s">
        <v>4866</v>
      </c>
      <c r="B1437" s="73" t="str">
        <f>VLOOKUP(A1437,SÜRELER!A:B,2,0)</f>
        <v>S205 YAN ÇITA SAG</v>
      </c>
      <c r="C1437" s="57">
        <v>10</v>
      </c>
      <c r="D1437" s="58"/>
      <c r="E1437" s="59"/>
      <c r="G1437" t="str">
        <f t="shared" si="24"/>
        <v>15006150061966</v>
      </c>
    </row>
    <row r="1438" spans="1:7" ht="14.5" x14ac:dyDescent="0.35">
      <c r="A1438" s="107" t="s">
        <v>4867</v>
      </c>
      <c r="B1438" s="73" t="str">
        <f>VLOOKUP(A1438,SÜRELER!A:B,2,0)</f>
        <v>S205 BAGAJ GÖVDE SOL</v>
      </c>
      <c r="C1438" s="57">
        <v>10</v>
      </c>
      <c r="D1438" s="58"/>
      <c r="E1438" s="59"/>
      <c r="G1438" t="str">
        <f t="shared" si="24"/>
        <v>15006150061985</v>
      </c>
    </row>
    <row r="1439" spans="1:7" ht="14.5" x14ac:dyDescent="0.35">
      <c r="A1439" s="107" t="s">
        <v>4868</v>
      </c>
      <c r="B1439" s="73" t="str">
        <f>VLOOKUP(A1439,SÜRELER!A:B,2,0)</f>
        <v>S205 BAGAJ GÖVDE SAG</v>
      </c>
      <c r="C1439" s="57">
        <v>10</v>
      </c>
      <c r="D1439" s="58"/>
      <c r="E1439" s="59"/>
      <c r="G1439" t="str">
        <f t="shared" si="24"/>
        <v>15006150061986</v>
      </c>
    </row>
    <row r="1440" spans="1:7" ht="14.5" x14ac:dyDescent="0.35">
      <c r="A1440" s="107" t="s">
        <v>4869</v>
      </c>
      <c r="B1440" s="73" t="str">
        <f>VLOOKUP(A1440,SÜRELER!A:B,2,0)</f>
        <v>S205 BRAKET BAGAJ SOL</v>
      </c>
      <c r="C1440" s="57">
        <v>10</v>
      </c>
      <c r="D1440" s="58"/>
      <c r="E1440" s="59"/>
      <c r="G1440" t="str">
        <f t="shared" si="24"/>
        <v>15006150061973</v>
      </c>
    </row>
    <row r="1441" spans="1:7" ht="14.5" x14ac:dyDescent="0.35">
      <c r="A1441" s="107" t="s">
        <v>4870</v>
      </c>
      <c r="B1441" s="73" t="str">
        <f>VLOOKUP(A1441,SÜRELER!A:B,2,0)</f>
        <v>S205 BRAKET BAGAJ SAG</v>
      </c>
      <c r="C1441" s="57">
        <v>10</v>
      </c>
      <c r="D1441" s="58"/>
      <c r="E1441" s="59"/>
      <c r="G1441" t="str">
        <f t="shared" si="24"/>
        <v>15006150061974</v>
      </c>
    </row>
    <row r="1442" spans="1:7" ht="14.5" x14ac:dyDescent="0.35">
      <c r="A1442" s="107" t="s">
        <v>4871</v>
      </c>
      <c r="B1442" s="73" t="str">
        <f>VLOOKUP(A1442,SÜRELER!A:B,2,0)</f>
        <v>STELLANTİS D74 COVER EXTERİOR 2C L</v>
      </c>
      <c r="C1442" s="57">
        <v>10</v>
      </c>
      <c r="D1442" s="58"/>
      <c r="E1442" s="59"/>
      <c r="G1442" t="str">
        <f t="shared" si="24"/>
        <v>15006150062102</v>
      </c>
    </row>
    <row r="1443" spans="1:7" ht="14.5" x14ac:dyDescent="0.35">
      <c r="A1443" s="107" t="s">
        <v>4872</v>
      </c>
      <c r="B1443" s="73" t="str">
        <f>VLOOKUP(A1443,SÜRELER!A:B,2,0)</f>
        <v>STELLANTİS D74 COVER EXTERİOR 2C R</v>
      </c>
      <c r="C1443" s="57">
        <v>10</v>
      </c>
      <c r="D1443" s="58"/>
      <c r="E1443" s="59"/>
      <c r="G1443" t="str">
        <f t="shared" si="24"/>
        <v>15006150062103</v>
      </c>
    </row>
    <row r="1444" spans="1:7" ht="14.5" x14ac:dyDescent="0.35">
      <c r="A1444" s="107" t="s">
        <v>4873</v>
      </c>
      <c r="B1444" s="73" t="s">
        <v>3348</v>
      </c>
      <c r="C1444" s="57">
        <v>10</v>
      </c>
      <c r="D1444" s="58"/>
      <c r="E1444" s="59"/>
      <c r="G1444" t="str">
        <f t="shared" si="24"/>
        <v>15006150062139</v>
      </c>
    </row>
    <row r="1445" spans="1:7" ht="14.5" x14ac:dyDescent="0.35">
      <c r="A1445" s="107" t="s">
        <v>4874</v>
      </c>
      <c r="B1445" s="73" t="s">
        <v>3347</v>
      </c>
      <c r="C1445" s="57">
        <v>10</v>
      </c>
      <c r="D1445" s="58"/>
      <c r="E1445" s="59"/>
      <c r="G1445" t="str">
        <f t="shared" si="24"/>
        <v>15006150062140</v>
      </c>
    </row>
    <row r="1446" spans="1:7" ht="14.5" x14ac:dyDescent="0.35">
      <c r="A1446" s="107" t="s">
        <v>4875</v>
      </c>
      <c r="B1446" s="73" t="str">
        <f>VLOOKUP(A1446,SÜRELER!A:B,2,0)</f>
        <v>YAN CITA,SOL,S205,BAGAJ,RHD</v>
      </c>
      <c r="C1446" s="57">
        <v>10</v>
      </c>
      <c r="D1446" s="58"/>
      <c r="E1446" s="59"/>
      <c r="G1446" t="str">
        <f t="shared" si="24"/>
        <v>15006150062025</v>
      </c>
    </row>
    <row r="1447" spans="1:7" ht="14.5" x14ac:dyDescent="0.35">
      <c r="A1447" s="107" t="s">
        <v>4876</v>
      </c>
      <c r="B1447" s="73" t="str">
        <f>VLOOKUP(A1447,SÜRELER!A:B,2,0)</f>
        <v>YAN CITA,SAĞ,S205,BAGAJ,RHD</v>
      </c>
      <c r="C1447" s="57">
        <v>10</v>
      </c>
      <c r="D1447" s="58"/>
      <c r="E1447" s="59"/>
      <c r="G1447" t="str">
        <f t="shared" si="24"/>
        <v>15006150062026</v>
      </c>
    </row>
    <row r="1448" spans="1:7" ht="14.5" x14ac:dyDescent="0.35">
      <c r="A1448" s="95" t="s">
        <v>4877</v>
      </c>
      <c r="B1448" s="73" t="str">
        <f>VLOOKUP(A1448,SÜRELER!A:B,2,0)</f>
        <v xml:space="preserve">S 205 LIGHT  IŞIK TÜPÜ SOL </v>
      </c>
      <c r="C1448" s="57">
        <v>10</v>
      </c>
      <c r="D1448" s="58"/>
      <c r="E1448" s="59"/>
      <c r="G1448" t="str">
        <f t="shared" si="24"/>
        <v>15006150061581</v>
      </c>
    </row>
    <row r="1449" spans="1:7" ht="14.5" x14ac:dyDescent="0.35">
      <c r="A1449" s="95" t="s">
        <v>4878</v>
      </c>
      <c r="B1449" s="73" t="str">
        <f>VLOOKUP(A1449,SÜRELER!A:B,2,0)</f>
        <v>S 205 LIGHT  IŞIK TÜPÜ SAĞ</v>
      </c>
      <c r="C1449" s="57">
        <v>10</v>
      </c>
      <c r="D1449" s="58"/>
      <c r="E1449" s="59"/>
      <c r="G1449" t="str">
        <f t="shared" si="24"/>
        <v>15006150061582</v>
      </c>
    </row>
    <row r="1450" spans="1:7" ht="14.5" x14ac:dyDescent="0.35">
      <c r="A1450" s="107" t="s">
        <v>4879</v>
      </c>
      <c r="B1450" s="73" t="str">
        <f>VLOOKUP(A1450,SÜRELER!A:B,2,0)</f>
        <v>S205 İŞIK TUPÜ SOL</v>
      </c>
      <c r="C1450" s="57">
        <v>10</v>
      </c>
      <c r="D1450" s="58"/>
      <c r="E1450" s="59"/>
      <c r="G1450" t="str">
        <f t="shared" si="24"/>
        <v>15006150061567</v>
      </c>
    </row>
    <row r="1451" spans="1:7" ht="14.5" x14ac:dyDescent="0.35">
      <c r="A1451" s="107" t="s">
        <v>4880</v>
      </c>
      <c r="B1451" s="73" t="str">
        <f>VLOOKUP(A1451,SÜRELER!A:B,2,0)</f>
        <v>S205 İŞIK TUPÜ SAG</v>
      </c>
      <c r="C1451" s="57">
        <v>10</v>
      </c>
      <c r="D1451" s="58"/>
      <c r="E1451" s="59"/>
      <c r="G1451" t="str">
        <f t="shared" si="24"/>
        <v>15006150061568</v>
      </c>
    </row>
    <row r="1452" spans="1:7" ht="14.5" x14ac:dyDescent="0.35">
      <c r="A1452" s="107" t="s">
        <v>4873</v>
      </c>
      <c r="B1452" s="73" t="str">
        <f>VLOOKUP(A1452,SÜRELER!A:B,2,0)</f>
        <v>S2S EDİSON STOP POZİSYON SOL</v>
      </c>
      <c r="C1452" s="57">
        <v>8</v>
      </c>
      <c r="D1452" s="58"/>
      <c r="E1452" s="59"/>
      <c r="G1452" t="str">
        <f t="shared" si="24"/>
        <v>15006150062139</v>
      </c>
    </row>
    <row r="1453" spans="1:7" ht="14.5" x14ac:dyDescent="0.35">
      <c r="A1453" s="107" t="s">
        <v>4874</v>
      </c>
      <c r="B1453" s="73" t="str">
        <f>VLOOKUP(A1453,SÜRELER!A:B,2,0)</f>
        <v>S2S EDİSON STOP POZİSYON SAG</v>
      </c>
      <c r="C1453" s="57">
        <v>8</v>
      </c>
      <c r="D1453" s="58"/>
      <c r="E1453" s="59"/>
      <c r="G1453" t="str">
        <f t="shared" si="24"/>
        <v>15006150062140</v>
      </c>
    </row>
    <row r="1454" spans="1:7" ht="14.5" x14ac:dyDescent="0.35">
      <c r="A1454" s="107" t="s">
        <v>4881</v>
      </c>
      <c r="B1454" s="73" t="str">
        <f>VLOOKUP(A1454,SÜRELER!A:B,2,0)</f>
        <v>S205 SWL KAPAK SOL</v>
      </c>
      <c r="C1454" s="57">
        <v>12</v>
      </c>
      <c r="D1454" s="58"/>
      <c r="E1454" s="59"/>
      <c r="G1454" t="str">
        <f t="shared" si="24"/>
        <v>15006150061575</v>
      </c>
    </row>
    <row r="1455" spans="1:7" ht="14.5" x14ac:dyDescent="0.35">
      <c r="A1455" s="107" t="s">
        <v>4882</v>
      </c>
      <c r="B1455" s="73" t="str">
        <f>VLOOKUP(A1455,SÜRELER!A:B,2,0)</f>
        <v>S205 SWL KAPAK SAG</v>
      </c>
      <c r="C1455" s="57">
        <v>12</v>
      </c>
      <c r="D1455" s="58"/>
      <c r="E1455" s="59"/>
      <c r="G1455" t="str">
        <f t="shared" si="24"/>
        <v>15006150061576</v>
      </c>
    </row>
    <row r="1456" spans="1:7" ht="14.5" x14ac:dyDescent="0.35">
      <c r="A1456" s="107" t="s">
        <v>4883</v>
      </c>
      <c r="B1456" s="73" t="str">
        <f>VLOOKUP(A1456,SÜRELER!A:B,2,0)</f>
        <v>S2S EDİSON ÇERÇEVE SOL</v>
      </c>
      <c r="C1456" s="57">
        <v>10</v>
      </c>
      <c r="D1456" s="58"/>
      <c r="E1456" s="59"/>
      <c r="G1456" t="str">
        <f t="shared" si="24"/>
        <v>15006150062135</v>
      </c>
    </row>
    <row r="1457" spans="1:7" ht="14.5" x14ac:dyDescent="0.35">
      <c r="A1457" s="107" t="s">
        <v>4884</v>
      </c>
      <c r="B1457" s="73" t="str">
        <f>VLOOKUP(A1457,SÜRELER!A:B,2,0)</f>
        <v>S2S EDİSON ÇERÇEVE SAG</v>
      </c>
      <c r="C1457" s="57">
        <v>10</v>
      </c>
      <c r="D1457" s="58"/>
      <c r="E1457" s="59"/>
      <c r="G1457" t="str">
        <f t="shared" si="24"/>
        <v>15006150062136</v>
      </c>
    </row>
    <row r="1458" spans="1:7" ht="14.5" x14ac:dyDescent="0.35">
      <c r="A1458" s="107" t="s">
        <v>4885</v>
      </c>
      <c r="B1458" s="73" t="str">
        <f>VLOOKUP(A1458,SÜRELER!A:B,2,0)</f>
        <v>S2S EDİSON REFLEKTÖR SOL</v>
      </c>
      <c r="C1458" s="57">
        <v>12</v>
      </c>
      <c r="D1458" s="58"/>
      <c r="E1458" s="59"/>
      <c r="G1458" t="str">
        <f t="shared" si="24"/>
        <v>15006150062131</v>
      </c>
    </row>
    <row r="1459" spans="1:7" ht="14.5" x14ac:dyDescent="0.35">
      <c r="A1459" s="107" t="s">
        <v>4886</v>
      </c>
      <c r="B1459" s="73" t="str">
        <f>VLOOKUP(A1459,SÜRELER!A:B,2,0)</f>
        <v>S2S EDİSON REFLEKTÖR SAG</v>
      </c>
      <c r="C1459" s="57">
        <v>12</v>
      </c>
      <c r="D1459" s="58"/>
      <c r="E1459" s="59"/>
      <c r="G1459" t="str">
        <f t="shared" si="24"/>
        <v>15006150062132</v>
      </c>
    </row>
    <row r="1460" spans="1:7" ht="14.5" x14ac:dyDescent="0.35">
      <c r="A1460" s="107" t="s">
        <v>4887</v>
      </c>
      <c r="B1460" s="73" t="e">
        <f>VLOOKUP(A1460,SÜRELER!A:B,2,0)</f>
        <v>#N/A</v>
      </c>
      <c r="C1460" s="57">
        <v>20</v>
      </c>
      <c r="D1460" s="58"/>
      <c r="E1460" s="59"/>
      <c r="G1460" t="str">
        <f t="shared" si="24"/>
        <v>1500615006100</v>
      </c>
    </row>
    <row r="1461" spans="1:7" ht="14.5" x14ac:dyDescent="0.35">
      <c r="A1461" s="107" t="s">
        <v>4888</v>
      </c>
      <c r="B1461" s="73" t="e">
        <f>VLOOKUP(A1461,SÜRELER!A:B,2,0)</f>
        <v>#N/A</v>
      </c>
      <c r="C1461" s="57">
        <v>20</v>
      </c>
      <c r="D1461" s="58"/>
      <c r="E1461" s="59"/>
      <c r="G1461" t="str">
        <f t="shared" si="24"/>
        <v>1500615006101</v>
      </c>
    </row>
    <row r="1462" spans="1:7" ht="14.5" x14ac:dyDescent="0.35">
      <c r="A1462" s="107" t="s">
        <v>4889</v>
      </c>
      <c r="B1462" s="73" t="str">
        <f>VLOOKUP(A1462,SÜRELER!A:B,2,0)</f>
        <v>X 1320 REFLEKTÖR SOL</v>
      </c>
      <c r="C1462" s="57">
        <v>2</v>
      </c>
      <c r="D1462" s="58"/>
      <c r="E1462" s="59"/>
      <c r="G1462" t="str">
        <f t="shared" si="24"/>
        <v>15006150062186</v>
      </c>
    </row>
    <row r="1463" spans="1:7" ht="14.5" x14ac:dyDescent="0.35">
      <c r="A1463" s="107" t="s">
        <v>4890</v>
      </c>
      <c r="B1463" s="73" t="str">
        <f>VLOOKUP(A1463,SÜRELER!A:B,2,0)</f>
        <v>X 1320 REFLEKTÖR SAG</v>
      </c>
      <c r="C1463" s="57">
        <v>2</v>
      </c>
      <c r="D1463" s="58"/>
      <c r="E1463" s="59"/>
      <c r="G1463" t="str">
        <f t="shared" si="24"/>
        <v>15006150062187</v>
      </c>
    </row>
    <row r="1464" spans="1:7" ht="14.5" x14ac:dyDescent="0.35">
      <c r="A1464" s="107" t="s">
        <v>4891</v>
      </c>
      <c r="B1464" s="73" t="str">
        <f>VLOOKUP(A1464,SÜRELER!A:B,2,0)</f>
        <v>S205 BAGAJ GÖVDE SOL</v>
      </c>
      <c r="C1464" s="57">
        <v>11</v>
      </c>
      <c r="D1464" s="58"/>
      <c r="E1464" s="59"/>
      <c r="G1464" t="str">
        <f t="shared" si="24"/>
        <v>15006150062037</v>
      </c>
    </row>
    <row r="1465" spans="1:7" ht="14.5" x14ac:dyDescent="0.35">
      <c r="A1465" s="107" t="s">
        <v>4892</v>
      </c>
      <c r="B1465" s="73" t="str">
        <f>VLOOKUP(A1465,SÜRELER!A:B,2,0)</f>
        <v>S205 BAGAJ GÖVDE SAG</v>
      </c>
      <c r="C1465" s="57">
        <v>11</v>
      </c>
      <c r="D1465" s="58"/>
      <c r="E1465" s="59"/>
      <c r="G1465" t="str">
        <f t="shared" si="24"/>
        <v>15006150062039</v>
      </c>
    </row>
    <row r="1466" spans="1:7" ht="14.5" x14ac:dyDescent="0.35">
      <c r="A1466" s="107" t="s">
        <v>4893</v>
      </c>
      <c r="B1466" s="73" t="str">
        <f>VLOOKUP(A1466,SÜRELER!A:B,2,0)</f>
        <v>C590 Light Guide 1 FEP L</v>
      </c>
      <c r="C1466" s="57">
        <v>15</v>
      </c>
      <c r="D1466" s="58"/>
      <c r="E1466" s="59"/>
      <c r="G1466" t="str">
        <f t="shared" si="24"/>
        <v>15006150062189</v>
      </c>
    </row>
    <row r="1467" spans="1:7" ht="14.5" x14ac:dyDescent="0.35">
      <c r="A1467" s="107" t="s">
        <v>4894</v>
      </c>
      <c r="B1467" s="73" t="str">
        <f>VLOOKUP(A1467,SÜRELER!A:B,2,0)</f>
        <v>C590 Light Guide 1 FEP R</v>
      </c>
      <c r="C1467" s="57">
        <v>15</v>
      </c>
      <c r="D1467" s="58"/>
      <c r="E1467" s="59"/>
      <c r="G1467" t="str">
        <f t="shared" si="24"/>
        <v>15006150062190</v>
      </c>
    </row>
    <row r="1468" spans="1:7" ht="14.5" x14ac:dyDescent="0.35">
      <c r="A1468" s="107" t="s">
        <v>4895</v>
      </c>
      <c r="B1468" s="73" t="str">
        <f>VLOOKUP(A1468,SÜRELER!A:B,2,0)</f>
        <v>C590 Light Guide 2 FEP L</v>
      </c>
      <c r="C1468" s="57">
        <v>15</v>
      </c>
      <c r="D1468" s="58"/>
      <c r="E1468" s="59"/>
      <c r="G1468" t="str">
        <f t="shared" si="24"/>
        <v>15006150062191</v>
      </c>
    </row>
    <row r="1469" spans="1:7" ht="14.5" x14ac:dyDescent="0.35">
      <c r="A1469" s="107" t="s">
        <v>4896</v>
      </c>
      <c r="B1469" s="73" t="str">
        <f>VLOOKUP(A1469,SÜRELER!A:B,2,0)</f>
        <v>C590 Light Guide 2 FEP R</v>
      </c>
      <c r="C1469" s="57">
        <v>15</v>
      </c>
      <c r="D1469" s="58"/>
      <c r="E1469" s="59"/>
      <c r="G1469" t="str">
        <f t="shared" si="24"/>
        <v>15006150062192</v>
      </c>
    </row>
    <row r="1470" spans="1:7" ht="14.5" x14ac:dyDescent="0.35">
      <c r="A1470" s="107" t="s">
        <v>4897</v>
      </c>
      <c r="B1470" s="73" t="e">
        <f>VLOOKUP(A1470,SÜRELER!A:B,2,0)</f>
        <v>#N/A</v>
      </c>
      <c r="C1470" s="57">
        <v>10</v>
      </c>
      <c r="D1470" s="58"/>
      <c r="E1470" s="59"/>
      <c r="G1470" t="str">
        <f t="shared" si="24"/>
        <v>1500615006686</v>
      </c>
    </row>
    <row r="1471" spans="1:7" ht="14.5" x14ac:dyDescent="0.35">
      <c r="A1471" s="107" t="s">
        <v>4898</v>
      </c>
      <c r="B1471" s="73" t="str">
        <f>VLOOKUP(A1471,SÜRELER!A:B,2,0)</f>
        <v>S205 BAGAJ GÖVDE SOL</v>
      </c>
      <c r="C1471" s="57">
        <v>10</v>
      </c>
      <c r="D1471" s="58"/>
      <c r="E1471" s="59"/>
      <c r="G1471" t="str">
        <f t="shared" si="24"/>
        <v>15006150061967</v>
      </c>
    </row>
    <row r="1472" spans="1:7" ht="14.5" x14ac:dyDescent="0.35">
      <c r="A1472" s="107" t="s">
        <v>4899</v>
      </c>
      <c r="B1472" s="73" t="str">
        <f>VLOOKUP(A1472,SÜRELER!A:B,2,0)</f>
        <v>S205 BAGAJ GÖVDE SAG</v>
      </c>
      <c r="C1472" s="57">
        <v>10</v>
      </c>
      <c r="D1472" s="58"/>
      <c r="E1472" s="59"/>
      <c r="G1472" t="str">
        <f t="shared" si="24"/>
        <v>15006150061968</v>
      </c>
    </row>
    <row r="1473" spans="1:7" ht="14.5" x14ac:dyDescent="0.35">
      <c r="A1473" s="107" t="s">
        <v>4900</v>
      </c>
      <c r="B1473" s="73" t="str">
        <f>VLOOKUP(A1473,SÜRELER!A:B,2,0)</f>
        <v>Cover Gövde Sol unistop3 ICA</v>
      </c>
      <c r="C1473" s="57">
        <v>3</v>
      </c>
      <c r="D1473" s="58"/>
      <c r="E1473" s="59"/>
      <c r="F1473" s="116"/>
      <c r="G1473" t="str">
        <f t="shared" si="24"/>
        <v>15006150061358</v>
      </c>
    </row>
    <row r="1474" spans="1:7" ht="14.5" x14ac:dyDescent="0.35">
      <c r="A1474" s="107" t="s">
        <v>4901</v>
      </c>
      <c r="B1474" s="73" t="str">
        <f>VLOOKUP(A1474,SÜRELER!A:B,2,0)</f>
        <v>Cover Gövde Sağ unistop3 ICA</v>
      </c>
      <c r="C1474" s="57">
        <v>3</v>
      </c>
      <c r="D1474" s="58"/>
      <c r="E1474" s="59"/>
      <c r="F1474" s="116"/>
      <c r="G1474" t="str">
        <f t="shared" si="24"/>
        <v>15006150061359</v>
      </c>
    </row>
    <row r="1475" spans="1:7" ht="14.5" x14ac:dyDescent="0.35">
      <c r="A1475" s="107" t="s">
        <v>4902</v>
      </c>
      <c r="B1475" s="73" t="str">
        <f>VLOOKUP(A1475,SÜRELER!A:B,2,0)</f>
        <v>REFLEKTOR,SOL,BRL-TI,SEAT,ÇAMURLUK</v>
      </c>
      <c r="C1475" s="57">
        <v>3</v>
      </c>
      <c r="D1475" s="58"/>
      <c r="E1475" s="59"/>
      <c r="F1475" s="116"/>
      <c r="G1475" t="str">
        <f t="shared" si="24"/>
        <v>15006150062054</v>
      </c>
    </row>
    <row r="1476" spans="1:7" ht="14.5" x14ac:dyDescent="0.35">
      <c r="A1476" s="107" t="s">
        <v>4903</v>
      </c>
      <c r="B1476" s="73" t="str">
        <f>VLOOKUP(A1476,SÜRELER!A:B,2,0)</f>
        <v>REFLEKTOR,SAĞ,BRL-TI,SEAT,ÇAMURLUK</v>
      </c>
      <c r="C1476" s="57">
        <v>3</v>
      </c>
      <c r="D1476" s="58"/>
      <c r="E1476" s="59"/>
      <c r="F1476" s="116"/>
      <c r="G1476" t="str">
        <f t="shared" si="24"/>
        <v>15006150062055</v>
      </c>
    </row>
    <row r="1477" spans="1:7" ht="14.5" x14ac:dyDescent="0.35">
      <c r="A1477" s="107" t="s">
        <v>4904</v>
      </c>
      <c r="B1477" s="73" t="str">
        <f>VLOOKUP(A1477,SÜRELER!A:B,2,0)</f>
        <v>Sis Kolimatör Unistop-5</v>
      </c>
      <c r="C1477" s="57">
        <v>3</v>
      </c>
      <c r="D1477" s="58"/>
      <c r="E1477" s="59"/>
      <c r="F1477" s="116"/>
      <c r="G1477" t="str">
        <f t="shared" si="24"/>
        <v>15006150062077</v>
      </c>
    </row>
    <row r="1478" spans="1:7" ht="14.5" x14ac:dyDescent="0.35">
      <c r="A1478" s="107" t="s">
        <v>4905</v>
      </c>
      <c r="B1478" s="73" t="str">
        <f>VLOOKUP(A1478,SÜRELER!A:B,2,0)</f>
        <v>F250 BI-LET DIŞ LENS</v>
      </c>
      <c r="C1478" s="57">
        <v>20</v>
      </c>
      <c r="D1478" s="58"/>
      <c r="E1478" s="59"/>
      <c r="G1478" t="str">
        <f t="shared" si="24"/>
        <v>15006150062204</v>
      </c>
    </row>
    <row r="1479" spans="1:7" ht="14.5" x14ac:dyDescent="0.35">
      <c r="A1479" s="107" t="s">
        <v>4906</v>
      </c>
      <c r="B1479" s="73" t="str">
        <f>VLOOKUP(A1479,SÜRELER!A:B,2,0)</f>
        <v>F250 LENS HOLDER</v>
      </c>
      <c r="C1479" s="57">
        <v>10</v>
      </c>
      <c r="D1479" s="58"/>
      <c r="E1479" s="59"/>
      <c r="G1479" t="str">
        <f t="shared" si="24"/>
        <v>15006150062203</v>
      </c>
    </row>
    <row r="1480" spans="1:7" ht="14.5" x14ac:dyDescent="0.35">
      <c r="A1480" s="107" t="s">
        <v>4877</v>
      </c>
      <c r="B1480" s="73" t="str">
        <f>VLOOKUP(A1480,SÜRELER!A:B,2,0)</f>
        <v xml:space="preserve">S 205 LIGHT  IŞIK TÜPÜ SOL </v>
      </c>
      <c r="C1480" s="57">
        <v>12</v>
      </c>
      <c r="D1480" s="58"/>
      <c r="E1480" s="59"/>
      <c r="G1480" t="str">
        <f t="shared" si="24"/>
        <v>15006150061581</v>
      </c>
    </row>
    <row r="1481" spans="1:7" ht="14.5" x14ac:dyDescent="0.35">
      <c r="A1481" s="107" t="s">
        <v>4878</v>
      </c>
      <c r="B1481" s="73" t="str">
        <f>VLOOKUP(A1481,SÜRELER!A:B,2,0)</f>
        <v>S 205 LIGHT  IŞIK TÜPÜ SAĞ</v>
      </c>
      <c r="C1481" s="57">
        <v>12</v>
      </c>
      <c r="D1481" s="58"/>
      <c r="E1481" s="59"/>
      <c r="G1481" t="str">
        <f t="shared" si="24"/>
        <v>15006150061582</v>
      </c>
    </row>
    <row r="1482" spans="1:7" ht="14.5" x14ac:dyDescent="0.35">
      <c r="A1482" s="107" t="s">
        <v>4907</v>
      </c>
      <c r="B1482" s="73" t="s">
        <v>3321</v>
      </c>
      <c r="C1482" s="57">
        <v>10</v>
      </c>
      <c r="D1482" s="58"/>
      <c r="E1482" s="59"/>
      <c r="G1482" t="str">
        <f t="shared" si="24"/>
        <v>15006150061587</v>
      </c>
    </row>
    <row r="1483" spans="1:7" ht="14.5" x14ac:dyDescent="0.35">
      <c r="A1483" s="107" t="s">
        <v>4908</v>
      </c>
      <c r="B1483" s="73" t="s">
        <v>3322</v>
      </c>
      <c r="C1483" s="57">
        <v>10</v>
      </c>
      <c r="D1483" s="58"/>
      <c r="E1483" s="59"/>
      <c r="G1483" t="str">
        <f t="shared" si="24"/>
        <v>15006150061588</v>
      </c>
    </row>
    <row r="1484" spans="1:7" ht="14.5" x14ac:dyDescent="0.35">
      <c r="A1484" s="107" t="s">
        <v>4909</v>
      </c>
      <c r="B1484" s="73" t="str">
        <f>VLOOKUP(A1484,SÜRELER!A:B,2,0)</f>
        <v>C590 2C Outer Cover L</v>
      </c>
      <c r="C1484" s="57">
        <v>14</v>
      </c>
      <c r="D1484" s="58"/>
      <c r="E1484" s="59"/>
      <c r="G1484" t="str">
        <f t="shared" si="24"/>
        <v>15006150062179</v>
      </c>
    </row>
    <row r="1485" spans="1:7" ht="14.5" x14ac:dyDescent="0.35">
      <c r="A1485" s="107" t="s">
        <v>4910</v>
      </c>
      <c r="B1485" s="73" t="str">
        <f>VLOOKUP(A1485,SÜRELER!A:B,2,0)</f>
        <v>C590 2C Outer Cover R</v>
      </c>
      <c r="C1485" s="57">
        <v>14</v>
      </c>
      <c r="D1485" s="58"/>
      <c r="E1485" s="59"/>
      <c r="G1485" t="str">
        <f t="shared" si="24"/>
        <v>15006150062180</v>
      </c>
    </row>
    <row r="1486" spans="1:7" ht="14.5" x14ac:dyDescent="0.35">
      <c r="A1486" s="107" t="s">
        <v>4911</v>
      </c>
      <c r="B1486" s="73" t="s">
        <v>3323</v>
      </c>
      <c r="C1486" s="57">
        <v>10</v>
      </c>
      <c r="D1486" s="58"/>
      <c r="E1486" s="59"/>
      <c r="G1486" t="str">
        <f t="shared" si="24"/>
        <v>15006150069823</v>
      </c>
    </row>
    <row r="1487" spans="1:7" ht="14.5" x14ac:dyDescent="0.35">
      <c r="A1487" s="107" t="s">
        <v>4912</v>
      </c>
      <c r="B1487" s="73" t="s">
        <v>3324</v>
      </c>
      <c r="C1487" s="57">
        <v>10</v>
      </c>
      <c r="D1487" s="58"/>
      <c r="E1487" s="59"/>
      <c r="G1487" t="str">
        <f t="shared" si="24"/>
        <v>15006150069824</v>
      </c>
    </row>
    <row r="1488" spans="1:7" ht="14.5" x14ac:dyDescent="0.35">
      <c r="A1488" s="107" t="s">
        <v>4897</v>
      </c>
      <c r="B1488" s="73" t="e">
        <f>VLOOKUP(A1488,SÜRELER!A:B,2,0)</f>
        <v>#N/A</v>
      </c>
      <c r="C1488" s="57">
        <v>10</v>
      </c>
      <c r="D1488" s="58"/>
      <c r="E1488" s="59"/>
      <c r="G1488" t="str">
        <f t="shared" si="24"/>
        <v>1500615006686</v>
      </c>
    </row>
    <row r="1489" spans="1:7" ht="14.5" x14ac:dyDescent="0.35">
      <c r="A1489" s="107" t="s">
        <v>4855</v>
      </c>
      <c r="B1489" s="73" t="s">
        <v>3331</v>
      </c>
      <c r="C1489" s="57">
        <v>12</v>
      </c>
      <c r="D1489" s="58"/>
      <c r="E1489" s="59"/>
      <c r="G1489" t="str">
        <f t="shared" si="24"/>
        <v>15006150061977</v>
      </c>
    </row>
    <row r="1490" spans="1:7" ht="14.5" x14ac:dyDescent="0.35">
      <c r="A1490" s="107" t="s">
        <v>4856</v>
      </c>
      <c r="B1490" s="73" t="s">
        <v>3331</v>
      </c>
      <c r="C1490" s="57">
        <v>12</v>
      </c>
      <c r="D1490" s="58"/>
      <c r="E1490" s="59"/>
      <c r="G1490" t="str">
        <f t="shared" si="24"/>
        <v>15006150061978</v>
      </c>
    </row>
    <row r="1491" spans="1:7" ht="14.5" x14ac:dyDescent="0.35">
      <c r="A1491" s="107" t="s">
        <v>4913</v>
      </c>
      <c r="B1491" s="73" t="s">
        <v>3332</v>
      </c>
      <c r="C1491" s="57">
        <v>12</v>
      </c>
      <c r="D1491" s="58"/>
      <c r="E1491" s="59"/>
      <c r="G1491" t="str">
        <f t="shared" si="24"/>
        <v>15006150061979</v>
      </c>
    </row>
    <row r="1492" spans="1:7" ht="14.5" x14ac:dyDescent="0.35">
      <c r="A1492" s="107" t="s">
        <v>4914</v>
      </c>
      <c r="B1492" s="73" t="s">
        <v>3332</v>
      </c>
      <c r="C1492" s="57">
        <v>12</v>
      </c>
      <c r="D1492" s="58"/>
      <c r="E1492" s="59"/>
      <c r="G1492" t="str">
        <f t="shared" si="24"/>
        <v>15006150061980</v>
      </c>
    </row>
    <row r="1493" spans="1:7" ht="14.5" x14ac:dyDescent="0.35">
      <c r="A1493" s="107" t="s">
        <v>4915</v>
      </c>
      <c r="B1493" s="73" t="s">
        <v>3333</v>
      </c>
      <c r="C1493" s="57">
        <v>10</v>
      </c>
      <c r="D1493" s="58"/>
      <c r="E1493" s="59"/>
      <c r="G1493" t="str">
        <f t="shared" si="24"/>
        <v>15006150062098</v>
      </c>
    </row>
    <row r="1494" spans="1:7" ht="14.5" x14ac:dyDescent="0.35">
      <c r="A1494" s="107" t="s">
        <v>4916</v>
      </c>
      <c r="B1494" s="73" t="s">
        <v>3334</v>
      </c>
      <c r="C1494" s="57">
        <v>10</v>
      </c>
      <c r="D1494" s="58"/>
      <c r="E1494" s="59"/>
      <c r="G1494" t="str">
        <f t="shared" si="24"/>
        <v>15006150062099</v>
      </c>
    </row>
    <row r="1495" spans="1:7" ht="14.5" x14ac:dyDescent="0.35">
      <c r="A1495" s="107" t="s">
        <v>4917</v>
      </c>
      <c r="B1495" s="73" t="s">
        <v>3335</v>
      </c>
      <c r="C1495" s="57">
        <v>12</v>
      </c>
      <c r="D1495" s="58"/>
      <c r="E1495" s="59"/>
      <c r="G1495" t="str">
        <f t="shared" si="24"/>
        <v>15006150061571</v>
      </c>
    </row>
    <row r="1496" spans="1:7" ht="14.5" x14ac:dyDescent="0.35">
      <c r="A1496" s="107" t="s">
        <v>4918</v>
      </c>
      <c r="B1496" s="73" t="s">
        <v>3336</v>
      </c>
      <c r="C1496" s="57">
        <v>12</v>
      </c>
      <c r="D1496" s="58"/>
      <c r="E1496" s="59"/>
      <c r="G1496" t="str">
        <f t="shared" ref="G1496:G1520" si="25">CONCATENATE($F$471,A1496,)</f>
        <v>15006150061572</v>
      </c>
    </row>
    <row r="1497" spans="1:7" ht="14.5" x14ac:dyDescent="0.35">
      <c r="A1497" s="107" t="s">
        <v>4919</v>
      </c>
      <c r="B1497" s="73" t="s">
        <v>3337</v>
      </c>
      <c r="C1497" s="57">
        <v>12</v>
      </c>
      <c r="D1497" s="58"/>
      <c r="E1497" s="59"/>
      <c r="G1497" t="str">
        <f t="shared" si="25"/>
        <v>15006150062027</v>
      </c>
    </row>
    <row r="1498" spans="1:7" ht="14.5" x14ac:dyDescent="0.35">
      <c r="A1498" s="107" t="s">
        <v>4920</v>
      </c>
      <c r="B1498" s="73" t="s">
        <v>3338</v>
      </c>
      <c r="C1498" s="57">
        <v>12</v>
      </c>
      <c r="D1498" s="58"/>
      <c r="E1498" s="59"/>
      <c r="G1498" t="str">
        <f t="shared" si="25"/>
        <v>15006150062028</v>
      </c>
    </row>
    <row r="1499" spans="1:7" ht="14.5" x14ac:dyDescent="0.35">
      <c r="A1499" s="107" t="s">
        <v>4921</v>
      </c>
      <c r="B1499" s="73" t="s">
        <v>3340</v>
      </c>
      <c r="C1499" s="57">
        <v>10</v>
      </c>
      <c r="D1499" s="58"/>
      <c r="E1499" s="59"/>
      <c r="G1499" t="str">
        <f t="shared" si="25"/>
        <v>15006150062208</v>
      </c>
    </row>
    <row r="1500" spans="1:7" ht="14.5" x14ac:dyDescent="0.35">
      <c r="A1500" s="107" t="s">
        <v>4922</v>
      </c>
      <c r="B1500" s="73" t="s">
        <v>3339</v>
      </c>
      <c r="C1500" s="57">
        <v>10</v>
      </c>
      <c r="D1500" s="58"/>
      <c r="E1500" s="59"/>
      <c r="G1500" t="str">
        <f t="shared" si="25"/>
        <v>15006150062209</v>
      </c>
    </row>
    <row r="1501" spans="1:7" ht="14.5" x14ac:dyDescent="0.35">
      <c r="A1501" s="107" t="s">
        <v>4923</v>
      </c>
      <c r="B1501" s="73" t="s">
        <v>3341</v>
      </c>
      <c r="C1501" s="57">
        <v>12</v>
      </c>
      <c r="D1501" s="58"/>
      <c r="E1501" s="59"/>
      <c r="G1501" t="str">
        <f t="shared" si="25"/>
        <v>150061500697</v>
      </c>
    </row>
    <row r="1502" spans="1:7" ht="14.5" x14ac:dyDescent="0.35">
      <c r="A1502" s="107" t="s">
        <v>4924</v>
      </c>
      <c r="B1502" s="73" t="e">
        <f>VLOOKUP(A1502,SÜRELER!A:B,2,0)</f>
        <v>#N/A</v>
      </c>
      <c r="C1502" s="57">
        <v>12</v>
      </c>
      <c r="D1502" s="58"/>
      <c r="E1502" s="59"/>
      <c r="G1502" t="str">
        <f t="shared" si="25"/>
        <v>150061500696</v>
      </c>
    </row>
    <row r="1503" spans="1:7" ht="14.5" x14ac:dyDescent="0.35">
      <c r="A1503" s="107" t="s">
        <v>4925</v>
      </c>
      <c r="B1503" s="73" t="s">
        <v>3343</v>
      </c>
      <c r="C1503" s="57">
        <v>12</v>
      </c>
      <c r="D1503" s="58"/>
      <c r="E1503" s="59"/>
      <c r="G1503" t="str">
        <f t="shared" si="25"/>
        <v>1500615006102</v>
      </c>
    </row>
    <row r="1504" spans="1:7" ht="14.5" x14ac:dyDescent="0.35">
      <c r="A1504" s="107" t="s">
        <v>4926</v>
      </c>
      <c r="B1504" s="73" t="s">
        <v>3344</v>
      </c>
      <c r="C1504" s="57">
        <v>12</v>
      </c>
      <c r="D1504" s="58"/>
      <c r="E1504" s="59"/>
      <c r="G1504" t="str">
        <f t="shared" si="25"/>
        <v>1500615006103</v>
      </c>
    </row>
    <row r="1505" spans="1:7" ht="14.5" x14ac:dyDescent="0.35">
      <c r="A1505" s="107" t="s">
        <v>4927</v>
      </c>
      <c r="B1505" s="73" t="s">
        <v>3345</v>
      </c>
      <c r="C1505" s="57">
        <v>10</v>
      </c>
      <c r="D1505" s="58"/>
      <c r="E1505" s="59"/>
      <c r="G1505" t="str">
        <f t="shared" si="25"/>
        <v>15006150062143</v>
      </c>
    </row>
    <row r="1506" spans="1:7" ht="14.5" x14ac:dyDescent="0.35">
      <c r="A1506" s="107" t="s">
        <v>4928</v>
      </c>
      <c r="B1506" s="73" t="s">
        <v>3346</v>
      </c>
      <c r="C1506" s="57">
        <v>10</v>
      </c>
      <c r="D1506" s="58"/>
      <c r="E1506" s="59"/>
      <c r="G1506" t="str">
        <f t="shared" si="25"/>
        <v>15006150062144</v>
      </c>
    </row>
    <row r="1507" spans="1:7" ht="14.5" x14ac:dyDescent="0.35">
      <c r="A1507" s="107" t="s">
        <v>4887</v>
      </c>
      <c r="B1507" s="73" t="s">
        <v>3281</v>
      </c>
      <c r="C1507" s="57">
        <v>10</v>
      </c>
      <c r="D1507" s="58"/>
      <c r="E1507" s="59"/>
      <c r="G1507" t="str">
        <f t="shared" si="25"/>
        <v>1500615006100</v>
      </c>
    </row>
    <row r="1508" spans="1:7" ht="14.5" x14ac:dyDescent="0.35">
      <c r="A1508" s="107" t="s">
        <v>4888</v>
      </c>
      <c r="B1508" s="73" t="s">
        <v>3282</v>
      </c>
      <c r="C1508" s="57">
        <v>10</v>
      </c>
      <c r="D1508" s="58"/>
      <c r="E1508" s="59"/>
      <c r="G1508" t="str">
        <f t="shared" si="25"/>
        <v>1500615006101</v>
      </c>
    </row>
    <row r="1509" spans="1:7" ht="14.5" x14ac:dyDescent="0.35">
      <c r="A1509" s="107" t="s">
        <v>4893</v>
      </c>
      <c r="B1509" s="73" t="str">
        <f>VLOOKUP(A1509,SÜRELER!A:B,2,0)</f>
        <v>C590 Light Guide 1 FEP L</v>
      </c>
      <c r="C1509" s="57">
        <v>25</v>
      </c>
      <c r="D1509" s="58"/>
      <c r="E1509" s="59"/>
      <c r="G1509" t="str">
        <f t="shared" si="25"/>
        <v>15006150062189</v>
      </c>
    </row>
    <row r="1510" spans="1:7" ht="14.5" x14ac:dyDescent="0.35">
      <c r="A1510" s="107" t="s">
        <v>4894</v>
      </c>
      <c r="B1510" s="73" t="str">
        <f>VLOOKUP(A1510,SÜRELER!A:B,2,0)</f>
        <v>C590 Light Guide 1 FEP R</v>
      </c>
      <c r="C1510" s="57">
        <v>25</v>
      </c>
      <c r="D1510" s="58"/>
      <c r="E1510" s="59"/>
      <c r="G1510" t="str">
        <f t="shared" si="25"/>
        <v>15006150062190</v>
      </c>
    </row>
    <row r="1511" spans="1:7" ht="14.5" x14ac:dyDescent="0.35">
      <c r="A1511" s="107" t="s">
        <v>4895</v>
      </c>
      <c r="B1511" s="73" t="str">
        <f>VLOOKUP(A1511,SÜRELER!A:B,2,0)</f>
        <v>C590 Light Guide 2 FEP L</v>
      </c>
      <c r="C1511" s="57">
        <v>25</v>
      </c>
      <c r="D1511" s="58"/>
      <c r="E1511" s="59"/>
      <c r="G1511" t="str">
        <f t="shared" si="25"/>
        <v>15006150062191</v>
      </c>
    </row>
    <row r="1512" spans="1:7" ht="14.5" x14ac:dyDescent="0.35">
      <c r="A1512" s="107" t="s">
        <v>4896</v>
      </c>
      <c r="B1512" s="73" t="str">
        <f>VLOOKUP(A1512,SÜRELER!A:B,2,0)</f>
        <v>C590 Light Guide 2 FEP R</v>
      </c>
      <c r="C1512" s="57">
        <v>25</v>
      </c>
      <c r="D1512" s="58"/>
      <c r="E1512" s="59"/>
      <c r="G1512" t="str">
        <f t="shared" si="25"/>
        <v>15006150062192</v>
      </c>
    </row>
    <row r="1513" spans="1:7" ht="14.5" x14ac:dyDescent="0.35">
      <c r="A1513" s="107" t="s">
        <v>4897</v>
      </c>
      <c r="B1513" s="73" t="e">
        <f>VLOOKUP(A1513,SÜRELER!A:B,2,0)</f>
        <v>#N/A</v>
      </c>
      <c r="C1513" s="57">
        <v>10</v>
      </c>
      <c r="D1513" s="58"/>
      <c r="E1513" s="59"/>
      <c r="G1513" t="str">
        <f t="shared" si="25"/>
        <v>1500615006686</v>
      </c>
    </row>
    <row r="1514" spans="1:7" ht="14.5" x14ac:dyDescent="0.35">
      <c r="A1514" s="107" t="s">
        <v>4888</v>
      </c>
      <c r="B1514" s="73" t="e">
        <f>VLOOKUP(A1514,SÜRELER!A:B,2,0)</f>
        <v>#N/A</v>
      </c>
      <c r="C1514" s="57"/>
      <c r="D1514" s="58"/>
      <c r="E1514" s="59"/>
      <c r="G1514" t="str">
        <f t="shared" si="25"/>
        <v>1500615006101</v>
      </c>
    </row>
    <row r="1515" spans="1:7" ht="14.5" x14ac:dyDescent="0.35">
      <c r="A1515" s="107" t="s">
        <v>4887</v>
      </c>
      <c r="B1515" s="73" t="e">
        <f>VLOOKUP(A1515,SÜRELER!A:B,2,0)</f>
        <v>#N/A</v>
      </c>
      <c r="C1515" s="57"/>
      <c r="D1515" s="58"/>
      <c r="E1515" s="59"/>
      <c r="G1515" t="str">
        <f t="shared" si="25"/>
        <v>1500615006100</v>
      </c>
    </row>
    <row r="1516" spans="1:7" ht="14.5" x14ac:dyDescent="0.35">
      <c r="A1516" s="107" t="s">
        <v>4929</v>
      </c>
      <c r="B1516" s="73" t="s">
        <v>3390</v>
      </c>
      <c r="C1516" s="57">
        <v>12</v>
      </c>
      <c r="D1516" s="58"/>
      <c r="E1516" s="59"/>
      <c r="G1516" t="str">
        <f t="shared" si="25"/>
        <v>15006150062146</v>
      </c>
    </row>
    <row r="1517" spans="1:7" ht="14.5" x14ac:dyDescent="0.35">
      <c r="A1517" s="107" t="s">
        <v>4930</v>
      </c>
      <c r="B1517" s="73" t="s">
        <v>3391</v>
      </c>
      <c r="C1517" s="57">
        <v>12</v>
      </c>
      <c r="D1517" s="58"/>
      <c r="E1517" s="59"/>
      <c r="G1517" t="str">
        <f t="shared" si="25"/>
        <v>15006150062145</v>
      </c>
    </row>
    <row r="1518" spans="1:7" ht="14.5" x14ac:dyDescent="0.35">
      <c r="A1518" s="107" t="s">
        <v>4931</v>
      </c>
      <c r="B1518" s="73" t="s">
        <v>3395</v>
      </c>
      <c r="C1518" s="57">
        <v>20</v>
      </c>
      <c r="D1518" s="58"/>
      <c r="E1518" s="59"/>
      <c r="G1518" t="str">
        <f t="shared" si="25"/>
        <v>15006150061529</v>
      </c>
    </row>
    <row r="1519" spans="1:7" ht="14.5" x14ac:dyDescent="0.35">
      <c r="A1519" s="107" t="s">
        <v>4932</v>
      </c>
      <c r="B1519" s="73" t="s">
        <v>3396</v>
      </c>
      <c r="C1519" s="57">
        <v>20</v>
      </c>
      <c r="D1519" s="58"/>
      <c r="E1519" s="59"/>
      <c r="G1519" t="str">
        <f t="shared" si="25"/>
        <v>15006150061530</v>
      </c>
    </row>
    <row r="1520" spans="1:7" ht="14.5" x14ac:dyDescent="0.35">
      <c r="A1520" s="107" t="s">
        <v>4933</v>
      </c>
      <c r="B1520" s="125" t="s">
        <v>3417</v>
      </c>
      <c r="C1520" s="57">
        <v>20</v>
      </c>
      <c r="D1520" s="58"/>
      <c r="E1520" s="59"/>
      <c r="G1520" t="str">
        <f t="shared" si="25"/>
        <v>15006150069825</v>
      </c>
    </row>
    <row r="1521" spans="1:5" ht="14.5" x14ac:dyDescent="0.35">
      <c r="A1521" s="107"/>
      <c r="B1521" s="73" t="e">
        <f>VLOOKUP(A1521,SÜRELER!A:B,2,0)</f>
        <v>#N/A</v>
      </c>
      <c r="C1521" s="57"/>
      <c r="D1521" s="58"/>
      <c r="E1521" s="59"/>
    </row>
    <row r="1522" spans="1:5" ht="14.5" x14ac:dyDescent="0.35">
      <c r="A1522" s="107"/>
      <c r="B1522" s="73" t="e">
        <f>VLOOKUP(A1522,SÜRELER!A:B,2,0)</f>
        <v>#N/A</v>
      </c>
      <c r="C1522" s="57"/>
      <c r="D1522" s="58"/>
      <c r="E1522" s="59"/>
    </row>
    <row r="1523" spans="1:5" ht="14.5" x14ac:dyDescent="0.35">
      <c r="A1523" s="107"/>
      <c r="B1523" s="73" t="e">
        <f>VLOOKUP(A1523,SÜRELER!A:B,2,0)</f>
        <v>#N/A</v>
      </c>
      <c r="C1523" s="57"/>
      <c r="D1523" s="58"/>
      <c r="E1523" s="59"/>
    </row>
    <row r="1524" spans="1:5" ht="14.5" x14ac:dyDescent="0.35">
      <c r="A1524" s="107"/>
      <c r="B1524" s="73" t="e">
        <f>VLOOKUP(A1524,SÜRELER!A:B,2,0)</f>
        <v>#N/A</v>
      </c>
      <c r="C1524" s="57"/>
      <c r="D1524" s="58"/>
      <c r="E1524" s="59"/>
    </row>
    <row r="1525" spans="1:5" ht="14.5" x14ac:dyDescent="0.35">
      <c r="A1525" s="107"/>
      <c r="B1525" s="73" t="e">
        <f>VLOOKUP(A1525,SÜRELER!A:B,2,0)</f>
        <v>#N/A</v>
      </c>
      <c r="C1525" s="57"/>
      <c r="D1525" s="58"/>
      <c r="E1525" s="59"/>
    </row>
    <row r="1526" spans="1:5" ht="14.5" x14ac:dyDescent="0.35">
      <c r="A1526" s="107"/>
      <c r="B1526" s="73" t="e">
        <f>VLOOKUP(A1526,SÜRELER!A:B,2,0)</f>
        <v>#N/A</v>
      </c>
      <c r="C1526" s="57"/>
      <c r="D1526" s="58"/>
      <c r="E1526" s="59"/>
    </row>
    <row r="1527" spans="1:5" ht="14.5" x14ac:dyDescent="0.35">
      <c r="A1527" s="107"/>
      <c r="B1527" s="73" t="e">
        <f>VLOOKUP(A1527,SÜRELER!A:B,2,0)</f>
        <v>#N/A</v>
      </c>
      <c r="C1527" s="57"/>
      <c r="D1527" s="58"/>
      <c r="E1527" s="59"/>
    </row>
    <row r="1528" spans="1:5" ht="14.5" x14ac:dyDescent="0.35">
      <c r="A1528" s="107"/>
      <c r="B1528" s="73" t="e">
        <f>VLOOKUP(A1528,SÜRELER!A:B,2,0)</f>
        <v>#N/A</v>
      </c>
      <c r="C1528" s="57"/>
      <c r="D1528" s="58"/>
      <c r="E1528" s="59"/>
    </row>
    <row r="1529" spans="1:5" ht="14.5" x14ac:dyDescent="0.35">
      <c r="A1529" s="107"/>
      <c r="B1529" s="73" t="e">
        <f>VLOOKUP(A1529,SÜRELER!A:B,2,0)</f>
        <v>#N/A</v>
      </c>
      <c r="C1529" s="57"/>
      <c r="D1529" s="58"/>
      <c r="E1529" s="59"/>
    </row>
    <row r="1530" spans="1:5" ht="14.5" x14ac:dyDescent="0.35">
      <c r="A1530" s="107"/>
      <c r="B1530" s="73" t="e">
        <f>VLOOKUP(A1530,SÜRELER!A:B,2,0)</f>
        <v>#N/A</v>
      </c>
      <c r="C1530" s="57"/>
      <c r="D1530" s="58"/>
      <c r="E1530" s="59"/>
    </row>
    <row r="1531" spans="1:5" ht="14.5" x14ac:dyDescent="0.35">
      <c r="A1531" s="107"/>
      <c r="B1531" s="73" t="e">
        <f>VLOOKUP(A1531,SÜRELER!A:B,2,0)</f>
        <v>#N/A</v>
      </c>
      <c r="C1531" s="57"/>
      <c r="D1531" s="58"/>
      <c r="E1531" s="59"/>
    </row>
    <row r="1532" spans="1:5" ht="14.5" x14ac:dyDescent="0.35">
      <c r="A1532" s="107"/>
      <c r="B1532" s="73" t="e">
        <f>VLOOKUP(A1532,SÜRELER!A:B,2,0)</f>
        <v>#N/A</v>
      </c>
      <c r="C1532" s="57"/>
      <c r="D1532" s="58"/>
      <c r="E1532" s="59"/>
    </row>
    <row r="1533" spans="1:5" ht="14.5" x14ac:dyDescent="0.35">
      <c r="A1533" s="107"/>
      <c r="B1533" s="73" t="e">
        <f>VLOOKUP(A1533,SÜRELER!A:B,2,0)</f>
        <v>#N/A</v>
      </c>
      <c r="C1533" s="57"/>
      <c r="D1533" s="58"/>
      <c r="E1533" s="59"/>
    </row>
    <row r="1534" spans="1:5" ht="14.5" x14ac:dyDescent="0.35">
      <c r="A1534" s="107"/>
      <c r="B1534" s="73" t="e">
        <f>VLOOKUP(A1534,SÜRELER!A:B,2,0)</f>
        <v>#N/A</v>
      </c>
      <c r="C1534" s="57"/>
      <c r="D1534" s="58"/>
      <c r="E1534" s="59"/>
    </row>
    <row r="1535" spans="1:5" ht="14.5" x14ac:dyDescent="0.35">
      <c r="A1535" s="107"/>
      <c r="B1535" s="73" t="e">
        <f>VLOOKUP(A1535,SÜRELER!A:B,2,0)</f>
        <v>#N/A</v>
      </c>
      <c r="C1535" s="57"/>
      <c r="D1535" s="58"/>
      <c r="E1535" s="59"/>
    </row>
    <row r="1536" spans="1:5" ht="14.5" x14ac:dyDescent="0.35">
      <c r="A1536" s="107"/>
      <c r="B1536" s="73" t="e">
        <f>VLOOKUP(A1536,SÜRELER!A:B,2,0)</f>
        <v>#N/A</v>
      </c>
      <c r="C1536" s="57"/>
      <c r="D1536" s="58"/>
      <c r="E1536" s="59"/>
    </row>
    <row r="1537" spans="1:5" ht="14.5" x14ac:dyDescent="0.35">
      <c r="A1537" s="107"/>
      <c r="B1537" s="73" t="e">
        <f>VLOOKUP(A1537,SÜRELER!A:B,2,0)</f>
        <v>#N/A</v>
      </c>
      <c r="C1537" s="57"/>
      <c r="D1537" s="58"/>
      <c r="E1537" s="59"/>
    </row>
    <row r="1538" spans="1:5" ht="14.5" x14ac:dyDescent="0.35">
      <c r="A1538" s="107"/>
      <c r="B1538" s="73" t="e">
        <f>VLOOKUP(A1538,SÜRELER!A:B,2,0)</f>
        <v>#N/A</v>
      </c>
      <c r="C1538" s="57"/>
      <c r="D1538" s="58"/>
      <c r="E1538" s="59"/>
    </row>
    <row r="1539" spans="1:5" ht="14.5" x14ac:dyDescent="0.35">
      <c r="A1539" s="107"/>
      <c r="B1539" s="73" t="e">
        <f>VLOOKUP(A1539,SÜRELER!A:B,2,0)</f>
        <v>#N/A</v>
      </c>
      <c r="C1539" s="57"/>
      <c r="D1539" s="58"/>
      <c r="E1539" s="59"/>
    </row>
    <row r="1540" spans="1:5" ht="14.5" x14ac:dyDescent="0.35">
      <c r="A1540" s="107"/>
      <c r="B1540" s="73" t="e">
        <f>VLOOKUP(A1540,SÜRELER!A:B,2,0)</f>
        <v>#N/A</v>
      </c>
      <c r="C1540" s="57"/>
      <c r="D1540" s="58"/>
      <c r="E1540" s="59"/>
    </row>
    <row r="1541" spans="1:5" ht="14.5" x14ac:dyDescent="0.35">
      <c r="A1541" s="107"/>
      <c r="B1541" s="73" t="e">
        <f>VLOOKUP(A1541,SÜRELER!A:B,2,0)</f>
        <v>#N/A</v>
      </c>
      <c r="C1541" s="57"/>
      <c r="D1541" s="58"/>
      <c r="E1541" s="59"/>
    </row>
    <row r="1542" spans="1:5" ht="14.5" x14ac:dyDescent="0.35">
      <c r="A1542" s="107"/>
      <c r="B1542" s="73" t="e">
        <f>VLOOKUP(A1542,SÜRELER!A:B,2,0)</f>
        <v>#N/A</v>
      </c>
      <c r="C1542" s="57"/>
      <c r="D1542" s="58"/>
      <c r="E1542" s="59"/>
    </row>
    <row r="1543" spans="1:5" ht="14.5" x14ac:dyDescent="0.35">
      <c r="A1543" s="107"/>
      <c r="B1543" s="73" t="e">
        <f>VLOOKUP(A1543,SÜRELER!A:B,2,0)</f>
        <v>#N/A</v>
      </c>
      <c r="C1543" s="57"/>
      <c r="D1543" s="58"/>
      <c r="E1543" s="59"/>
    </row>
    <row r="1544" spans="1:5" ht="14.5" x14ac:dyDescent="0.35">
      <c r="A1544" s="107"/>
      <c r="B1544" s="73" t="e">
        <f>VLOOKUP(A1544,SÜRELER!A:B,2,0)</f>
        <v>#N/A</v>
      </c>
      <c r="C1544" s="57"/>
      <c r="D1544" s="58"/>
      <c r="E1544" s="59"/>
    </row>
    <row r="1545" spans="1:5" ht="14.5" x14ac:dyDescent="0.35">
      <c r="A1545" s="107"/>
      <c r="B1545" s="73" t="e">
        <f>VLOOKUP(A1545,SÜRELER!A:B,2,0)</f>
        <v>#N/A</v>
      </c>
      <c r="C1545" s="57"/>
      <c r="D1545" s="58"/>
      <c r="E1545" s="59"/>
    </row>
    <row r="1546" spans="1:5" ht="14.5" x14ac:dyDescent="0.35">
      <c r="A1546" s="107"/>
      <c r="B1546" s="73" t="e">
        <f>VLOOKUP(A1546,SÜRELER!A:B,2,0)</f>
        <v>#N/A</v>
      </c>
      <c r="C1546" s="57"/>
      <c r="D1546" s="58"/>
      <c r="E1546" s="59"/>
    </row>
    <row r="1547" spans="1:5" ht="14.5" x14ac:dyDescent="0.35">
      <c r="A1547" s="107"/>
      <c r="B1547" s="73" t="e">
        <f>VLOOKUP(A1547,SÜRELER!A:B,2,0)</f>
        <v>#N/A</v>
      </c>
      <c r="C1547" s="57"/>
      <c r="D1547" s="58"/>
      <c r="E1547" s="59"/>
    </row>
    <row r="1548" spans="1:5" ht="14.5" x14ac:dyDescent="0.35">
      <c r="A1548" s="107"/>
      <c r="B1548" s="73" t="e">
        <f>VLOOKUP(A1548,SÜRELER!A:B,2,0)</f>
        <v>#N/A</v>
      </c>
      <c r="C1548" s="57"/>
      <c r="D1548" s="58"/>
      <c r="E1548" s="59"/>
    </row>
    <row r="1549" spans="1:5" ht="14.5" x14ac:dyDescent="0.35">
      <c r="A1549" s="107"/>
      <c r="B1549" s="73" t="e">
        <f>VLOOKUP(A1549,SÜRELER!A:B,2,0)</f>
        <v>#N/A</v>
      </c>
      <c r="C1549" s="57"/>
      <c r="D1549" s="58"/>
      <c r="E1549" s="59"/>
    </row>
    <row r="1550" spans="1:5" ht="14.5" x14ac:dyDescent="0.35">
      <c r="A1550" s="107"/>
      <c r="B1550" s="73" t="e">
        <f>VLOOKUP(A1550,SÜRELER!A:B,2,0)</f>
        <v>#N/A</v>
      </c>
      <c r="C1550" s="57"/>
      <c r="D1550" s="58"/>
      <c r="E1550" s="59"/>
    </row>
    <row r="1551" spans="1:5" ht="14.5" x14ac:dyDescent="0.35">
      <c r="A1551" s="107"/>
      <c r="B1551" s="73" t="e">
        <f>VLOOKUP(A1551,SÜRELER!A:B,2,0)</f>
        <v>#N/A</v>
      </c>
      <c r="C1551" s="57"/>
      <c r="D1551" s="58"/>
      <c r="E1551" s="59"/>
    </row>
    <row r="1552" spans="1:5" ht="14.5" x14ac:dyDescent="0.35">
      <c r="A1552" s="107"/>
      <c r="B1552" s="73" t="e">
        <f>VLOOKUP(A1552,SÜRELER!A:B,2,0)</f>
        <v>#N/A</v>
      </c>
      <c r="C1552" s="57"/>
      <c r="D1552" s="58"/>
      <c r="E1552" s="59"/>
    </row>
    <row r="1553" spans="1:5" ht="14.5" x14ac:dyDescent="0.35">
      <c r="A1553" s="107"/>
      <c r="B1553" s="73" t="e">
        <f>VLOOKUP(A1553,SÜRELER!A:B,2,0)</f>
        <v>#N/A</v>
      </c>
      <c r="C1553" s="57"/>
      <c r="D1553" s="58"/>
      <c r="E1553" s="59"/>
    </row>
    <row r="1554" spans="1:5" ht="14.5" x14ac:dyDescent="0.35">
      <c r="A1554" s="107"/>
      <c r="B1554" s="73" t="e">
        <f>VLOOKUP(A1554,SÜRELER!A:B,2,0)</f>
        <v>#N/A</v>
      </c>
      <c r="C1554" s="57"/>
      <c r="D1554" s="58"/>
      <c r="E1554" s="59"/>
    </row>
    <row r="1555" spans="1:5" ht="14.5" x14ac:dyDescent="0.35">
      <c r="A1555" s="107"/>
      <c r="B1555" s="73" t="e">
        <f>VLOOKUP(A1555,SÜRELER!A:B,2,0)</f>
        <v>#N/A</v>
      </c>
      <c r="C1555" s="57"/>
      <c r="D1555" s="58"/>
      <c r="E1555" s="59"/>
    </row>
    <row r="1556" spans="1:5" ht="14.5" x14ac:dyDescent="0.35">
      <c r="A1556" s="107"/>
      <c r="B1556" s="73" t="e">
        <f>VLOOKUP(A1556,SÜRELER!A:B,2,0)</f>
        <v>#N/A</v>
      </c>
      <c r="C1556" s="57"/>
      <c r="D1556" s="58"/>
      <c r="E1556" s="59"/>
    </row>
    <row r="1557" spans="1:5" ht="14.5" x14ac:dyDescent="0.35">
      <c r="A1557" s="107"/>
      <c r="B1557" s="73" t="e">
        <f>VLOOKUP(A1557,SÜRELER!A:B,2,0)</f>
        <v>#N/A</v>
      </c>
      <c r="C1557" s="57"/>
      <c r="D1557" s="58"/>
      <c r="E1557" s="59"/>
    </row>
    <row r="1558" spans="1:5" ht="14.5" x14ac:dyDescent="0.35">
      <c r="A1558" s="107"/>
      <c r="B1558" s="73" t="e">
        <f>VLOOKUP(A1558,SÜRELER!A:B,2,0)</f>
        <v>#N/A</v>
      </c>
      <c r="C1558" s="57"/>
      <c r="D1558" s="58"/>
      <c r="E1558" s="59"/>
    </row>
    <row r="1559" spans="1:5" ht="14.5" x14ac:dyDescent="0.35">
      <c r="A1559" s="107"/>
      <c r="B1559" s="73" t="e">
        <f>VLOOKUP(A1559,SÜRELER!A:B,2,0)</f>
        <v>#N/A</v>
      </c>
      <c r="C1559" s="57"/>
      <c r="D1559" s="58"/>
      <c r="E1559" s="59"/>
    </row>
    <row r="1560" spans="1:5" ht="14.5" x14ac:dyDescent="0.35">
      <c r="A1560" s="107"/>
      <c r="B1560" s="73" t="e">
        <f>VLOOKUP(A1560,SÜRELER!A:B,2,0)</f>
        <v>#N/A</v>
      </c>
      <c r="C1560" s="57"/>
      <c r="D1560" s="58"/>
      <c r="E1560" s="59"/>
    </row>
    <row r="1561" spans="1:5" ht="14.5" x14ac:dyDescent="0.35">
      <c r="A1561" s="107"/>
      <c r="B1561" s="73" t="e">
        <f>VLOOKUP(A1561,SÜRELER!A:B,2,0)</f>
        <v>#N/A</v>
      </c>
      <c r="C1561" s="57"/>
      <c r="D1561" s="58"/>
      <c r="E1561" s="59"/>
    </row>
    <row r="1562" spans="1:5" ht="14.5" x14ac:dyDescent="0.35">
      <c r="A1562" s="107"/>
      <c r="B1562" s="73" t="e">
        <f>VLOOKUP(A1562,SÜRELER!A:B,2,0)</f>
        <v>#N/A</v>
      </c>
      <c r="C1562" s="57"/>
      <c r="D1562" s="58"/>
      <c r="E1562" s="59"/>
    </row>
    <row r="1563" spans="1:5" ht="14.5" x14ac:dyDescent="0.35">
      <c r="A1563" s="107"/>
      <c r="B1563" s="73" t="e">
        <f>VLOOKUP(A1563,SÜRELER!A:B,2,0)</f>
        <v>#N/A</v>
      </c>
      <c r="C1563" s="57"/>
      <c r="D1563" s="58"/>
      <c r="E1563" s="59"/>
    </row>
    <row r="1564" spans="1:5" ht="14.5" x14ac:dyDescent="0.35">
      <c r="A1564" s="107"/>
      <c r="B1564" s="73" t="e">
        <f>VLOOKUP(A1564,SÜRELER!A:B,2,0)</f>
        <v>#N/A</v>
      </c>
      <c r="C1564" s="57"/>
      <c r="D1564" s="58"/>
      <c r="E1564" s="59"/>
    </row>
    <row r="1565" spans="1:5" ht="14.5" x14ac:dyDescent="0.35">
      <c r="A1565" s="107"/>
      <c r="B1565" s="73" t="e">
        <f>VLOOKUP(A1565,SÜRELER!A:B,2,0)</f>
        <v>#N/A</v>
      </c>
      <c r="C1565" s="57"/>
      <c r="D1565" s="58"/>
      <c r="E1565" s="59"/>
    </row>
    <row r="1566" spans="1:5" ht="14.5" x14ac:dyDescent="0.35">
      <c r="A1566" s="107"/>
      <c r="B1566" s="73" t="e">
        <f>VLOOKUP(A1566,SÜRELER!A:B,2,0)</f>
        <v>#N/A</v>
      </c>
      <c r="C1566" s="57"/>
      <c r="D1566" s="58"/>
      <c r="E1566" s="59"/>
    </row>
    <row r="1567" spans="1:5" ht="14.5" x14ac:dyDescent="0.35">
      <c r="A1567" s="107"/>
      <c r="B1567" s="73" t="e">
        <f>VLOOKUP(A1567,SÜRELER!A:B,2,0)</f>
        <v>#N/A</v>
      </c>
      <c r="C1567" s="57"/>
      <c r="D1567" s="58"/>
      <c r="E1567" s="59"/>
    </row>
    <row r="1568" spans="1:5" ht="14.5" x14ac:dyDescent="0.35">
      <c r="A1568" s="107"/>
      <c r="B1568" s="73" t="e">
        <f>VLOOKUP(A1568,SÜRELER!A:B,2,0)</f>
        <v>#N/A</v>
      </c>
      <c r="C1568" s="57"/>
      <c r="D1568" s="58"/>
      <c r="E1568" s="59"/>
    </row>
    <row r="1569" spans="1:5" ht="14.5" x14ac:dyDescent="0.35">
      <c r="A1569" s="107"/>
      <c r="B1569" s="73" t="e">
        <f>VLOOKUP(A1569,SÜRELER!A:B,2,0)</f>
        <v>#N/A</v>
      </c>
      <c r="C1569" s="57"/>
      <c r="D1569" s="58"/>
      <c r="E1569" s="59"/>
    </row>
    <row r="1570" spans="1:5" ht="14.5" x14ac:dyDescent="0.35">
      <c r="A1570" s="107"/>
      <c r="B1570" s="73" t="e">
        <f>VLOOKUP(A1570,SÜRELER!A:B,2,0)</f>
        <v>#N/A</v>
      </c>
      <c r="C1570" s="57"/>
      <c r="D1570" s="58"/>
      <c r="E1570" s="59"/>
    </row>
    <row r="1571" spans="1:5" ht="14.5" x14ac:dyDescent="0.35">
      <c r="A1571" s="107"/>
      <c r="B1571" s="73" t="e">
        <f>VLOOKUP(A1571,SÜRELER!A:B,2,0)</f>
        <v>#N/A</v>
      </c>
      <c r="C1571" s="57"/>
      <c r="D1571" s="58"/>
      <c r="E1571" s="59"/>
    </row>
    <row r="1572" spans="1:5" ht="14.5" x14ac:dyDescent="0.35">
      <c r="A1572" s="107"/>
      <c r="B1572" s="73" t="e">
        <f>VLOOKUP(A1572,SÜRELER!A:B,2,0)</f>
        <v>#N/A</v>
      </c>
      <c r="C1572" s="57"/>
      <c r="D1572" s="58"/>
      <c r="E1572" s="59"/>
    </row>
    <row r="1573" spans="1:5" ht="14.5" x14ac:dyDescent="0.35">
      <c r="A1573" s="107"/>
      <c r="B1573" s="73" t="e">
        <f>VLOOKUP(A1573,SÜRELER!A:B,2,0)</f>
        <v>#N/A</v>
      </c>
      <c r="C1573" s="57"/>
      <c r="D1573" s="58"/>
      <c r="E1573" s="59"/>
    </row>
    <row r="1574" spans="1:5" ht="14.5" x14ac:dyDescent="0.35">
      <c r="A1574" s="107"/>
      <c r="B1574" s="73" t="e">
        <f>VLOOKUP(A1574,SÜRELER!A:B,2,0)</f>
        <v>#N/A</v>
      </c>
      <c r="C1574" s="57"/>
      <c r="D1574" s="58"/>
      <c r="E1574" s="59"/>
    </row>
    <row r="1575" spans="1:5" ht="14.5" x14ac:dyDescent="0.35">
      <c r="A1575" s="107"/>
      <c r="B1575" s="73" t="e">
        <f>VLOOKUP(A1575,SÜRELER!A:B,2,0)</f>
        <v>#N/A</v>
      </c>
      <c r="C1575" s="57"/>
      <c r="D1575" s="58"/>
      <c r="E1575" s="59"/>
    </row>
    <row r="1576" spans="1:5" ht="14.5" x14ac:dyDescent="0.35">
      <c r="A1576" s="107"/>
      <c r="B1576" s="73" t="e">
        <f>VLOOKUP(A1576,SÜRELER!A:B,2,0)</f>
        <v>#N/A</v>
      </c>
      <c r="C1576" s="57"/>
      <c r="D1576" s="58"/>
      <c r="E1576" s="59"/>
    </row>
    <row r="1577" spans="1:5" ht="14.5" x14ac:dyDescent="0.35">
      <c r="A1577" s="107"/>
      <c r="B1577" s="73" t="e">
        <f>VLOOKUP(A1577,SÜRELER!A:B,2,0)</f>
        <v>#N/A</v>
      </c>
      <c r="C1577" s="57"/>
      <c r="D1577" s="58"/>
      <c r="E1577" s="59"/>
    </row>
    <row r="1578" spans="1:5" ht="14.5" x14ac:dyDescent="0.35">
      <c r="A1578" s="107"/>
      <c r="B1578" s="73" t="e">
        <f>VLOOKUP(A1578,SÜRELER!A:B,2,0)</f>
        <v>#N/A</v>
      </c>
      <c r="C1578" s="57"/>
      <c r="D1578" s="58"/>
      <c r="E1578" s="59"/>
    </row>
    <row r="1579" spans="1:5" ht="14.5" x14ac:dyDescent="0.35">
      <c r="A1579" s="107"/>
      <c r="B1579" s="73" t="e">
        <f>VLOOKUP(A1579,SÜRELER!A:B,2,0)</f>
        <v>#N/A</v>
      </c>
      <c r="C1579" s="57"/>
      <c r="D1579" s="58"/>
      <c r="E1579" s="59"/>
    </row>
    <row r="1580" spans="1:5" ht="14.5" x14ac:dyDescent="0.35">
      <c r="A1580" s="107"/>
      <c r="B1580" s="73" t="e">
        <f>VLOOKUP(A1580,SÜRELER!A:B,2,0)</f>
        <v>#N/A</v>
      </c>
      <c r="C1580" s="57"/>
      <c r="D1580" s="58"/>
      <c r="E1580" s="59"/>
    </row>
    <row r="1581" spans="1:5" ht="14.5" x14ac:dyDescent="0.35">
      <c r="A1581" s="107"/>
      <c r="B1581" s="73" t="e">
        <f>VLOOKUP(A1581,SÜRELER!A:B,2,0)</f>
        <v>#N/A</v>
      </c>
      <c r="C1581" s="57"/>
      <c r="D1581" s="58"/>
      <c r="E1581" s="59"/>
    </row>
    <row r="1582" spans="1:5" ht="14.5" x14ac:dyDescent="0.35">
      <c r="A1582" s="107"/>
      <c r="B1582" s="73" t="e">
        <f>VLOOKUP(A1582,SÜRELER!A:B,2,0)</f>
        <v>#N/A</v>
      </c>
      <c r="C1582" s="57"/>
      <c r="D1582" s="58"/>
      <c r="E1582" s="59"/>
    </row>
    <row r="1583" spans="1:5" ht="14.5" x14ac:dyDescent="0.35">
      <c r="A1583" s="107"/>
      <c r="B1583" s="73" t="e">
        <f>VLOOKUP(A1583,SÜRELER!A:B,2,0)</f>
        <v>#N/A</v>
      </c>
      <c r="C1583" s="57"/>
      <c r="D1583" s="58"/>
      <c r="E1583" s="59"/>
    </row>
    <row r="1584" spans="1:5" ht="14.5" x14ac:dyDescent="0.35">
      <c r="A1584" s="107"/>
      <c r="B1584" s="73" t="e">
        <f>VLOOKUP(A1584,SÜRELER!A:B,2,0)</f>
        <v>#N/A</v>
      </c>
      <c r="C1584" s="57"/>
      <c r="D1584" s="58"/>
      <c r="E1584" s="59"/>
    </row>
    <row r="1585" spans="1:5" ht="14.5" x14ac:dyDescent="0.35">
      <c r="A1585" s="107"/>
      <c r="B1585" s="73" t="e">
        <f>VLOOKUP(A1585,SÜRELER!A:B,2,0)</f>
        <v>#N/A</v>
      </c>
      <c r="C1585" s="57"/>
      <c r="D1585" s="58"/>
      <c r="E1585" s="59"/>
    </row>
    <row r="1586" spans="1:5" ht="14.5" x14ac:dyDescent="0.35">
      <c r="A1586" s="107"/>
      <c r="B1586" s="73" t="e">
        <f>VLOOKUP(A1586,SÜRELER!A:B,2,0)</f>
        <v>#N/A</v>
      </c>
      <c r="C1586" s="57"/>
      <c r="D1586" s="58"/>
      <c r="E1586" s="59"/>
    </row>
    <row r="1587" spans="1:5" ht="14.5" x14ac:dyDescent="0.35">
      <c r="A1587" s="107"/>
      <c r="B1587" s="73" t="e">
        <f>VLOOKUP(A1587,SÜRELER!A:B,2,0)</f>
        <v>#N/A</v>
      </c>
      <c r="C1587" s="57"/>
      <c r="D1587" s="58"/>
      <c r="E1587" s="59"/>
    </row>
    <row r="1588" spans="1:5" ht="14.5" x14ac:dyDescent="0.35">
      <c r="A1588" s="107"/>
      <c r="B1588" s="73" t="e">
        <f>VLOOKUP(A1588,SÜRELER!A:B,2,0)</f>
        <v>#N/A</v>
      </c>
      <c r="C1588" s="57"/>
      <c r="D1588" s="58"/>
      <c r="E1588" s="59"/>
    </row>
    <row r="1589" spans="1:5" ht="14.5" x14ac:dyDescent="0.35">
      <c r="A1589" s="107"/>
      <c r="B1589" s="73" t="e">
        <f>VLOOKUP(A1589,SÜRELER!A:B,2,0)</f>
        <v>#N/A</v>
      </c>
      <c r="C1589" s="57"/>
      <c r="D1589" s="58"/>
      <c r="E1589" s="59"/>
    </row>
    <row r="1590" spans="1:5" ht="14.5" x14ac:dyDescent="0.35">
      <c r="A1590" s="107"/>
      <c r="B1590" s="73" t="e">
        <f>VLOOKUP(A1590,SÜRELER!A:B,2,0)</f>
        <v>#N/A</v>
      </c>
      <c r="C1590" s="57"/>
      <c r="D1590" s="58"/>
      <c r="E1590" s="59"/>
    </row>
    <row r="1591" spans="1:5" ht="14.5" x14ac:dyDescent="0.35">
      <c r="A1591" s="107"/>
      <c r="B1591" s="73" t="e">
        <f>VLOOKUP(A1591,SÜRELER!A:B,2,0)</f>
        <v>#N/A</v>
      </c>
      <c r="C1591" s="57"/>
      <c r="D1591" s="58"/>
      <c r="E1591" s="59"/>
    </row>
    <row r="1592" spans="1:5" ht="14.5" x14ac:dyDescent="0.35">
      <c r="A1592" s="107"/>
      <c r="B1592" s="73" t="e">
        <f>VLOOKUP(A1592,SÜRELER!A:B,2,0)</f>
        <v>#N/A</v>
      </c>
      <c r="C1592" s="57"/>
      <c r="D1592" s="58"/>
      <c r="E1592" s="59"/>
    </row>
    <row r="1593" spans="1:5" ht="14.5" x14ac:dyDescent="0.35">
      <c r="A1593" s="107"/>
      <c r="B1593" s="73" t="e">
        <f>VLOOKUP(A1593,SÜRELER!A:B,2,0)</f>
        <v>#N/A</v>
      </c>
      <c r="C1593" s="57"/>
      <c r="D1593" s="58"/>
      <c r="E1593" s="59"/>
    </row>
    <row r="1594" spans="1:5" ht="14.5" x14ac:dyDescent="0.35">
      <c r="A1594" s="107"/>
      <c r="B1594" s="73" t="e">
        <f>VLOOKUP(A1594,SÜRELER!A:B,2,0)</f>
        <v>#N/A</v>
      </c>
      <c r="C1594" s="57"/>
      <c r="D1594" s="58"/>
      <c r="E1594" s="59"/>
    </row>
    <row r="1595" spans="1:5" ht="14.5" x14ac:dyDescent="0.35">
      <c r="A1595" s="107"/>
      <c r="B1595" s="73" t="e">
        <f>VLOOKUP(A1595,SÜRELER!A:B,2,0)</f>
        <v>#N/A</v>
      </c>
      <c r="C1595" s="57"/>
      <c r="D1595" s="58"/>
      <c r="E1595" s="59"/>
    </row>
    <row r="1596" spans="1:5" ht="14.5" x14ac:dyDescent="0.35">
      <c r="A1596" s="107"/>
      <c r="B1596" s="73" t="e">
        <f>VLOOKUP(A1596,SÜRELER!A:B,2,0)</f>
        <v>#N/A</v>
      </c>
      <c r="C1596" s="57"/>
      <c r="D1596" s="58"/>
      <c r="E1596" s="59"/>
    </row>
    <row r="1597" spans="1:5" ht="14.5" x14ac:dyDescent="0.35">
      <c r="A1597" s="107"/>
      <c r="B1597" s="73" t="e">
        <f>VLOOKUP(A1597,SÜRELER!A:B,2,0)</f>
        <v>#N/A</v>
      </c>
      <c r="C1597" s="57"/>
      <c r="D1597" s="58"/>
      <c r="E1597" s="59"/>
    </row>
    <row r="1598" spans="1:5" ht="14.5" x14ac:dyDescent="0.35">
      <c r="A1598" s="107"/>
      <c r="B1598" s="73" t="e">
        <f>VLOOKUP(A1598,SÜRELER!A:B,2,0)</f>
        <v>#N/A</v>
      </c>
      <c r="C1598" s="57"/>
      <c r="D1598" s="58"/>
      <c r="E1598" s="59"/>
    </row>
    <row r="1599" spans="1:5" ht="14.5" x14ac:dyDescent="0.35">
      <c r="A1599" s="107"/>
      <c r="B1599" s="73" t="e">
        <f>VLOOKUP(A1599,SÜRELER!A:B,2,0)</f>
        <v>#N/A</v>
      </c>
      <c r="C1599" s="57"/>
      <c r="D1599" s="58"/>
      <c r="E1599" s="59"/>
    </row>
    <row r="1600" spans="1:5" ht="14.5" x14ac:dyDescent="0.35">
      <c r="A1600" s="107"/>
      <c r="B1600" s="73" t="e">
        <f>VLOOKUP(A1600,SÜRELER!A:B,2,0)</f>
        <v>#N/A</v>
      </c>
      <c r="C1600" s="57"/>
      <c r="D1600" s="58"/>
      <c r="E1600" s="59"/>
    </row>
    <row r="1601" spans="1:5" ht="14.5" x14ac:dyDescent="0.35">
      <c r="A1601" s="107"/>
      <c r="B1601" s="73" t="e">
        <f>VLOOKUP(A1601,SÜRELER!A:B,2,0)</f>
        <v>#N/A</v>
      </c>
      <c r="C1601" s="57"/>
      <c r="D1601" s="58"/>
      <c r="E1601" s="59"/>
    </row>
    <row r="1602" spans="1:5" ht="14.5" x14ac:dyDescent="0.35">
      <c r="A1602" s="107"/>
      <c r="B1602" s="73" t="e">
        <f>VLOOKUP(A1602,SÜRELER!A:B,2,0)</f>
        <v>#N/A</v>
      </c>
      <c r="C1602" s="57"/>
      <c r="D1602" s="58"/>
      <c r="E1602" s="59"/>
    </row>
    <row r="1603" spans="1:5" ht="14.5" x14ac:dyDescent="0.35">
      <c r="A1603" s="107"/>
      <c r="B1603" s="73" t="e">
        <f>VLOOKUP(A1603,SÜRELER!A:B,2,0)</f>
        <v>#N/A</v>
      </c>
      <c r="C1603" s="57"/>
      <c r="D1603" s="58"/>
      <c r="E1603" s="59"/>
    </row>
    <row r="1604" spans="1:5" ht="14.5" x14ac:dyDescent="0.35">
      <c r="A1604" s="107"/>
      <c r="B1604" s="73" t="e">
        <f>VLOOKUP(A1604,SÜRELER!A:B,2,0)</f>
        <v>#N/A</v>
      </c>
      <c r="C1604" s="57"/>
      <c r="D1604" s="58"/>
      <c r="E1604" s="59"/>
    </row>
    <row r="1605" spans="1:5" ht="14.5" x14ac:dyDescent="0.35">
      <c r="A1605" s="107"/>
      <c r="B1605" s="73" t="e">
        <f>VLOOKUP(A1605,SÜRELER!A:B,2,0)</f>
        <v>#N/A</v>
      </c>
      <c r="C1605" s="57"/>
      <c r="D1605" s="58"/>
      <c r="E1605" s="59"/>
    </row>
    <row r="1606" spans="1:5" ht="14.5" x14ac:dyDescent="0.35">
      <c r="A1606" s="107"/>
      <c r="B1606" s="73" t="e">
        <f>VLOOKUP(A1606,SÜRELER!A:B,2,0)</f>
        <v>#N/A</v>
      </c>
      <c r="C1606" s="57"/>
      <c r="D1606" s="58"/>
      <c r="E1606" s="59"/>
    </row>
    <row r="1607" spans="1:5" ht="14.5" x14ac:dyDescent="0.35">
      <c r="A1607" s="107"/>
      <c r="B1607" s="73" t="e">
        <f>VLOOKUP(A1607,SÜRELER!A:B,2,0)</f>
        <v>#N/A</v>
      </c>
      <c r="C1607" s="57"/>
      <c r="D1607" s="58"/>
      <c r="E1607" s="59"/>
    </row>
    <row r="1608" spans="1:5" ht="14.5" x14ac:dyDescent="0.35">
      <c r="A1608" s="107"/>
      <c r="B1608" s="73" t="e">
        <f>VLOOKUP(A1608,SÜRELER!A:B,2,0)</f>
        <v>#N/A</v>
      </c>
      <c r="C1608" s="57"/>
      <c r="D1608" s="58"/>
      <c r="E1608" s="59"/>
    </row>
    <row r="1609" spans="1:5" ht="14.5" x14ac:dyDescent="0.35">
      <c r="A1609" s="107"/>
      <c r="B1609" s="73" t="e">
        <f>VLOOKUP(A1609,SÜRELER!A:B,2,0)</f>
        <v>#N/A</v>
      </c>
      <c r="C1609" s="57"/>
      <c r="D1609" s="58"/>
      <c r="E1609" s="59"/>
    </row>
    <row r="1610" spans="1:5" ht="14.5" x14ac:dyDescent="0.35">
      <c r="A1610" s="107"/>
      <c r="B1610" s="73" t="e">
        <f>VLOOKUP(A1610,SÜRELER!A:B,2,0)</f>
        <v>#N/A</v>
      </c>
      <c r="C1610" s="57"/>
      <c r="D1610" s="58"/>
      <c r="E1610" s="59"/>
    </row>
    <row r="1611" spans="1:5" ht="14.5" x14ac:dyDescent="0.35">
      <c r="A1611" s="107"/>
      <c r="B1611" s="73" t="e">
        <f>VLOOKUP(A1611,SÜRELER!A:B,2,0)</f>
        <v>#N/A</v>
      </c>
      <c r="C1611" s="57"/>
      <c r="D1611" s="58"/>
      <c r="E1611" s="59"/>
    </row>
    <row r="1612" spans="1:5" ht="14.5" x14ac:dyDescent="0.35">
      <c r="A1612" s="107"/>
      <c r="B1612" s="73" t="e">
        <f>VLOOKUP(A1612,SÜRELER!A:B,2,0)</f>
        <v>#N/A</v>
      </c>
      <c r="C1612" s="57"/>
      <c r="D1612" s="58"/>
      <c r="E1612" s="59"/>
    </row>
    <row r="1613" spans="1:5" ht="14.5" x14ac:dyDescent="0.35">
      <c r="A1613" s="107"/>
      <c r="B1613" s="73" t="e">
        <f>VLOOKUP(A1613,SÜRELER!A:B,2,0)</f>
        <v>#N/A</v>
      </c>
      <c r="C1613" s="57"/>
      <c r="D1613" s="58"/>
      <c r="E1613" s="59"/>
    </row>
    <row r="1614" spans="1:5" ht="14.5" x14ac:dyDescent="0.35">
      <c r="A1614" s="107"/>
      <c r="B1614" s="73" t="e">
        <f>VLOOKUP(A1614,SÜRELER!A:B,2,0)</f>
        <v>#N/A</v>
      </c>
      <c r="C1614" s="57"/>
      <c r="D1614" s="58"/>
      <c r="E1614" s="59"/>
    </row>
    <row r="1615" spans="1:5" ht="14.5" x14ac:dyDescent="0.35">
      <c r="A1615" s="107"/>
      <c r="B1615" s="73" t="e">
        <f>VLOOKUP(A1615,SÜRELER!A:B,2,0)</f>
        <v>#N/A</v>
      </c>
      <c r="C1615" s="57"/>
      <c r="D1615" s="58"/>
      <c r="E1615" s="59"/>
    </row>
    <row r="1616" spans="1:5" ht="14.5" x14ac:dyDescent="0.35">
      <c r="A1616" s="107"/>
      <c r="B1616" s="73" t="e">
        <f>VLOOKUP(A1616,SÜRELER!A:B,2,0)</f>
        <v>#N/A</v>
      </c>
      <c r="C1616" s="57"/>
      <c r="D1616" s="58"/>
      <c r="E1616" s="59"/>
    </row>
    <row r="1617" spans="1:5" ht="14.5" x14ac:dyDescent="0.35">
      <c r="A1617" s="107"/>
      <c r="B1617" s="73" t="e">
        <f>VLOOKUP(A1617,SÜRELER!A:B,2,0)</f>
        <v>#N/A</v>
      </c>
      <c r="C1617" s="57"/>
      <c r="D1617" s="58"/>
      <c r="E1617" s="59"/>
    </row>
    <row r="1618" spans="1:5" ht="14.5" x14ac:dyDescent="0.35">
      <c r="A1618" s="107"/>
      <c r="B1618" s="73" t="e">
        <f>VLOOKUP(A1618,SÜRELER!A:B,2,0)</f>
        <v>#N/A</v>
      </c>
      <c r="C1618" s="57"/>
      <c r="D1618" s="58"/>
      <c r="E1618" s="59"/>
    </row>
    <row r="1619" spans="1:5" ht="14.5" x14ac:dyDescent="0.35">
      <c r="A1619" s="107"/>
      <c r="B1619" s="73" t="e">
        <f>VLOOKUP(A1619,SÜRELER!A:B,2,0)</f>
        <v>#N/A</v>
      </c>
      <c r="C1619" s="57"/>
      <c r="D1619" s="58"/>
      <c r="E1619" s="59"/>
    </row>
  </sheetData>
  <phoneticPr fontId="42" type="noConversion"/>
  <pageMargins left="0.7" right="0.7" top="0.75" bottom="0.75" header="0.3" footer="0.3"/>
  <pageSetup paperSize="9" orientation="portrait" horizontalDpi="300" r:id="rId1"/>
  <headerFooter scaleWithDoc="0">
    <oddFooter>&amp;L&amp;"Arial Tur"&amp;11&amp;K000000&amp;"Tahoma,Regular"
&amp;8&amp;K58A121Sınıflandırma / Classification: &amp;"Tahoma,Bold"Halka Açık / Public&amp;"Microsoft Sans Serif,Regular"&amp;8&amp;K000000
 _x000D_&amp;1#&amp;"Calibri"&amp;10&amp;K008000Sınıflandırma / Classification: Hizmet İçi /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ayfa221"/>
  <dimension ref="A1:H3681"/>
  <sheetViews>
    <sheetView tabSelected="1" workbookViewId="0">
      <selection activeCell="A2" sqref="A2"/>
    </sheetView>
  </sheetViews>
  <sheetFormatPr defaultColWidth="9.1796875" defaultRowHeight="12.5" x14ac:dyDescent="0.25"/>
  <cols>
    <col min="1" max="1" width="13.453125" style="95" bestFit="1" customWidth="1"/>
    <col min="2" max="2" width="49.7265625" style="137" customWidth="1"/>
    <col min="3" max="3" width="18.81640625" style="146" bestFit="1" customWidth="1"/>
    <col min="4" max="4" width="18.54296875" style="146" bestFit="1" customWidth="1"/>
    <col min="5" max="5" width="14.453125" style="146" bestFit="1" customWidth="1"/>
    <col min="6" max="6" width="10.7265625" style="147" bestFit="1" customWidth="1"/>
    <col min="7" max="7" width="11.453125" style="199" bestFit="1" customWidth="1"/>
    <col min="8" max="8" width="13.36328125" customWidth="1"/>
    <col min="11" max="12" width="10" bestFit="1" customWidth="1"/>
    <col min="13" max="13" width="11.1796875" bestFit="1" customWidth="1"/>
    <col min="14" max="14" width="26.54296875" bestFit="1" customWidth="1"/>
  </cols>
  <sheetData>
    <row r="1" spans="1:8" x14ac:dyDescent="0.25">
      <c r="A1" s="148" t="s">
        <v>0</v>
      </c>
      <c r="B1" s="148" t="s">
        <v>14</v>
      </c>
      <c r="C1" s="149" t="s">
        <v>500</v>
      </c>
      <c r="D1" s="150" t="s">
        <v>501</v>
      </c>
      <c r="E1" s="150" t="s">
        <v>3355</v>
      </c>
      <c r="F1" s="151" t="s">
        <v>425</v>
      </c>
    </row>
    <row r="2" spans="1:8" ht="15" customHeight="1" x14ac:dyDescent="0.25">
      <c r="A2" s="110" t="s">
        <v>4934</v>
      </c>
      <c r="B2" s="125" t="s">
        <v>810</v>
      </c>
      <c r="C2" s="138">
        <v>1.19</v>
      </c>
      <c r="D2" s="138">
        <v>71.399999999999991</v>
      </c>
      <c r="E2" s="138">
        <v>50.420168067226896</v>
      </c>
      <c r="F2" s="139">
        <v>1.19</v>
      </c>
      <c r="G2" s="200">
        <v>15000600</v>
      </c>
      <c r="H2" t="str">
        <f>CONCATENATE($G$2,A2)</f>
        <v>150006001500060050</v>
      </c>
    </row>
    <row r="3" spans="1:8" ht="15" customHeight="1" x14ac:dyDescent="0.25">
      <c r="A3" s="110" t="s">
        <v>4935</v>
      </c>
      <c r="B3" s="125" t="s">
        <v>811</v>
      </c>
      <c r="C3" s="138">
        <v>1.19</v>
      </c>
      <c r="D3" s="138">
        <v>71.399999999999991</v>
      </c>
      <c r="E3" s="138">
        <v>50.420168067226896</v>
      </c>
      <c r="F3" s="139">
        <v>1.19</v>
      </c>
      <c r="H3" t="str">
        <f t="shared" ref="H3:H45" si="0">CONCATENATE($G$2,A3)</f>
        <v>150006001500060051</v>
      </c>
    </row>
    <row r="4" spans="1:8" ht="15" customHeight="1" x14ac:dyDescent="0.25">
      <c r="A4" s="110" t="s">
        <v>4936</v>
      </c>
      <c r="B4" s="125" t="s">
        <v>812</v>
      </c>
      <c r="C4" s="138">
        <v>0.59</v>
      </c>
      <c r="D4" s="138">
        <v>35.4</v>
      </c>
      <c r="E4" s="138">
        <v>101.69491525423729</v>
      </c>
      <c r="F4" s="139">
        <v>0.59</v>
      </c>
      <c r="H4" t="str">
        <f t="shared" si="0"/>
        <v>150006001500060055</v>
      </c>
    </row>
    <row r="5" spans="1:8" ht="15" customHeight="1" x14ac:dyDescent="0.25">
      <c r="A5" s="110" t="s">
        <v>4937</v>
      </c>
      <c r="B5" s="125" t="s">
        <v>813</v>
      </c>
      <c r="C5" s="138">
        <v>0.59</v>
      </c>
      <c r="D5" s="138">
        <v>35.4</v>
      </c>
      <c r="E5" s="138">
        <v>101.69491525423729</v>
      </c>
      <c r="F5" s="139">
        <v>0.59</v>
      </c>
      <c r="H5" t="str">
        <f t="shared" si="0"/>
        <v>150006001500060056</v>
      </c>
    </row>
    <row r="6" spans="1:8" ht="15" customHeight="1" x14ac:dyDescent="0.25">
      <c r="A6" s="110" t="s">
        <v>4938</v>
      </c>
      <c r="B6" s="125" t="s">
        <v>814</v>
      </c>
      <c r="C6" s="138">
        <v>0.72</v>
      </c>
      <c r="D6" s="138">
        <v>43.199999999999996</v>
      </c>
      <c r="E6" s="138">
        <v>83.333333333333343</v>
      </c>
      <c r="F6" s="139">
        <v>0.72</v>
      </c>
      <c r="H6" t="str">
        <f t="shared" si="0"/>
        <v>150006001500060060</v>
      </c>
    </row>
    <row r="7" spans="1:8" ht="15" customHeight="1" x14ac:dyDescent="0.25">
      <c r="A7" s="110" t="s">
        <v>4938</v>
      </c>
      <c r="B7" s="125" t="s">
        <v>1472</v>
      </c>
      <c r="C7" s="138">
        <v>0.32</v>
      </c>
      <c r="D7" s="138">
        <v>19.2</v>
      </c>
      <c r="E7" s="138">
        <v>187.5</v>
      </c>
      <c r="F7" s="139">
        <v>0.32</v>
      </c>
      <c r="H7" t="str">
        <f t="shared" si="0"/>
        <v>150006001500060060</v>
      </c>
    </row>
    <row r="8" spans="1:8" ht="15" customHeight="1" x14ac:dyDescent="0.25">
      <c r="A8" s="110" t="s">
        <v>4939</v>
      </c>
      <c r="B8" s="125" t="s">
        <v>815</v>
      </c>
      <c r="C8" s="138">
        <v>0.48</v>
      </c>
      <c r="D8" s="138">
        <v>28.799999999999997</v>
      </c>
      <c r="E8" s="138">
        <v>125.00000000000001</v>
      </c>
      <c r="F8" s="139">
        <v>0.48</v>
      </c>
      <c r="H8" t="str">
        <f t="shared" si="0"/>
        <v>150006001500060061</v>
      </c>
    </row>
    <row r="9" spans="1:8" ht="15" customHeight="1" x14ac:dyDescent="0.25">
      <c r="A9" s="110" t="s">
        <v>4940</v>
      </c>
      <c r="B9" s="125" t="s">
        <v>816</v>
      </c>
      <c r="C9" s="138">
        <v>0.15</v>
      </c>
      <c r="D9" s="138">
        <v>9</v>
      </c>
      <c r="E9" s="138">
        <v>400</v>
      </c>
      <c r="F9" s="139">
        <v>0.15</v>
      </c>
      <c r="H9" t="str">
        <f t="shared" si="0"/>
        <v>150006001500060065</v>
      </c>
    </row>
    <row r="10" spans="1:8" ht="15" customHeight="1" x14ac:dyDescent="0.25">
      <c r="A10" s="110" t="s">
        <v>4941</v>
      </c>
      <c r="B10" s="125" t="s">
        <v>817</v>
      </c>
      <c r="C10" s="138">
        <v>0.67</v>
      </c>
      <c r="D10" s="138">
        <v>40.200000000000003</v>
      </c>
      <c r="E10" s="138">
        <v>89.552238805970148</v>
      </c>
      <c r="F10" s="139">
        <v>0.67</v>
      </c>
      <c r="H10" t="str">
        <f t="shared" si="0"/>
        <v>150006001500060070</v>
      </c>
    </row>
    <row r="11" spans="1:8" ht="15" customHeight="1" x14ac:dyDescent="0.25">
      <c r="A11" s="110" t="s">
        <v>4942</v>
      </c>
      <c r="B11" s="125" t="s">
        <v>818</v>
      </c>
      <c r="C11" s="138">
        <v>0.67</v>
      </c>
      <c r="D11" s="138">
        <v>40.200000000000003</v>
      </c>
      <c r="E11" s="138">
        <v>89.552238805970148</v>
      </c>
      <c r="F11" s="139">
        <v>0.67</v>
      </c>
      <c r="H11" t="str">
        <f t="shared" si="0"/>
        <v>150006001500060071</v>
      </c>
    </row>
    <row r="12" spans="1:8" ht="15" customHeight="1" x14ac:dyDescent="0.25">
      <c r="A12" s="110" t="s">
        <v>4943</v>
      </c>
      <c r="B12" s="125" t="s">
        <v>819</v>
      </c>
      <c r="C12" s="138">
        <v>1.65</v>
      </c>
      <c r="D12" s="138">
        <v>99</v>
      </c>
      <c r="E12" s="138">
        <v>36.363636363636367</v>
      </c>
      <c r="F12" s="139">
        <v>1.65</v>
      </c>
      <c r="H12" t="str">
        <f t="shared" si="0"/>
        <v>150006001500060072</v>
      </c>
    </row>
    <row r="13" spans="1:8" ht="15" customHeight="1" x14ac:dyDescent="0.25">
      <c r="A13" s="110" t="s">
        <v>4944</v>
      </c>
      <c r="B13" s="125" t="s">
        <v>750</v>
      </c>
      <c r="C13" s="138">
        <v>0.57999999999999996</v>
      </c>
      <c r="D13" s="138">
        <v>34.799999999999997</v>
      </c>
      <c r="E13" s="138">
        <v>103.44827586206897</v>
      </c>
      <c r="F13" s="139">
        <v>0.57999999999999996</v>
      </c>
      <c r="H13" t="str">
        <f t="shared" si="0"/>
        <v>150006001500060073</v>
      </c>
    </row>
    <row r="14" spans="1:8" ht="15" customHeight="1" x14ac:dyDescent="0.25">
      <c r="A14" s="110" t="s">
        <v>4945</v>
      </c>
      <c r="B14" s="125" t="s">
        <v>751</v>
      </c>
      <c r="C14" s="138">
        <v>0.57999999999999996</v>
      </c>
      <c r="D14" s="138">
        <v>34.799999999999997</v>
      </c>
      <c r="E14" s="138">
        <v>103.44827586206897</v>
      </c>
      <c r="F14" s="139">
        <v>0.57999999999999996</v>
      </c>
      <c r="H14" t="str">
        <f t="shared" si="0"/>
        <v>150006001500060074</v>
      </c>
    </row>
    <row r="15" spans="1:8" ht="15" customHeight="1" x14ac:dyDescent="0.25">
      <c r="A15" s="110" t="s">
        <v>4946</v>
      </c>
      <c r="B15" s="125" t="s">
        <v>752</v>
      </c>
      <c r="C15" s="138">
        <v>0.83</v>
      </c>
      <c r="D15" s="138">
        <v>49.8</v>
      </c>
      <c r="E15" s="138">
        <v>72.289156626506028</v>
      </c>
      <c r="F15" s="139">
        <v>0.83</v>
      </c>
      <c r="H15" t="str">
        <f t="shared" si="0"/>
        <v>150006001500060075</v>
      </c>
    </row>
    <row r="16" spans="1:8" ht="15" customHeight="1" x14ac:dyDescent="0.25">
      <c r="A16" s="110" t="s">
        <v>4947</v>
      </c>
      <c r="B16" s="125" t="s">
        <v>753</v>
      </c>
      <c r="C16" s="138">
        <v>0.83</v>
      </c>
      <c r="D16" s="138">
        <v>49.8</v>
      </c>
      <c r="E16" s="138">
        <v>72.289156626506028</v>
      </c>
      <c r="F16" s="139">
        <v>0.83</v>
      </c>
      <c r="H16" t="str">
        <f t="shared" si="0"/>
        <v>150006001500060076</v>
      </c>
    </row>
    <row r="17" spans="1:8" ht="15" customHeight="1" x14ac:dyDescent="0.25">
      <c r="A17" s="110" t="s">
        <v>4948</v>
      </c>
      <c r="B17" s="125" t="s">
        <v>754</v>
      </c>
      <c r="C17" s="138">
        <v>0.62</v>
      </c>
      <c r="D17" s="138">
        <v>37.200000000000003</v>
      </c>
      <c r="E17" s="138">
        <v>96.774193548387089</v>
      </c>
      <c r="F17" s="139">
        <v>0.62</v>
      </c>
      <c r="H17" t="str">
        <f t="shared" si="0"/>
        <v>150006001500060077</v>
      </c>
    </row>
    <row r="18" spans="1:8" ht="15" customHeight="1" x14ac:dyDescent="0.25">
      <c r="A18" s="110" t="s">
        <v>4949</v>
      </c>
      <c r="B18" s="125" t="s">
        <v>755</v>
      </c>
      <c r="C18" s="138">
        <v>0.62</v>
      </c>
      <c r="D18" s="138">
        <v>37.200000000000003</v>
      </c>
      <c r="E18" s="138">
        <v>96.774193548387089</v>
      </c>
      <c r="F18" s="139">
        <v>0.62</v>
      </c>
      <c r="H18" t="str">
        <f t="shared" si="0"/>
        <v>150006001500060078</v>
      </c>
    </row>
    <row r="19" spans="1:8" ht="15" customHeight="1" x14ac:dyDescent="0.25">
      <c r="A19" s="110" t="s">
        <v>4950</v>
      </c>
      <c r="B19" s="125" t="s">
        <v>756</v>
      </c>
      <c r="C19" s="138">
        <v>0.62</v>
      </c>
      <c r="D19" s="138">
        <v>37.200000000000003</v>
      </c>
      <c r="E19" s="138">
        <v>96.774193548387089</v>
      </c>
      <c r="F19" s="139">
        <v>0.62</v>
      </c>
      <c r="H19" t="str">
        <f t="shared" si="0"/>
        <v>150006001500060079</v>
      </c>
    </row>
    <row r="20" spans="1:8" ht="15" customHeight="1" x14ac:dyDescent="0.25">
      <c r="A20" s="110" t="s">
        <v>4951</v>
      </c>
      <c r="B20" s="125" t="s">
        <v>757</v>
      </c>
      <c r="C20" s="138">
        <v>0.62</v>
      </c>
      <c r="D20" s="138">
        <v>37.200000000000003</v>
      </c>
      <c r="E20" s="138">
        <v>96.774193548387089</v>
      </c>
      <c r="F20" s="139">
        <v>0.62</v>
      </c>
      <c r="H20" t="str">
        <f t="shared" si="0"/>
        <v>150006001500060080</v>
      </c>
    </row>
    <row r="21" spans="1:8" ht="15" customHeight="1" x14ac:dyDescent="0.25">
      <c r="A21" s="110" t="s">
        <v>4951</v>
      </c>
      <c r="B21" s="125" t="s">
        <v>1473</v>
      </c>
      <c r="C21" s="138">
        <v>0</v>
      </c>
      <c r="D21" s="138">
        <v>0</v>
      </c>
      <c r="E21" s="138" t="e">
        <v>#DIV/0!</v>
      </c>
      <c r="F21" s="139">
        <v>0</v>
      </c>
      <c r="H21" t="str">
        <f t="shared" si="0"/>
        <v>150006001500060080</v>
      </c>
    </row>
    <row r="22" spans="1:8" ht="15" customHeight="1" x14ac:dyDescent="0.25">
      <c r="A22" s="110" t="s">
        <v>4952</v>
      </c>
      <c r="B22" s="125" t="s">
        <v>758</v>
      </c>
      <c r="C22" s="138">
        <v>0.83</v>
      </c>
      <c r="D22" s="138">
        <v>49.8</v>
      </c>
      <c r="E22" s="138">
        <v>72.289156626506028</v>
      </c>
      <c r="F22" s="139">
        <v>0.83</v>
      </c>
      <c r="H22" t="str">
        <f t="shared" si="0"/>
        <v>150006001500060081</v>
      </c>
    </row>
    <row r="23" spans="1:8" ht="15" customHeight="1" x14ac:dyDescent="0.25">
      <c r="A23" s="110" t="s">
        <v>4952</v>
      </c>
      <c r="B23" s="125" t="s">
        <v>1474</v>
      </c>
      <c r="C23" s="138">
        <v>0</v>
      </c>
      <c r="D23" s="138">
        <v>0</v>
      </c>
      <c r="E23" s="138" t="e">
        <v>#DIV/0!</v>
      </c>
      <c r="F23" s="139">
        <v>0</v>
      </c>
      <c r="H23" t="str">
        <f t="shared" si="0"/>
        <v>150006001500060081</v>
      </c>
    </row>
    <row r="24" spans="1:8" ht="15" customHeight="1" x14ac:dyDescent="0.25">
      <c r="A24" s="110" t="s">
        <v>4953</v>
      </c>
      <c r="B24" s="125" t="s">
        <v>759</v>
      </c>
      <c r="C24" s="138">
        <v>0.83</v>
      </c>
      <c r="D24" s="138">
        <v>49.8</v>
      </c>
      <c r="E24" s="138">
        <v>72.289156626506028</v>
      </c>
      <c r="F24" s="139">
        <v>0.83</v>
      </c>
      <c r="H24" t="str">
        <f t="shared" si="0"/>
        <v>150006001500060082</v>
      </c>
    </row>
    <row r="25" spans="1:8" ht="15" customHeight="1" x14ac:dyDescent="0.25">
      <c r="A25" s="110" t="s">
        <v>4953</v>
      </c>
      <c r="B25" s="125" t="s">
        <v>1475</v>
      </c>
      <c r="C25" s="138">
        <v>0</v>
      </c>
      <c r="D25" s="138">
        <v>0</v>
      </c>
      <c r="E25" s="138" t="e">
        <v>#DIV/0!</v>
      </c>
      <c r="F25" s="139">
        <v>0</v>
      </c>
      <c r="H25" t="str">
        <f t="shared" si="0"/>
        <v>150006001500060082</v>
      </c>
    </row>
    <row r="26" spans="1:8" ht="15" customHeight="1" x14ac:dyDescent="0.25">
      <c r="A26" s="110" t="s">
        <v>4954</v>
      </c>
      <c r="B26" s="125" t="s">
        <v>760</v>
      </c>
      <c r="C26" s="138">
        <v>0.62</v>
      </c>
      <c r="D26" s="138">
        <v>37.200000000000003</v>
      </c>
      <c r="E26" s="138">
        <v>96.774193548387089</v>
      </c>
      <c r="F26" s="139">
        <v>0.62</v>
      </c>
      <c r="H26" t="str">
        <f t="shared" si="0"/>
        <v>150006001500060083</v>
      </c>
    </row>
    <row r="27" spans="1:8" ht="15" customHeight="1" x14ac:dyDescent="0.25">
      <c r="A27" s="110" t="s">
        <v>4954</v>
      </c>
      <c r="B27" s="125" t="s">
        <v>1476</v>
      </c>
      <c r="C27" s="138">
        <v>0</v>
      </c>
      <c r="D27" s="138">
        <v>0</v>
      </c>
      <c r="E27" s="138" t="e">
        <v>#DIV/0!</v>
      </c>
      <c r="F27" s="139">
        <v>0</v>
      </c>
      <c r="H27" t="str">
        <f t="shared" si="0"/>
        <v>150006001500060083</v>
      </c>
    </row>
    <row r="28" spans="1:8" ht="15" customHeight="1" x14ac:dyDescent="0.25">
      <c r="A28" s="110" t="s">
        <v>4955</v>
      </c>
      <c r="B28" s="125" t="s">
        <v>761</v>
      </c>
      <c r="C28" s="138">
        <v>0.62</v>
      </c>
      <c r="D28" s="138">
        <v>37.200000000000003</v>
      </c>
      <c r="E28" s="138">
        <v>96.774193548387089</v>
      </c>
      <c r="F28" s="139">
        <v>0.62</v>
      </c>
      <c r="H28" t="str">
        <f t="shared" si="0"/>
        <v>150006001500060084</v>
      </c>
    </row>
    <row r="29" spans="1:8" ht="15" customHeight="1" x14ac:dyDescent="0.25">
      <c r="A29" s="110" t="s">
        <v>4955</v>
      </c>
      <c r="B29" s="125" t="s">
        <v>1477</v>
      </c>
      <c r="C29" s="138">
        <v>0</v>
      </c>
      <c r="D29" s="138">
        <v>0</v>
      </c>
      <c r="E29" s="138" t="e">
        <v>#DIV/0!</v>
      </c>
      <c r="F29" s="139">
        <v>0</v>
      </c>
      <c r="H29" t="str">
        <f t="shared" si="0"/>
        <v>150006001500060084</v>
      </c>
    </row>
    <row r="30" spans="1:8" ht="15" customHeight="1" x14ac:dyDescent="0.25">
      <c r="A30" s="110" t="s">
        <v>4956</v>
      </c>
      <c r="B30" s="125" t="s">
        <v>762</v>
      </c>
      <c r="C30" s="138">
        <v>0.67</v>
      </c>
      <c r="D30" s="138">
        <v>40.200000000000003</v>
      </c>
      <c r="E30" s="138">
        <v>89.552238805970148</v>
      </c>
      <c r="F30" s="139">
        <v>0.67</v>
      </c>
      <c r="H30" t="str">
        <f t="shared" si="0"/>
        <v>150006001500060085</v>
      </c>
    </row>
    <row r="31" spans="1:8" ht="15" customHeight="1" x14ac:dyDescent="0.25">
      <c r="A31" s="110" t="s">
        <v>4957</v>
      </c>
      <c r="B31" s="125" t="s">
        <v>763</v>
      </c>
      <c r="C31" s="138">
        <v>0.67</v>
      </c>
      <c r="D31" s="138">
        <v>40.200000000000003</v>
      </c>
      <c r="E31" s="138">
        <v>89.552238805970148</v>
      </c>
      <c r="F31" s="139">
        <v>0.67</v>
      </c>
      <c r="H31" t="str">
        <f t="shared" si="0"/>
        <v>150006001500060086</v>
      </c>
    </row>
    <row r="32" spans="1:8" ht="15" customHeight="1" x14ac:dyDescent="0.25">
      <c r="A32" s="110" t="s">
        <v>4958</v>
      </c>
      <c r="B32" s="125" t="s">
        <v>820</v>
      </c>
      <c r="C32" s="138">
        <v>0.67</v>
      </c>
      <c r="D32" s="138">
        <v>40.200000000000003</v>
      </c>
      <c r="E32" s="138">
        <v>89.552238805970148</v>
      </c>
      <c r="F32" s="139">
        <v>0.67</v>
      </c>
      <c r="H32" t="str">
        <f t="shared" si="0"/>
        <v>150006001500060087</v>
      </c>
    </row>
    <row r="33" spans="1:8" ht="15" customHeight="1" x14ac:dyDescent="0.25">
      <c r="A33" s="110" t="s">
        <v>4959</v>
      </c>
      <c r="B33" s="125" t="s">
        <v>821</v>
      </c>
      <c r="C33" s="138">
        <v>0.67</v>
      </c>
      <c r="D33" s="138">
        <v>40.200000000000003</v>
      </c>
      <c r="E33" s="138">
        <v>89.552238805970148</v>
      </c>
      <c r="F33" s="139">
        <v>0.67</v>
      </c>
      <c r="H33" t="str">
        <f t="shared" si="0"/>
        <v>150006001500060088</v>
      </c>
    </row>
    <row r="34" spans="1:8" ht="15" customHeight="1" x14ac:dyDescent="0.25">
      <c r="A34" s="110" t="s">
        <v>4960</v>
      </c>
      <c r="B34" s="125" t="s">
        <v>764</v>
      </c>
      <c r="C34" s="138">
        <v>0.62</v>
      </c>
      <c r="D34" s="138">
        <v>37.200000000000003</v>
      </c>
      <c r="E34" s="138">
        <v>96.774193548387089</v>
      </c>
      <c r="F34" s="139">
        <v>0.62</v>
      </c>
      <c r="H34" t="str">
        <f t="shared" si="0"/>
        <v>150006001500060089</v>
      </c>
    </row>
    <row r="35" spans="1:8" ht="15" customHeight="1" x14ac:dyDescent="0.25">
      <c r="A35" s="110" t="s">
        <v>4961</v>
      </c>
      <c r="B35" s="125" t="s">
        <v>765</v>
      </c>
      <c r="C35" s="138">
        <v>0.62</v>
      </c>
      <c r="D35" s="138">
        <v>37.200000000000003</v>
      </c>
      <c r="E35" s="138">
        <v>96.774193548387089</v>
      </c>
      <c r="F35" s="139">
        <v>0.62</v>
      </c>
      <c r="H35" t="str">
        <f t="shared" si="0"/>
        <v>150006001500060090</v>
      </c>
    </row>
    <row r="36" spans="1:8" ht="15" customHeight="1" x14ac:dyDescent="0.25">
      <c r="A36" s="110" t="s">
        <v>4962</v>
      </c>
      <c r="B36" s="125" t="s">
        <v>766</v>
      </c>
      <c r="C36" s="138">
        <v>0.54</v>
      </c>
      <c r="D36" s="138">
        <v>32.400000000000006</v>
      </c>
      <c r="E36" s="138">
        <v>111.11111111111109</v>
      </c>
      <c r="F36" s="139">
        <v>0.54</v>
      </c>
      <c r="H36" t="str">
        <f t="shared" si="0"/>
        <v>150006001500060091</v>
      </c>
    </row>
    <row r="37" spans="1:8" ht="15" customHeight="1" x14ac:dyDescent="0.25">
      <c r="A37" s="110" t="s">
        <v>4963</v>
      </c>
      <c r="B37" s="125" t="s">
        <v>767</v>
      </c>
      <c r="C37" s="138">
        <v>0.54</v>
      </c>
      <c r="D37" s="138">
        <v>32.400000000000006</v>
      </c>
      <c r="E37" s="138">
        <v>111.11111111111109</v>
      </c>
      <c r="F37" s="139">
        <v>0.54</v>
      </c>
      <c r="H37" t="str">
        <f t="shared" si="0"/>
        <v>150006001500060092</v>
      </c>
    </row>
    <row r="38" spans="1:8" ht="15" customHeight="1" x14ac:dyDescent="0.25">
      <c r="A38" s="110" t="s">
        <v>4964</v>
      </c>
      <c r="B38" s="125" t="s">
        <v>768</v>
      </c>
      <c r="C38" s="138">
        <v>0.5</v>
      </c>
      <c r="D38" s="138">
        <v>30</v>
      </c>
      <c r="E38" s="138">
        <v>120</v>
      </c>
      <c r="F38" s="139">
        <v>0.5</v>
      </c>
      <c r="H38" t="str">
        <f t="shared" si="0"/>
        <v>150006001500060093</v>
      </c>
    </row>
    <row r="39" spans="1:8" ht="15" customHeight="1" x14ac:dyDescent="0.25">
      <c r="A39" s="111" t="s">
        <v>4965</v>
      </c>
      <c r="B39" s="126" t="s">
        <v>3311</v>
      </c>
      <c r="C39" s="138">
        <v>1</v>
      </c>
      <c r="D39" s="138">
        <v>60</v>
      </c>
      <c r="E39" s="138">
        <v>60</v>
      </c>
      <c r="F39" s="140">
        <v>1</v>
      </c>
      <c r="H39" t="str">
        <f t="shared" si="0"/>
        <v>150006001500060094</v>
      </c>
    </row>
    <row r="40" spans="1:8" ht="15" customHeight="1" x14ac:dyDescent="0.25">
      <c r="A40" s="111" t="s">
        <v>4966</v>
      </c>
      <c r="B40" s="125" t="s">
        <v>3276</v>
      </c>
      <c r="C40" s="138">
        <v>1</v>
      </c>
      <c r="D40" s="138">
        <v>60</v>
      </c>
      <c r="E40" s="138">
        <v>60</v>
      </c>
      <c r="F40" s="140">
        <v>1</v>
      </c>
      <c r="H40" t="str">
        <f t="shared" si="0"/>
        <v>150006001500060095</v>
      </c>
    </row>
    <row r="41" spans="1:8" ht="15" customHeight="1" x14ac:dyDescent="0.25">
      <c r="A41" s="118" t="s">
        <v>4967</v>
      </c>
      <c r="B41" s="135" t="s">
        <v>3342</v>
      </c>
      <c r="C41" s="138">
        <v>1</v>
      </c>
      <c r="D41" s="138">
        <v>60</v>
      </c>
      <c r="E41" s="138">
        <v>60</v>
      </c>
      <c r="F41" s="144">
        <v>1</v>
      </c>
      <c r="H41" t="str">
        <f t="shared" si="0"/>
        <v>150006001500060096</v>
      </c>
    </row>
    <row r="42" spans="1:8" ht="15" customHeight="1" x14ac:dyDescent="0.25">
      <c r="A42" s="118" t="s">
        <v>4968</v>
      </c>
      <c r="B42" s="135" t="s">
        <v>3341</v>
      </c>
      <c r="C42" s="138">
        <v>1</v>
      </c>
      <c r="D42" s="138">
        <v>60</v>
      </c>
      <c r="E42" s="138">
        <v>60</v>
      </c>
      <c r="F42" s="144">
        <v>1</v>
      </c>
      <c r="H42" t="str">
        <f t="shared" si="0"/>
        <v>150006001500060097</v>
      </c>
    </row>
    <row r="43" spans="1:8" ht="15" customHeight="1" x14ac:dyDescent="0.25">
      <c r="A43" s="112" t="s">
        <v>4969</v>
      </c>
      <c r="B43" s="128" t="s">
        <v>3199</v>
      </c>
      <c r="C43" s="138">
        <v>0.85</v>
      </c>
      <c r="D43" s="138">
        <v>51</v>
      </c>
      <c r="E43" s="138">
        <v>70.588235294117652</v>
      </c>
      <c r="F43" s="140">
        <v>0.85</v>
      </c>
      <c r="H43" t="str">
        <f t="shared" si="0"/>
        <v>150006001500060098</v>
      </c>
    </row>
    <row r="44" spans="1:8" ht="15" customHeight="1" x14ac:dyDescent="0.25">
      <c r="A44" s="112" t="s">
        <v>4970</v>
      </c>
      <c r="B44" s="128" t="s">
        <v>3200</v>
      </c>
      <c r="C44" s="138">
        <v>0.85</v>
      </c>
      <c r="D44" s="138">
        <v>51</v>
      </c>
      <c r="E44" s="138">
        <v>70.588235294117652</v>
      </c>
      <c r="F44" s="140">
        <v>0.85</v>
      </c>
      <c r="H44" t="str">
        <f t="shared" si="0"/>
        <v>150006001500060099</v>
      </c>
    </row>
    <row r="45" spans="1:8" ht="15" customHeight="1" x14ac:dyDescent="0.25">
      <c r="A45" s="110" t="s">
        <v>4971</v>
      </c>
      <c r="B45" s="125" t="s">
        <v>3280</v>
      </c>
      <c r="C45" s="160">
        <v>0.49099999999999999</v>
      </c>
      <c r="D45" s="138">
        <f t="shared" ref="D45:D50" si="1">60*C45</f>
        <v>29.46</v>
      </c>
      <c r="E45" s="138">
        <f t="shared" ref="E45:E50" si="2">60/C45</f>
        <v>122.19959266802444</v>
      </c>
      <c r="F45" s="163">
        <v>0.49099999999999999</v>
      </c>
      <c r="G45" s="200">
        <v>1500060</v>
      </c>
      <c r="H45" t="str">
        <f>CONCATENATE($G$45,A45)</f>
        <v>15000601500060100</v>
      </c>
    </row>
    <row r="46" spans="1:8" ht="15" customHeight="1" x14ac:dyDescent="0.25">
      <c r="A46" s="110" t="s">
        <v>4972</v>
      </c>
      <c r="B46" s="125" t="s">
        <v>3366</v>
      </c>
      <c r="C46" s="160">
        <v>0.49099999999999999</v>
      </c>
      <c r="D46" s="138">
        <f t="shared" si="1"/>
        <v>29.46</v>
      </c>
      <c r="E46" s="138">
        <f t="shared" si="2"/>
        <v>122.19959266802444</v>
      </c>
      <c r="F46" s="163">
        <v>0.49099999999999999</v>
      </c>
      <c r="H46" t="str">
        <f t="shared" ref="H46:H109" si="3">CONCATENATE($G$45,A46)</f>
        <v>15000601500060101</v>
      </c>
    </row>
    <row r="47" spans="1:8" ht="15" customHeight="1" x14ac:dyDescent="0.25">
      <c r="A47" s="110" t="s">
        <v>4973</v>
      </c>
      <c r="B47" s="125" t="s">
        <v>3367</v>
      </c>
      <c r="C47" s="160">
        <v>1.05</v>
      </c>
      <c r="D47" s="138">
        <f t="shared" si="1"/>
        <v>63</v>
      </c>
      <c r="E47" s="138">
        <f t="shared" si="2"/>
        <v>57.142857142857139</v>
      </c>
      <c r="F47" s="163">
        <v>1.05</v>
      </c>
      <c r="H47" t="str">
        <f t="shared" si="3"/>
        <v>15000601500060102</v>
      </c>
    </row>
    <row r="48" spans="1:8" ht="15" customHeight="1" x14ac:dyDescent="0.25">
      <c r="A48" s="110" t="s">
        <v>4974</v>
      </c>
      <c r="B48" s="125" t="s">
        <v>3368</v>
      </c>
      <c r="C48" s="160">
        <v>1.05</v>
      </c>
      <c r="D48" s="138">
        <f t="shared" si="1"/>
        <v>63</v>
      </c>
      <c r="E48" s="138">
        <f t="shared" si="2"/>
        <v>57.142857142857139</v>
      </c>
      <c r="F48" s="163">
        <v>1.05</v>
      </c>
      <c r="H48" t="str">
        <f t="shared" si="3"/>
        <v>15000601500060103</v>
      </c>
    </row>
    <row r="49" spans="1:8" ht="15" customHeight="1" x14ac:dyDescent="0.25">
      <c r="A49" s="110" t="s">
        <v>4975</v>
      </c>
      <c r="B49" s="125" t="s">
        <v>3279</v>
      </c>
      <c r="C49" s="160">
        <v>0.73099999999999998</v>
      </c>
      <c r="D49" s="138">
        <f t="shared" si="1"/>
        <v>43.86</v>
      </c>
      <c r="E49" s="138">
        <f t="shared" si="2"/>
        <v>82.079343365253081</v>
      </c>
      <c r="F49" s="163">
        <v>1.05</v>
      </c>
      <c r="H49" t="str">
        <f t="shared" si="3"/>
        <v>15000601500060104</v>
      </c>
    </row>
    <row r="50" spans="1:8" ht="15" customHeight="1" x14ac:dyDescent="0.25">
      <c r="A50" s="110" t="s">
        <v>4976</v>
      </c>
      <c r="B50" s="125" t="s">
        <v>3369</v>
      </c>
      <c r="C50" s="160">
        <v>0.73099999999999998</v>
      </c>
      <c r="D50" s="138">
        <f t="shared" si="1"/>
        <v>43.86</v>
      </c>
      <c r="E50" s="138">
        <f t="shared" si="2"/>
        <v>82.079343365253081</v>
      </c>
      <c r="F50" s="163">
        <v>1.05</v>
      </c>
      <c r="H50" t="str">
        <f t="shared" si="3"/>
        <v>15000601500060105</v>
      </c>
    </row>
    <row r="51" spans="1:8" ht="15" customHeight="1" x14ac:dyDescent="0.25">
      <c r="A51" s="114" t="s">
        <v>4977</v>
      </c>
      <c r="B51" s="130" t="s">
        <v>3241</v>
      </c>
      <c r="C51" s="138">
        <v>0.5</v>
      </c>
      <c r="D51" s="142">
        <v>30</v>
      </c>
      <c r="E51" s="142">
        <v>120</v>
      </c>
      <c r="F51" s="143">
        <v>0.5</v>
      </c>
      <c r="H51" t="str">
        <f t="shared" si="3"/>
        <v>15000601500060114</v>
      </c>
    </row>
    <row r="52" spans="1:8" ht="15" customHeight="1" x14ac:dyDescent="0.25">
      <c r="A52" s="114" t="s">
        <v>4978</v>
      </c>
      <c r="B52" s="130" t="s">
        <v>3242</v>
      </c>
      <c r="C52" s="138">
        <v>0.5</v>
      </c>
      <c r="D52" s="142">
        <v>30</v>
      </c>
      <c r="E52" s="142">
        <v>120</v>
      </c>
      <c r="F52" s="143">
        <v>0.5</v>
      </c>
      <c r="H52" t="str">
        <f t="shared" si="3"/>
        <v>15000601500060115</v>
      </c>
    </row>
    <row r="53" spans="1:8" ht="15" customHeight="1" x14ac:dyDescent="0.25">
      <c r="A53" s="111" t="s">
        <v>4979</v>
      </c>
      <c r="B53" s="125" t="s">
        <v>3268</v>
      </c>
      <c r="C53" s="138">
        <v>0.4</v>
      </c>
      <c r="D53" s="138">
        <v>24</v>
      </c>
      <c r="E53" s="138">
        <v>150</v>
      </c>
      <c r="F53" s="140">
        <v>0.4</v>
      </c>
      <c r="H53" t="str">
        <f t="shared" si="3"/>
        <v>15000601500060116</v>
      </c>
    </row>
    <row r="54" spans="1:8" ht="15" customHeight="1" x14ac:dyDescent="0.25">
      <c r="A54" s="111" t="s">
        <v>4980</v>
      </c>
      <c r="B54" s="125" t="s">
        <v>3269</v>
      </c>
      <c r="C54" s="138">
        <v>0.4</v>
      </c>
      <c r="D54" s="138">
        <v>24</v>
      </c>
      <c r="E54" s="138">
        <v>150</v>
      </c>
      <c r="F54" s="140">
        <v>0.4</v>
      </c>
      <c r="H54" t="str">
        <f t="shared" si="3"/>
        <v>15000601500060117</v>
      </c>
    </row>
    <row r="55" spans="1:8" ht="15" customHeight="1" x14ac:dyDescent="0.25">
      <c r="A55" s="111" t="s">
        <v>4981</v>
      </c>
      <c r="B55" s="125" t="s">
        <v>3266</v>
      </c>
      <c r="C55" s="138">
        <v>0.5</v>
      </c>
      <c r="D55" s="138">
        <v>30</v>
      </c>
      <c r="E55" s="138">
        <v>120</v>
      </c>
      <c r="F55" s="140">
        <v>0.5</v>
      </c>
      <c r="H55" t="str">
        <f t="shared" si="3"/>
        <v>15000601500060118</v>
      </c>
    </row>
    <row r="56" spans="1:8" ht="15" customHeight="1" x14ac:dyDescent="0.25">
      <c r="A56" s="111" t="s">
        <v>4982</v>
      </c>
      <c r="B56" s="125" t="s">
        <v>3267</v>
      </c>
      <c r="C56" s="138">
        <v>0.5</v>
      </c>
      <c r="D56" s="138">
        <v>30</v>
      </c>
      <c r="E56" s="138">
        <v>120</v>
      </c>
      <c r="F56" s="140">
        <v>0.5</v>
      </c>
      <c r="H56" t="str">
        <f t="shared" si="3"/>
        <v>15000601500060119</v>
      </c>
    </row>
    <row r="57" spans="1:8" ht="15" customHeight="1" x14ac:dyDescent="0.25">
      <c r="A57" s="111" t="s">
        <v>4983</v>
      </c>
      <c r="B57" s="125" t="s">
        <v>3230</v>
      </c>
      <c r="C57" s="138">
        <v>0.6</v>
      </c>
      <c r="D57" s="138">
        <v>36</v>
      </c>
      <c r="E57" s="138">
        <v>100</v>
      </c>
      <c r="F57" s="140">
        <v>0.6</v>
      </c>
      <c r="H57" t="str">
        <f t="shared" si="3"/>
        <v>15000601500060120</v>
      </c>
    </row>
    <row r="58" spans="1:8" ht="15" customHeight="1" x14ac:dyDescent="0.25">
      <c r="A58" s="111" t="s">
        <v>4984</v>
      </c>
      <c r="B58" s="125" t="s">
        <v>3231</v>
      </c>
      <c r="C58" s="138">
        <v>0.6</v>
      </c>
      <c r="D58" s="138">
        <v>36</v>
      </c>
      <c r="E58" s="138">
        <v>100</v>
      </c>
      <c r="F58" s="140">
        <v>0.6</v>
      </c>
      <c r="H58" t="str">
        <f t="shared" si="3"/>
        <v>15000601500060121</v>
      </c>
    </row>
    <row r="59" spans="1:8" ht="15" customHeight="1" x14ac:dyDescent="0.25">
      <c r="A59" s="114" t="s">
        <v>4985</v>
      </c>
      <c r="B59" s="130" t="s">
        <v>3243</v>
      </c>
      <c r="C59" s="138">
        <v>1.4</v>
      </c>
      <c r="D59" s="142">
        <v>84</v>
      </c>
      <c r="E59" s="142">
        <v>42.857142857142854</v>
      </c>
      <c r="F59" s="143">
        <v>1.4</v>
      </c>
      <c r="H59" t="str">
        <f t="shared" si="3"/>
        <v>15000601500060122</v>
      </c>
    </row>
    <row r="60" spans="1:8" ht="15" customHeight="1" x14ac:dyDescent="0.25">
      <c r="A60" s="114" t="s">
        <v>4986</v>
      </c>
      <c r="B60" s="130" t="s">
        <v>3240</v>
      </c>
      <c r="C60" s="138">
        <v>1.4</v>
      </c>
      <c r="D60" s="142">
        <v>84</v>
      </c>
      <c r="E60" s="142">
        <v>42.857142857142854</v>
      </c>
      <c r="F60" s="143">
        <v>1.4</v>
      </c>
      <c r="H60" t="str">
        <f t="shared" si="3"/>
        <v>15000601500060123</v>
      </c>
    </row>
    <row r="61" spans="1:8" ht="15" customHeight="1" x14ac:dyDescent="0.25">
      <c r="A61" s="110" t="s">
        <v>4987</v>
      </c>
      <c r="B61" s="125" t="s">
        <v>561</v>
      </c>
      <c r="C61" s="138">
        <v>0.8</v>
      </c>
      <c r="D61" s="138">
        <v>48</v>
      </c>
      <c r="E61" s="138">
        <v>75</v>
      </c>
      <c r="F61" s="139">
        <v>0.8</v>
      </c>
      <c r="H61" t="str">
        <f t="shared" si="3"/>
        <v>15000601500060140</v>
      </c>
    </row>
    <row r="62" spans="1:8" ht="15" customHeight="1" x14ac:dyDescent="0.25">
      <c r="A62" s="110" t="s">
        <v>4987</v>
      </c>
      <c r="B62" s="125" t="s">
        <v>1478</v>
      </c>
      <c r="C62" s="138">
        <v>0</v>
      </c>
      <c r="D62" s="138">
        <v>0</v>
      </c>
      <c r="E62" s="138" t="e">
        <v>#DIV/0!</v>
      </c>
      <c r="F62" s="139">
        <v>0</v>
      </c>
      <c r="H62" t="str">
        <f t="shared" si="3"/>
        <v>15000601500060140</v>
      </c>
    </row>
    <row r="63" spans="1:8" ht="15" customHeight="1" x14ac:dyDescent="0.25">
      <c r="A63" s="110" t="s">
        <v>4988</v>
      </c>
      <c r="B63" s="125" t="s">
        <v>562</v>
      </c>
      <c r="C63" s="138">
        <v>0.8</v>
      </c>
      <c r="D63" s="138">
        <v>48</v>
      </c>
      <c r="E63" s="138">
        <v>75</v>
      </c>
      <c r="F63" s="139">
        <v>0.8</v>
      </c>
      <c r="H63" t="str">
        <f t="shared" si="3"/>
        <v>15000601500060150</v>
      </c>
    </row>
    <row r="64" spans="1:8" ht="15" customHeight="1" x14ac:dyDescent="0.25">
      <c r="A64" s="110" t="s">
        <v>4988</v>
      </c>
      <c r="B64" s="125" t="s">
        <v>1479</v>
      </c>
      <c r="C64" s="138">
        <v>0</v>
      </c>
      <c r="D64" s="138">
        <v>0</v>
      </c>
      <c r="E64" s="138" t="e">
        <v>#DIV/0!</v>
      </c>
      <c r="F64" s="139">
        <v>0</v>
      </c>
      <c r="H64" t="str">
        <f t="shared" si="3"/>
        <v>15000601500060150</v>
      </c>
    </row>
    <row r="65" spans="1:8" ht="15" customHeight="1" x14ac:dyDescent="0.25">
      <c r="A65" s="110" t="s">
        <v>4989</v>
      </c>
      <c r="B65" s="125" t="s">
        <v>823</v>
      </c>
      <c r="C65" s="138">
        <v>0.21</v>
      </c>
      <c r="D65" s="138">
        <v>12.6</v>
      </c>
      <c r="E65" s="138">
        <v>285.71428571428572</v>
      </c>
      <c r="F65" s="139">
        <v>0.21</v>
      </c>
      <c r="H65" t="str">
        <f t="shared" si="3"/>
        <v>15000601500060162</v>
      </c>
    </row>
    <row r="66" spans="1:8" ht="15" customHeight="1" x14ac:dyDescent="0.25">
      <c r="A66" s="110" t="s">
        <v>4990</v>
      </c>
      <c r="B66" s="125" t="s">
        <v>301</v>
      </c>
      <c r="C66" s="138">
        <v>0.56000000000000005</v>
      </c>
      <c r="D66" s="138">
        <v>33.6</v>
      </c>
      <c r="E66" s="138">
        <v>107.14285714285714</v>
      </c>
      <c r="F66" s="139">
        <v>0.56000000000000005</v>
      </c>
      <c r="H66" t="str">
        <f t="shared" si="3"/>
        <v>15000601500060163</v>
      </c>
    </row>
    <row r="67" spans="1:8" ht="15" customHeight="1" x14ac:dyDescent="0.25">
      <c r="A67" s="110" t="s">
        <v>4991</v>
      </c>
      <c r="B67" s="125" t="s">
        <v>824</v>
      </c>
      <c r="C67" s="138">
        <v>0.56000000000000005</v>
      </c>
      <c r="D67" s="138">
        <v>33.6</v>
      </c>
      <c r="E67" s="138">
        <v>107.14285714285714</v>
      </c>
      <c r="F67" s="139">
        <v>0.56000000000000005</v>
      </c>
      <c r="H67" t="str">
        <f t="shared" si="3"/>
        <v>15000601500060164</v>
      </c>
    </row>
    <row r="68" spans="1:8" ht="15" customHeight="1" x14ac:dyDescent="0.25">
      <c r="A68" s="110" t="s">
        <v>4992</v>
      </c>
      <c r="B68" s="125" t="s">
        <v>302</v>
      </c>
      <c r="C68" s="138">
        <v>0.75</v>
      </c>
      <c r="D68" s="138">
        <v>45</v>
      </c>
      <c r="E68" s="138">
        <v>80</v>
      </c>
      <c r="F68" s="139">
        <v>0.75</v>
      </c>
      <c r="H68" t="str">
        <f t="shared" si="3"/>
        <v>15000601500060166</v>
      </c>
    </row>
    <row r="69" spans="1:8" ht="15" customHeight="1" x14ac:dyDescent="0.25">
      <c r="A69" s="110" t="s">
        <v>4993</v>
      </c>
      <c r="B69" s="125" t="s">
        <v>826</v>
      </c>
      <c r="C69" s="138">
        <v>0.38</v>
      </c>
      <c r="D69" s="138">
        <v>22.8</v>
      </c>
      <c r="E69" s="138">
        <v>157.89473684210526</v>
      </c>
      <c r="F69" s="139">
        <v>0.38</v>
      </c>
      <c r="H69" t="str">
        <f t="shared" si="3"/>
        <v>15000601500060170</v>
      </c>
    </row>
    <row r="70" spans="1:8" ht="15" customHeight="1" x14ac:dyDescent="0.25">
      <c r="A70" s="110" t="s">
        <v>4993</v>
      </c>
      <c r="B70" s="125" t="s">
        <v>1480</v>
      </c>
      <c r="C70" s="138">
        <v>0</v>
      </c>
      <c r="D70" s="138">
        <v>0</v>
      </c>
      <c r="E70" s="138" t="e">
        <v>#DIV/0!</v>
      </c>
      <c r="F70" s="139">
        <v>0</v>
      </c>
      <c r="H70" t="str">
        <f t="shared" si="3"/>
        <v>15000601500060170</v>
      </c>
    </row>
    <row r="71" spans="1:8" ht="15" customHeight="1" x14ac:dyDescent="0.25">
      <c r="A71" s="110" t="s">
        <v>4994</v>
      </c>
      <c r="B71" s="125" t="s">
        <v>16</v>
      </c>
      <c r="C71" s="138">
        <v>0.57999999999999996</v>
      </c>
      <c r="D71" s="138">
        <v>34.799999999999997</v>
      </c>
      <c r="E71" s="138">
        <v>103.44827586206897</v>
      </c>
      <c r="F71" s="139">
        <v>0.57999999999999996</v>
      </c>
      <c r="H71" t="str">
        <f t="shared" si="3"/>
        <v>15000601500060175</v>
      </c>
    </row>
    <row r="72" spans="1:8" ht="15" customHeight="1" x14ac:dyDescent="0.25">
      <c r="A72" s="110" t="s">
        <v>4995</v>
      </c>
      <c r="B72" s="125" t="s">
        <v>828</v>
      </c>
      <c r="C72" s="138">
        <v>0.28999999999999998</v>
      </c>
      <c r="D72" s="138">
        <v>17.399999999999999</v>
      </c>
      <c r="E72" s="138">
        <v>206.89655172413794</v>
      </c>
      <c r="F72" s="139">
        <v>0.28999999999999998</v>
      </c>
      <c r="H72" t="str">
        <f t="shared" si="3"/>
        <v>15000601500060176</v>
      </c>
    </row>
    <row r="73" spans="1:8" ht="15" customHeight="1" x14ac:dyDescent="0.25">
      <c r="A73" s="110" t="s">
        <v>4996</v>
      </c>
      <c r="B73" s="125" t="s">
        <v>829</v>
      </c>
      <c r="C73" s="138">
        <v>0.53</v>
      </c>
      <c r="D73" s="138">
        <v>31.8</v>
      </c>
      <c r="E73" s="138">
        <v>113.20754716981132</v>
      </c>
      <c r="F73" s="139">
        <v>0.53</v>
      </c>
      <c r="H73" t="str">
        <f t="shared" si="3"/>
        <v>15000601500060200</v>
      </c>
    </row>
    <row r="74" spans="1:8" ht="15" customHeight="1" x14ac:dyDescent="0.25">
      <c r="A74" s="110" t="s">
        <v>4996</v>
      </c>
      <c r="B74" s="125" t="s">
        <v>1481</v>
      </c>
      <c r="C74" s="138">
        <v>0.23</v>
      </c>
      <c r="D74" s="138">
        <v>13.8</v>
      </c>
      <c r="E74" s="138">
        <v>260.86956521739131</v>
      </c>
      <c r="F74" s="139">
        <v>0.23</v>
      </c>
      <c r="H74" t="str">
        <f t="shared" si="3"/>
        <v>15000601500060200</v>
      </c>
    </row>
    <row r="75" spans="1:8" ht="15" customHeight="1" x14ac:dyDescent="0.25">
      <c r="A75" s="110" t="s">
        <v>4997</v>
      </c>
      <c r="B75" s="125" t="s">
        <v>830</v>
      </c>
      <c r="C75" s="138">
        <v>0.98</v>
      </c>
      <c r="D75" s="138">
        <v>58.8</v>
      </c>
      <c r="E75" s="138">
        <v>61.224489795918373</v>
      </c>
      <c r="F75" s="139">
        <v>0.98</v>
      </c>
      <c r="H75" t="str">
        <f t="shared" si="3"/>
        <v>15000601500060201</v>
      </c>
    </row>
    <row r="76" spans="1:8" ht="15" customHeight="1" x14ac:dyDescent="0.25">
      <c r="A76" s="110" t="s">
        <v>4998</v>
      </c>
      <c r="B76" s="125" t="s">
        <v>831</v>
      </c>
      <c r="C76" s="138">
        <v>0.98</v>
      </c>
      <c r="D76" s="138">
        <v>58.8</v>
      </c>
      <c r="E76" s="138">
        <v>61.224489795918373</v>
      </c>
      <c r="F76" s="139">
        <v>0.98</v>
      </c>
      <c r="H76" t="str">
        <f t="shared" si="3"/>
        <v>15000601500060202</v>
      </c>
    </row>
    <row r="77" spans="1:8" ht="15" customHeight="1" x14ac:dyDescent="0.25">
      <c r="A77" s="110" t="s">
        <v>4999</v>
      </c>
      <c r="B77" s="125" t="s">
        <v>502</v>
      </c>
      <c r="C77" s="138">
        <v>0.64</v>
      </c>
      <c r="D77" s="138">
        <v>38.4</v>
      </c>
      <c r="E77" s="138">
        <v>93.75</v>
      </c>
      <c r="F77" s="139">
        <v>0.64</v>
      </c>
      <c r="H77" t="str">
        <f t="shared" si="3"/>
        <v>15000601500060203</v>
      </c>
    </row>
    <row r="78" spans="1:8" ht="15" customHeight="1" x14ac:dyDescent="0.25">
      <c r="A78" s="110" t="s">
        <v>5000</v>
      </c>
      <c r="B78" s="125" t="s">
        <v>832</v>
      </c>
      <c r="C78" s="138">
        <v>0.64</v>
      </c>
      <c r="D78" s="138">
        <v>38.4</v>
      </c>
      <c r="E78" s="138">
        <v>93.75</v>
      </c>
      <c r="F78" s="139">
        <v>0.64</v>
      </c>
      <c r="H78" t="str">
        <f t="shared" si="3"/>
        <v>15000601500060204</v>
      </c>
    </row>
    <row r="79" spans="1:8" ht="15" customHeight="1" x14ac:dyDescent="0.25">
      <c r="A79" s="110" t="s">
        <v>5001</v>
      </c>
      <c r="B79" s="125" t="s">
        <v>503</v>
      </c>
      <c r="C79" s="138">
        <v>0.61</v>
      </c>
      <c r="D79" s="138">
        <v>36.6</v>
      </c>
      <c r="E79" s="138">
        <v>98.360655737704917</v>
      </c>
      <c r="F79" s="139">
        <v>0.61</v>
      </c>
      <c r="H79" t="str">
        <f t="shared" si="3"/>
        <v>15000601500060205</v>
      </c>
    </row>
    <row r="80" spans="1:8" ht="15" customHeight="1" x14ac:dyDescent="0.25">
      <c r="A80" s="110" t="s">
        <v>5002</v>
      </c>
      <c r="B80" s="125" t="s">
        <v>504</v>
      </c>
      <c r="C80" s="138">
        <v>0.61</v>
      </c>
      <c r="D80" s="138">
        <v>36.6</v>
      </c>
      <c r="E80" s="138">
        <v>98.360655737704917</v>
      </c>
      <c r="F80" s="139">
        <v>0.61</v>
      </c>
      <c r="H80" t="str">
        <f t="shared" si="3"/>
        <v>15000601500060206</v>
      </c>
    </row>
    <row r="81" spans="1:8" ht="15" customHeight="1" x14ac:dyDescent="0.25">
      <c r="A81" s="110" t="s">
        <v>5003</v>
      </c>
      <c r="B81" s="125" t="s">
        <v>1482</v>
      </c>
      <c r="C81" s="138">
        <v>0.23</v>
      </c>
      <c r="D81" s="138">
        <v>13.8</v>
      </c>
      <c r="E81" s="138">
        <v>260.86956521739131</v>
      </c>
      <c r="F81" s="139">
        <v>0.23</v>
      </c>
      <c r="H81" t="str">
        <f t="shared" si="3"/>
        <v>15000601500060210</v>
      </c>
    </row>
    <row r="82" spans="1:8" ht="15" customHeight="1" x14ac:dyDescent="0.25">
      <c r="A82" s="110" t="s">
        <v>5004</v>
      </c>
      <c r="B82" s="125" t="s">
        <v>1483</v>
      </c>
      <c r="C82" s="138">
        <v>0.73</v>
      </c>
      <c r="D82" s="138">
        <v>43.8</v>
      </c>
      <c r="E82" s="138">
        <v>82.191780821917817</v>
      </c>
      <c r="F82" s="139">
        <v>0.73</v>
      </c>
      <c r="H82" t="str">
        <f t="shared" si="3"/>
        <v>15000601500060220</v>
      </c>
    </row>
    <row r="83" spans="1:8" ht="15" customHeight="1" x14ac:dyDescent="0.25">
      <c r="A83" s="110" t="s">
        <v>5005</v>
      </c>
      <c r="B83" s="125" t="s">
        <v>1484</v>
      </c>
      <c r="C83" s="138">
        <v>2.04</v>
      </c>
      <c r="D83" s="138">
        <v>122.4</v>
      </c>
      <c r="E83" s="138">
        <v>29.411764705882351</v>
      </c>
      <c r="F83" s="139">
        <v>2.04</v>
      </c>
      <c r="H83" t="str">
        <f t="shared" si="3"/>
        <v>15000601500060230</v>
      </c>
    </row>
    <row r="84" spans="1:8" ht="15" customHeight="1" x14ac:dyDescent="0.25">
      <c r="A84" s="110" t="s">
        <v>5006</v>
      </c>
      <c r="B84" s="125" t="s">
        <v>1485</v>
      </c>
      <c r="C84" s="138">
        <v>2.04</v>
      </c>
      <c r="D84" s="138">
        <v>122.4</v>
      </c>
      <c r="E84" s="138">
        <v>29.411764705882351</v>
      </c>
      <c r="F84" s="139">
        <v>2.04</v>
      </c>
      <c r="H84" t="str">
        <f t="shared" si="3"/>
        <v>15000601500060240</v>
      </c>
    </row>
    <row r="85" spans="1:8" ht="15" customHeight="1" x14ac:dyDescent="0.25">
      <c r="A85" s="110" t="s">
        <v>5007</v>
      </c>
      <c r="B85" s="125" t="s">
        <v>557</v>
      </c>
      <c r="C85" s="138">
        <v>2</v>
      </c>
      <c r="D85" s="138">
        <v>120</v>
      </c>
      <c r="E85" s="138">
        <v>30</v>
      </c>
      <c r="F85" s="139">
        <v>2</v>
      </c>
      <c r="H85" t="str">
        <f t="shared" si="3"/>
        <v>15000601500060246</v>
      </c>
    </row>
    <row r="86" spans="1:8" ht="15" customHeight="1" x14ac:dyDescent="0.25">
      <c r="A86" s="110" t="s">
        <v>5008</v>
      </c>
      <c r="B86" s="125" t="s">
        <v>558</v>
      </c>
      <c r="C86" s="138">
        <v>2</v>
      </c>
      <c r="D86" s="138">
        <v>120</v>
      </c>
      <c r="E86" s="138">
        <v>30</v>
      </c>
      <c r="F86" s="139">
        <v>2</v>
      </c>
      <c r="H86" t="str">
        <f t="shared" si="3"/>
        <v>15000601500060247</v>
      </c>
    </row>
    <row r="87" spans="1:8" ht="15" customHeight="1" x14ac:dyDescent="0.25">
      <c r="A87" s="110" t="s">
        <v>5009</v>
      </c>
      <c r="B87" s="125" t="s">
        <v>833</v>
      </c>
      <c r="C87" s="138">
        <v>0.47</v>
      </c>
      <c r="D87" s="138">
        <v>28.2</v>
      </c>
      <c r="E87" s="138">
        <v>127.65957446808511</v>
      </c>
      <c r="F87" s="139">
        <v>0.47</v>
      </c>
      <c r="H87" t="str">
        <f t="shared" si="3"/>
        <v>15000601500060248</v>
      </c>
    </row>
    <row r="88" spans="1:8" ht="15" customHeight="1" x14ac:dyDescent="0.25">
      <c r="A88" s="110" t="s">
        <v>5010</v>
      </c>
      <c r="B88" s="125" t="s">
        <v>834</v>
      </c>
      <c r="C88" s="138">
        <v>0.47</v>
      </c>
      <c r="D88" s="138">
        <v>28.2</v>
      </c>
      <c r="E88" s="138">
        <v>127.65957446808511</v>
      </c>
      <c r="F88" s="139">
        <v>0.47</v>
      </c>
      <c r="H88" t="str">
        <f t="shared" si="3"/>
        <v>15000601500060249</v>
      </c>
    </row>
    <row r="89" spans="1:8" ht="15" customHeight="1" x14ac:dyDescent="0.25">
      <c r="A89" s="110" t="s">
        <v>5011</v>
      </c>
      <c r="B89" s="125" t="s">
        <v>17</v>
      </c>
      <c r="C89" s="138">
        <v>0.89</v>
      </c>
      <c r="D89" s="138">
        <v>53.4</v>
      </c>
      <c r="E89" s="138">
        <v>67.415730337078656</v>
      </c>
      <c r="F89" s="139">
        <v>0.89</v>
      </c>
      <c r="H89" t="str">
        <f t="shared" si="3"/>
        <v>15000601500060250</v>
      </c>
    </row>
    <row r="90" spans="1:8" ht="15" customHeight="1" x14ac:dyDescent="0.25">
      <c r="A90" s="110" t="s">
        <v>5011</v>
      </c>
      <c r="B90" s="125" t="s">
        <v>1486</v>
      </c>
      <c r="C90" s="138">
        <v>1.1499999999999999</v>
      </c>
      <c r="D90" s="138">
        <v>69</v>
      </c>
      <c r="E90" s="138">
        <v>52.173913043478258</v>
      </c>
      <c r="F90" s="139">
        <v>1.1499999999999999</v>
      </c>
      <c r="H90" t="str">
        <f t="shared" si="3"/>
        <v>15000601500060250</v>
      </c>
    </row>
    <row r="91" spans="1:8" ht="15" customHeight="1" x14ac:dyDescent="0.25">
      <c r="A91" s="110" t="s">
        <v>5012</v>
      </c>
      <c r="B91" s="125" t="s">
        <v>836</v>
      </c>
      <c r="C91" s="138">
        <v>0.83</v>
      </c>
      <c r="D91" s="138">
        <v>49.8</v>
      </c>
      <c r="E91" s="138">
        <v>72.289156626506028</v>
      </c>
      <c r="F91" s="139">
        <v>0.83</v>
      </c>
      <c r="H91" t="str">
        <f t="shared" si="3"/>
        <v>15000601500060251</v>
      </c>
    </row>
    <row r="92" spans="1:8" ht="15" customHeight="1" x14ac:dyDescent="0.25">
      <c r="A92" s="110" t="s">
        <v>5013</v>
      </c>
      <c r="B92" s="125" t="s">
        <v>836</v>
      </c>
      <c r="C92" s="138">
        <v>0.83</v>
      </c>
      <c r="D92" s="138">
        <v>49.8</v>
      </c>
      <c r="E92" s="138">
        <v>72.289156626506028</v>
      </c>
      <c r="F92" s="139">
        <v>0.83</v>
      </c>
      <c r="H92" t="str">
        <f t="shared" si="3"/>
        <v>15000601500060252</v>
      </c>
    </row>
    <row r="93" spans="1:8" ht="15" customHeight="1" x14ac:dyDescent="0.25">
      <c r="A93" s="110" t="s">
        <v>5014</v>
      </c>
      <c r="B93" s="125" t="s">
        <v>837</v>
      </c>
      <c r="C93" s="138">
        <v>0.88</v>
      </c>
      <c r="D93" s="138">
        <v>52.8</v>
      </c>
      <c r="E93" s="138">
        <v>68.181818181818187</v>
      </c>
      <c r="F93" s="139">
        <v>0.88</v>
      </c>
      <c r="H93" t="str">
        <f t="shared" si="3"/>
        <v>15000601500060253</v>
      </c>
    </row>
    <row r="94" spans="1:8" ht="15" customHeight="1" x14ac:dyDescent="0.25">
      <c r="A94" s="110" t="s">
        <v>5015</v>
      </c>
      <c r="B94" s="125" t="s">
        <v>838</v>
      </c>
      <c r="C94" s="138">
        <v>0.88</v>
      </c>
      <c r="D94" s="138">
        <v>52.8</v>
      </c>
      <c r="E94" s="138">
        <v>68.181818181818187</v>
      </c>
      <c r="F94" s="139">
        <v>0.88</v>
      </c>
      <c r="H94" t="str">
        <f t="shared" si="3"/>
        <v>15000601500060254</v>
      </c>
    </row>
    <row r="95" spans="1:8" ht="15" customHeight="1" x14ac:dyDescent="0.25">
      <c r="A95" s="110" t="s">
        <v>5016</v>
      </c>
      <c r="B95" s="125" t="s">
        <v>18</v>
      </c>
      <c r="C95" s="138">
        <v>1.06</v>
      </c>
      <c r="D95" s="138">
        <v>63.6</v>
      </c>
      <c r="E95" s="138">
        <v>56.60377358490566</v>
      </c>
      <c r="F95" s="139">
        <v>1.06</v>
      </c>
      <c r="H95" t="str">
        <f t="shared" si="3"/>
        <v>15000601500060255</v>
      </c>
    </row>
    <row r="96" spans="1:8" ht="15" customHeight="1" x14ac:dyDescent="0.25">
      <c r="A96" s="110" t="s">
        <v>5017</v>
      </c>
      <c r="B96" s="125" t="s">
        <v>19</v>
      </c>
      <c r="C96" s="138">
        <v>0.89</v>
      </c>
      <c r="D96" s="138">
        <v>53.4</v>
      </c>
      <c r="E96" s="138">
        <v>67.415730337078656</v>
      </c>
      <c r="F96" s="139">
        <v>0.89</v>
      </c>
      <c r="H96" t="str">
        <f t="shared" si="3"/>
        <v>15000601500060260</v>
      </c>
    </row>
    <row r="97" spans="1:8" ht="15" customHeight="1" x14ac:dyDescent="0.25">
      <c r="A97" s="110" t="s">
        <v>5017</v>
      </c>
      <c r="B97" s="125" t="s">
        <v>1487</v>
      </c>
      <c r="C97" s="138">
        <v>1.1499999999999999</v>
      </c>
      <c r="D97" s="138">
        <v>69</v>
      </c>
      <c r="E97" s="138">
        <v>52.173913043478258</v>
      </c>
      <c r="F97" s="139">
        <v>1.1499999999999999</v>
      </c>
      <c r="H97" t="str">
        <f t="shared" si="3"/>
        <v>15000601500060260</v>
      </c>
    </row>
    <row r="98" spans="1:8" ht="15" customHeight="1" x14ac:dyDescent="0.25">
      <c r="A98" s="110" t="s">
        <v>5018</v>
      </c>
      <c r="B98" s="125" t="s">
        <v>20</v>
      </c>
      <c r="C98" s="138">
        <v>1.06</v>
      </c>
      <c r="D98" s="138">
        <v>63.6</v>
      </c>
      <c r="E98" s="138">
        <v>56.60377358490566</v>
      </c>
      <c r="F98" s="139">
        <v>1.06</v>
      </c>
      <c r="H98" t="str">
        <f t="shared" si="3"/>
        <v>15000601500060265</v>
      </c>
    </row>
    <row r="99" spans="1:8" ht="15" customHeight="1" x14ac:dyDescent="0.25">
      <c r="A99" s="110" t="s">
        <v>5019</v>
      </c>
      <c r="B99" s="125" t="s">
        <v>1488</v>
      </c>
      <c r="C99" s="138">
        <v>0.24</v>
      </c>
      <c r="D99" s="138">
        <v>14.399999999999999</v>
      </c>
      <c r="E99" s="138">
        <v>250.00000000000003</v>
      </c>
      <c r="F99" s="139">
        <v>0.24</v>
      </c>
      <c r="H99" t="str">
        <f t="shared" si="3"/>
        <v>15000601500060280</v>
      </c>
    </row>
    <row r="100" spans="1:8" ht="15" customHeight="1" x14ac:dyDescent="0.25">
      <c r="A100" s="110" t="s">
        <v>5020</v>
      </c>
      <c r="B100" s="125" t="s">
        <v>839</v>
      </c>
      <c r="C100" s="138">
        <v>0.39</v>
      </c>
      <c r="D100" s="138">
        <v>23.400000000000002</v>
      </c>
      <c r="E100" s="138">
        <v>153.84615384615384</v>
      </c>
      <c r="F100" s="139">
        <v>0.39</v>
      </c>
      <c r="H100" t="str">
        <f t="shared" si="3"/>
        <v>15000601500060281</v>
      </c>
    </row>
    <row r="101" spans="1:8" ht="15" customHeight="1" x14ac:dyDescent="0.25">
      <c r="A101" s="110" t="s">
        <v>5021</v>
      </c>
      <c r="B101" s="125" t="s">
        <v>840</v>
      </c>
      <c r="C101" s="138">
        <v>0.39</v>
      </c>
      <c r="D101" s="138">
        <v>23.400000000000002</v>
      </c>
      <c r="E101" s="138">
        <v>153.84615384615384</v>
      </c>
      <c r="F101" s="139">
        <v>0.39</v>
      </c>
      <c r="H101" t="str">
        <f t="shared" si="3"/>
        <v>15000601500060282</v>
      </c>
    </row>
    <row r="102" spans="1:8" ht="15" customHeight="1" x14ac:dyDescent="0.25">
      <c r="A102" s="110" t="s">
        <v>5022</v>
      </c>
      <c r="B102" s="125" t="s">
        <v>624</v>
      </c>
      <c r="C102" s="138">
        <v>0.46</v>
      </c>
      <c r="D102" s="138">
        <v>27.6</v>
      </c>
      <c r="E102" s="138">
        <v>130.43478260869566</v>
      </c>
      <c r="F102" s="139">
        <v>0.46</v>
      </c>
      <c r="H102" t="str">
        <f t="shared" si="3"/>
        <v>15000601500060283</v>
      </c>
    </row>
    <row r="103" spans="1:8" ht="15" customHeight="1" x14ac:dyDescent="0.25">
      <c r="A103" s="110" t="s">
        <v>5023</v>
      </c>
      <c r="B103" s="125" t="s">
        <v>625</v>
      </c>
      <c r="C103" s="138">
        <v>0.46</v>
      </c>
      <c r="D103" s="138">
        <v>27.6</v>
      </c>
      <c r="E103" s="138">
        <v>130.43478260869566</v>
      </c>
      <c r="F103" s="139">
        <v>0.46</v>
      </c>
      <c r="H103" t="str">
        <f t="shared" si="3"/>
        <v>15000601500060284</v>
      </c>
    </row>
    <row r="104" spans="1:8" ht="15" customHeight="1" x14ac:dyDescent="0.25">
      <c r="A104" s="110" t="s">
        <v>5024</v>
      </c>
      <c r="B104" s="125" t="s">
        <v>841</v>
      </c>
      <c r="C104" s="138">
        <v>0.46</v>
      </c>
      <c r="D104" s="138">
        <v>27.6</v>
      </c>
      <c r="E104" s="138">
        <v>130.43478260869566</v>
      </c>
      <c r="F104" s="139">
        <v>0.46</v>
      </c>
      <c r="H104" t="str">
        <f t="shared" si="3"/>
        <v>15000601500060285</v>
      </c>
    </row>
    <row r="105" spans="1:8" ht="15" customHeight="1" x14ac:dyDescent="0.25">
      <c r="A105" s="110" t="s">
        <v>5024</v>
      </c>
      <c r="B105" s="125" t="s">
        <v>1489</v>
      </c>
      <c r="C105" s="138">
        <v>0.24</v>
      </c>
      <c r="D105" s="138">
        <v>14.399999999999999</v>
      </c>
      <c r="E105" s="138">
        <v>250.00000000000003</v>
      </c>
      <c r="F105" s="139">
        <v>0.24</v>
      </c>
      <c r="H105" t="str">
        <f t="shared" si="3"/>
        <v>15000601500060285</v>
      </c>
    </row>
    <row r="106" spans="1:8" ht="15" customHeight="1" x14ac:dyDescent="0.25">
      <c r="A106" s="110" t="s">
        <v>5025</v>
      </c>
      <c r="B106" s="125" t="s">
        <v>842</v>
      </c>
      <c r="C106" s="138">
        <v>0.46</v>
      </c>
      <c r="D106" s="138">
        <v>27.6</v>
      </c>
      <c r="E106" s="138">
        <v>130.43478260869566</v>
      </c>
      <c r="F106" s="139">
        <v>0.46</v>
      </c>
      <c r="H106" t="str">
        <f t="shared" si="3"/>
        <v>15000601500060286</v>
      </c>
    </row>
    <row r="107" spans="1:8" ht="15" customHeight="1" x14ac:dyDescent="0.25">
      <c r="A107" s="110" t="s">
        <v>5026</v>
      </c>
      <c r="B107" s="125" t="s">
        <v>530</v>
      </c>
      <c r="C107" s="138">
        <v>0.42</v>
      </c>
      <c r="D107" s="138">
        <v>25.2</v>
      </c>
      <c r="E107" s="138">
        <v>142.85714285714286</v>
      </c>
      <c r="F107" s="139">
        <v>0.42</v>
      </c>
      <c r="H107" t="str">
        <f t="shared" si="3"/>
        <v>15000601500060287</v>
      </c>
    </row>
    <row r="108" spans="1:8" ht="15" customHeight="1" x14ac:dyDescent="0.25">
      <c r="A108" s="110" t="s">
        <v>5027</v>
      </c>
      <c r="B108" s="125" t="s">
        <v>531</v>
      </c>
      <c r="C108" s="138">
        <v>0.42</v>
      </c>
      <c r="D108" s="138">
        <v>25.2</v>
      </c>
      <c r="E108" s="138">
        <v>142.85714285714286</v>
      </c>
      <c r="F108" s="139">
        <v>0.42</v>
      </c>
      <c r="H108" t="str">
        <f t="shared" si="3"/>
        <v>15000601500060288</v>
      </c>
    </row>
    <row r="109" spans="1:8" ht="15" customHeight="1" x14ac:dyDescent="0.25">
      <c r="A109" s="110" t="s">
        <v>5028</v>
      </c>
      <c r="B109" s="125" t="s">
        <v>544</v>
      </c>
      <c r="C109" s="138">
        <v>0.32</v>
      </c>
      <c r="D109" s="138">
        <v>19.2</v>
      </c>
      <c r="E109" s="138">
        <v>187.5</v>
      </c>
      <c r="F109" s="139">
        <v>0.32</v>
      </c>
      <c r="H109" t="str">
        <f t="shared" si="3"/>
        <v>15000601500060289</v>
      </c>
    </row>
    <row r="110" spans="1:8" ht="15" customHeight="1" x14ac:dyDescent="0.25">
      <c r="A110" s="110" t="s">
        <v>5029</v>
      </c>
      <c r="B110" s="125" t="s">
        <v>534</v>
      </c>
      <c r="C110" s="138">
        <v>0.32</v>
      </c>
      <c r="D110" s="138">
        <v>19.2</v>
      </c>
      <c r="E110" s="138">
        <v>187.5</v>
      </c>
      <c r="F110" s="139">
        <v>0.32</v>
      </c>
      <c r="H110" t="str">
        <f t="shared" ref="H110:H173" si="4">CONCATENATE($G$45,A110)</f>
        <v>15000601500060290</v>
      </c>
    </row>
    <row r="111" spans="1:8" ht="15" customHeight="1" x14ac:dyDescent="0.25">
      <c r="A111" s="110" t="s">
        <v>5029</v>
      </c>
      <c r="B111" s="125" t="s">
        <v>1490</v>
      </c>
      <c r="C111" s="138">
        <v>0.3</v>
      </c>
      <c r="D111" s="138">
        <v>18</v>
      </c>
      <c r="E111" s="138">
        <v>200</v>
      </c>
      <c r="F111" s="139">
        <v>0.3</v>
      </c>
      <c r="H111" t="str">
        <f t="shared" si="4"/>
        <v>15000601500060290</v>
      </c>
    </row>
    <row r="112" spans="1:8" ht="15" customHeight="1" x14ac:dyDescent="0.25">
      <c r="A112" s="110" t="s">
        <v>5030</v>
      </c>
      <c r="B112" s="125" t="s">
        <v>535</v>
      </c>
      <c r="C112" s="138">
        <v>0.32</v>
      </c>
      <c r="D112" s="138">
        <v>19.2</v>
      </c>
      <c r="E112" s="138">
        <v>187.5</v>
      </c>
      <c r="F112" s="139">
        <v>0.32</v>
      </c>
      <c r="H112" t="str">
        <f t="shared" si="4"/>
        <v>15000601500060291</v>
      </c>
    </row>
    <row r="113" spans="1:8" ht="15" customHeight="1" x14ac:dyDescent="0.25">
      <c r="A113" s="110" t="s">
        <v>5031</v>
      </c>
      <c r="B113" s="125" t="s">
        <v>536</v>
      </c>
      <c r="C113" s="138">
        <v>0.17</v>
      </c>
      <c r="D113" s="138">
        <v>10.200000000000001</v>
      </c>
      <c r="E113" s="138">
        <v>352.94117647058818</v>
      </c>
      <c r="F113" s="139">
        <v>0.17</v>
      </c>
      <c r="H113" t="str">
        <f t="shared" si="4"/>
        <v>15000601500060292</v>
      </c>
    </row>
    <row r="114" spans="1:8" ht="15" customHeight="1" x14ac:dyDescent="0.25">
      <c r="A114" s="110" t="s">
        <v>5032</v>
      </c>
      <c r="B114" s="125" t="s">
        <v>537</v>
      </c>
      <c r="C114" s="138">
        <v>0.17</v>
      </c>
      <c r="D114" s="138">
        <v>10.200000000000001</v>
      </c>
      <c r="E114" s="138">
        <v>352.94117647058818</v>
      </c>
      <c r="F114" s="139">
        <v>0.17</v>
      </c>
      <c r="H114" t="str">
        <f t="shared" si="4"/>
        <v>15000601500060293</v>
      </c>
    </row>
    <row r="115" spans="1:8" ht="15" customHeight="1" x14ac:dyDescent="0.25">
      <c r="A115" s="110" t="s">
        <v>5033</v>
      </c>
      <c r="B115" s="125" t="s">
        <v>538</v>
      </c>
      <c r="C115" s="138">
        <v>0.17</v>
      </c>
      <c r="D115" s="138">
        <v>10.200000000000001</v>
      </c>
      <c r="E115" s="138">
        <v>352.94117647058818</v>
      </c>
      <c r="F115" s="139">
        <v>0.17</v>
      </c>
      <c r="H115" t="str">
        <f t="shared" si="4"/>
        <v>15000601500060294</v>
      </c>
    </row>
    <row r="116" spans="1:8" ht="15" customHeight="1" x14ac:dyDescent="0.25">
      <c r="A116" s="110" t="s">
        <v>5034</v>
      </c>
      <c r="B116" s="125" t="s">
        <v>539</v>
      </c>
      <c r="C116" s="138">
        <v>0.17</v>
      </c>
      <c r="D116" s="138">
        <v>10.200000000000001</v>
      </c>
      <c r="E116" s="138">
        <v>352.94117647058818</v>
      </c>
      <c r="F116" s="139">
        <v>0.17</v>
      </c>
      <c r="H116" t="str">
        <f t="shared" si="4"/>
        <v>15000601500060295</v>
      </c>
    </row>
    <row r="117" spans="1:8" ht="15" customHeight="1" x14ac:dyDescent="0.25">
      <c r="A117" s="110" t="s">
        <v>5034</v>
      </c>
      <c r="B117" s="125" t="s">
        <v>1491</v>
      </c>
      <c r="C117" s="138">
        <v>0.3</v>
      </c>
      <c r="D117" s="138">
        <v>18</v>
      </c>
      <c r="E117" s="138">
        <v>200</v>
      </c>
      <c r="F117" s="139">
        <v>0.3</v>
      </c>
      <c r="H117" t="str">
        <f t="shared" si="4"/>
        <v>15000601500060295</v>
      </c>
    </row>
    <row r="118" spans="1:8" ht="15" customHeight="1" x14ac:dyDescent="0.25">
      <c r="A118" s="110" t="s">
        <v>5035</v>
      </c>
      <c r="B118" s="125" t="s">
        <v>843</v>
      </c>
      <c r="C118" s="138">
        <v>0.17</v>
      </c>
      <c r="D118" s="138">
        <v>10.200000000000001</v>
      </c>
      <c r="E118" s="138">
        <v>352.94117647058818</v>
      </c>
      <c r="F118" s="139">
        <v>0.17</v>
      </c>
      <c r="H118" t="str">
        <f t="shared" si="4"/>
        <v>15000601500060296</v>
      </c>
    </row>
    <row r="119" spans="1:8" ht="15" customHeight="1" x14ac:dyDescent="0.25">
      <c r="A119" s="110" t="s">
        <v>5036</v>
      </c>
      <c r="B119" s="125" t="s">
        <v>541</v>
      </c>
      <c r="C119" s="138">
        <v>0.28999999999999998</v>
      </c>
      <c r="D119" s="138">
        <v>17.399999999999999</v>
      </c>
      <c r="E119" s="138">
        <v>206.89655172413794</v>
      </c>
      <c r="F119" s="139">
        <v>0.28999999999999998</v>
      </c>
      <c r="H119" t="str">
        <f t="shared" si="4"/>
        <v>15000601500060297</v>
      </c>
    </row>
    <row r="120" spans="1:8" ht="15" customHeight="1" x14ac:dyDescent="0.25">
      <c r="A120" s="110" t="s">
        <v>5037</v>
      </c>
      <c r="B120" s="125" t="s">
        <v>540</v>
      </c>
      <c r="C120" s="138">
        <v>1.43</v>
      </c>
      <c r="D120" s="138">
        <v>85.8</v>
      </c>
      <c r="E120" s="138">
        <v>41.95804195804196</v>
      </c>
      <c r="F120" s="139">
        <v>1.43</v>
      </c>
      <c r="H120" t="str">
        <f t="shared" si="4"/>
        <v>15000601500060298</v>
      </c>
    </row>
    <row r="121" spans="1:8" ht="15" customHeight="1" x14ac:dyDescent="0.25">
      <c r="A121" s="110" t="s">
        <v>5038</v>
      </c>
      <c r="B121" s="125" t="s">
        <v>559</v>
      </c>
      <c r="C121" s="138">
        <v>0.22</v>
      </c>
      <c r="D121" s="138">
        <v>13.2</v>
      </c>
      <c r="E121" s="138">
        <v>272.72727272727275</v>
      </c>
      <c r="F121" s="139">
        <v>0.22</v>
      </c>
      <c r="H121" t="str">
        <f t="shared" si="4"/>
        <v>15000601500060299</v>
      </c>
    </row>
    <row r="122" spans="1:8" ht="15" customHeight="1" x14ac:dyDescent="0.25">
      <c r="A122" s="110" t="s">
        <v>5039</v>
      </c>
      <c r="B122" s="125" t="s">
        <v>844</v>
      </c>
      <c r="C122" s="138">
        <v>0.61</v>
      </c>
      <c r="D122" s="138">
        <v>36.6</v>
      </c>
      <c r="E122" s="138">
        <v>98.360655737704917</v>
      </c>
      <c r="F122" s="139">
        <v>0.61</v>
      </c>
      <c r="H122" t="str">
        <f t="shared" si="4"/>
        <v>15000601500060300</v>
      </c>
    </row>
    <row r="123" spans="1:8" ht="15" customHeight="1" x14ac:dyDescent="0.25">
      <c r="A123" s="110" t="s">
        <v>5039</v>
      </c>
      <c r="B123" s="125" t="s">
        <v>1492</v>
      </c>
      <c r="C123" s="138">
        <v>0</v>
      </c>
      <c r="D123" s="138">
        <v>0</v>
      </c>
      <c r="E123" s="138" t="e">
        <v>#DIV/0!</v>
      </c>
      <c r="F123" s="139">
        <v>0</v>
      </c>
      <c r="H123" t="str">
        <f t="shared" si="4"/>
        <v>15000601500060300</v>
      </c>
    </row>
    <row r="124" spans="1:8" ht="15" customHeight="1" x14ac:dyDescent="0.25">
      <c r="A124" s="110" t="s">
        <v>5040</v>
      </c>
      <c r="B124" s="125" t="s">
        <v>304</v>
      </c>
      <c r="C124" s="138">
        <v>0.86</v>
      </c>
      <c r="D124" s="138">
        <v>51.6</v>
      </c>
      <c r="E124" s="138">
        <v>69.767441860465112</v>
      </c>
      <c r="F124" s="139">
        <v>0.86</v>
      </c>
      <c r="H124" t="str">
        <f t="shared" si="4"/>
        <v>15000601500060301</v>
      </c>
    </row>
    <row r="125" spans="1:8" ht="15" customHeight="1" x14ac:dyDescent="0.25">
      <c r="A125" s="110" t="s">
        <v>5041</v>
      </c>
      <c r="B125" s="125" t="s">
        <v>560</v>
      </c>
      <c r="C125" s="138">
        <v>0.26</v>
      </c>
      <c r="D125" s="138">
        <v>15.600000000000001</v>
      </c>
      <c r="E125" s="138">
        <v>230.76923076923075</v>
      </c>
      <c r="F125" s="139">
        <v>0.26</v>
      </c>
      <c r="H125" t="str">
        <f t="shared" si="4"/>
        <v>15000601500060302</v>
      </c>
    </row>
    <row r="126" spans="1:8" ht="15" customHeight="1" x14ac:dyDescent="0.25">
      <c r="A126" s="110" t="s">
        <v>5042</v>
      </c>
      <c r="B126" s="125" t="s">
        <v>845</v>
      </c>
      <c r="C126" s="138">
        <v>0.26</v>
      </c>
      <c r="D126" s="138">
        <v>15.600000000000001</v>
      </c>
      <c r="E126" s="138">
        <v>230.76923076923075</v>
      </c>
      <c r="F126" s="139">
        <v>0.26</v>
      </c>
      <c r="H126" t="str">
        <f t="shared" si="4"/>
        <v>15000601500060303</v>
      </c>
    </row>
    <row r="127" spans="1:8" ht="15" customHeight="1" x14ac:dyDescent="0.25">
      <c r="A127" s="110" t="s">
        <v>5043</v>
      </c>
      <c r="B127" s="125" t="s">
        <v>846</v>
      </c>
      <c r="C127" s="138">
        <v>0.26</v>
      </c>
      <c r="D127" s="138">
        <v>15.600000000000001</v>
      </c>
      <c r="E127" s="138">
        <v>230.76923076923075</v>
      </c>
      <c r="F127" s="139">
        <v>0.26</v>
      </c>
      <c r="H127" t="str">
        <f t="shared" si="4"/>
        <v>15000601500060304</v>
      </c>
    </row>
    <row r="128" spans="1:8" ht="15" customHeight="1" x14ac:dyDescent="0.25">
      <c r="A128" s="110" t="s">
        <v>5044</v>
      </c>
      <c r="B128" s="125" t="s">
        <v>847</v>
      </c>
      <c r="C128" s="138">
        <v>0.26</v>
      </c>
      <c r="D128" s="138">
        <v>15.600000000000001</v>
      </c>
      <c r="E128" s="138">
        <v>230.76923076923075</v>
      </c>
      <c r="F128" s="139">
        <v>0.26</v>
      </c>
      <c r="H128" t="str">
        <f t="shared" si="4"/>
        <v>15000601500060305</v>
      </c>
    </row>
    <row r="129" spans="1:8" ht="15" customHeight="1" x14ac:dyDescent="0.25">
      <c r="A129" s="110" t="s">
        <v>5044</v>
      </c>
      <c r="B129" s="125" t="s">
        <v>1493</v>
      </c>
      <c r="C129" s="138">
        <v>0</v>
      </c>
      <c r="D129" s="138">
        <v>0</v>
      </c>
      <c r="E129" s="138" t="e">
        <v>#DIV/0!</v>
      </c>
      <c r="F129" s="139">
        <v>0</v>
      </c>
      <c r="H129" t="str">
        <f t="shared" si="4"/>
        <v>15000601500060305</v>
      </c>
    </row>
    <row r="130" spans="1:8" ht="15" customHeight="1" x14ac:dyDescent="0.25">
      <c r="A130" s="110" t="s">
        <v>5045</v>
      </c>
      <c r="B130" s="125" t="s">
        <v>21</v>
      </c>
      <c r="C130" s="138">
        <v>0.44</v>
      </c>
      <c r="D130" s="138">
        <v>26.4</v>
      </c>
      <c r="E130" s="138">
        <v>136.36363636363637</v>
      </c>
      <c r="F130" s="139">
        <v>0.44</v>
      </c>
      <c r="H130" t="str">
        <f t="shared" si="4"/>
        <v>15000601500060309</v>
      </c>
    </row>
    <row r="131" spans="1:8" ht="15" customHeight="1" x14ac:dyDescent="0.25">
      <c r="A131" s="110" t="s">
        <v>5046</v>
      </c>
      <c r="B131" s="125" t="s">
        <v>22</v>
      </c>
      <c r="C131" s="138">
        <v>0.36</v>
      </c>
      <c r="D131" s="138">
        <v>21.599999999999998</v>
      </c>
      <c r="E131" s="138">
        <v>166.66666666666669</v>
      </c>
      <c r="F131" s="139">
        <v>0.36</v>
      </c>
      <c r="H131" t="str">
        <f t="shared" si="4"/>
        <v>15000601500060310</v>
      </c>
    </row>
    <row r="132" spans="1:8" ht="15" customHeight="1" x14ac:dyDescent="0.25">
      <c r="A132" s="110" t="s">
        <v>5046</v>
      </c>
      <c r="B132" s="125" t="s">
        <v>1494</v>
      </c>
      <c r="C132" s="138">
        <v>0</v>
      </c>
      <c r="D132" s="138">
        <v>0</v>
      </c>
      <c r="E132" s="138" t="e">
        <v>#DIV/0!</v>
      </c>
      <c r="F132" s="139">
        <v>0</v>
      </c>
      <c r="H132" t="str">
        <f t="shared" si="4"/>
        <v>15000601500060310</v>
      </c>
    </row>
    <row r="133" spans="1:8" ht="15" customHeight="1" x14ac:dyDescent="0.25">
      <c r="A133" s="110" t="s">
        <v>5047</v>
      </c>
      <c r="B133" s="125" t="s">
        <v>305</v>
      </c>
      <c r="C133" s="138">
        <v>0.69</v>
      </c>
      <c r="D133" s="138">
        <v>41.4</v>
      </c>
      <c r="E133" s="138">
        <v>86.956521739130437</v>
      </c>
      <c r="F133" s="139">
        <v>0.69</v>
      </c>
      <c r="H133" t="str">
        <f t="shared" si="4"/>
        <v>15000601500060311</v>
      </c>
    </row>
    <row r="134" spans="1:8" ht="15" customHeight="1" x14ac:dyDescent="0.25">
      <c r="A134" s="110" t="s">
        <v>5048</v>
      </c>
      <c r="B134" s="125" t="s">
        <v>306</v>
      </c>
      <c r="C134" s="138">
        <v>0.69</v>
      </c>
      <c r="D134" s="138">
        <v>41.4</v>
      </c>
      <c r="E134" s="138">
        <v>86.956521739130437</v>
      </c>
      <c r="F134" s="139">
        <v>0.69</v>
      </c>
      <c r="H134" t="str">
        <f t="shared" si="4"/>
        <v>15000601500060312</v>
      </c>
    </row>
    <row r="135" spans="1:8" ht="15" customHeight="1" x14ac:dyDescent="0.25">
      <c r="A135" s="110" t="s">
        <v>5049</v>
      </c>
      <c r="B135" s="125" t="s">
        <v>212</v>
      </c>
      <c r="C135" s="138">
        <v>0.28000000000000003</v>
      </c>
      <c r="D135" s="138">
        <v>16.8</v>
      </c>
      <c r="E135" s="138">
        <v>214.28571428571428</v>
      </c>
      <c r="F135" s="139">
        <v>0.28000000000000003</v>
      </c>
      <c r="H135" t="str">
        <f t="shared" si="4"/>
        <v>15000601500060313</v>
      </c>
    </row>
    <row r="136" spans="1:8" ht="15" customHeight="1" x14ac:dyDescent="0.25">
      <c r="A136" s="110" t="s">
        <v>5050</v>
      </c>
      <c r="B136" s="125" t="s">
        <v>213</v>
      </c>
      <c r="C136" s="138">
        <v>0.28000000000000003</v>
      </c>
      <c r="D136" s="138">
        <v>16.8</v>
      </c>
      <c r="E136" s="138">
        <v>214.28571428571428</v>
      </c>
      <c r="F136" s="139">
        <v>0.28000000000000003</v>
      </c>
      <c r="H136" t="str">
        <f t="shared" si="4"/>
        <v>15000601500060314</v>
      </c>
    </row>
    <row r="137" spans="1:8" ht="15" customHeight="1" x14ac:dyDescent="0.25">
      <c r="A137" s="110" t="s">
        <v>5051</v>
      </c>
      <c r="B137" s="125" t="s">
        <v>851</v>
      </c>
      <c r="C137" s="138">
        <v>0.41</v>
      </c>
      <c r="D137" s="138">
        <v>24.599999999999998</v>
      </c>
      <c r="E137" s="138">
        <v>146.34146341463415</v>
      </c>
      <c r="F137" s="139">
        <v>0.41</v>
      </c>
      <c r="H137" t="str">
        <f t="shared" si="4"/>
        <v>15000601500060315</v>
      </c>
    </row>
    <row r="138" spans="1:8" ht="15" customHeight="1" x14ac:dyDescent="0.25">
      <c r="A138" s="110" t="s">
        <v>5051</v>
      </c>
      <c r="B138" s="125" t="s">
        <v>1495</v>
      </c>
      <c r="C138" s="138">
        <v>0</v>
      </c>
      <c r="D138" s="138">
        <v>0</v>
      </c>
      <c r="E138" s="138" t="e">
        <v>#DIV/0!</v>
      </c>
      <c r="F138" s="139">
        <v>0</v>
      </c>
      <c r="H138" t="str">
        <f t="shared" si="4"/>
        <v>15000601500060315</v>
      </c>
    </row>
    <row r="139" spans="1:8" ht="15" customHeight="1" x14ac:dyDescent="0.25">
      <c r="A139" s="110" t="s">
        <v>5052</v>
      </c>
      <c r="B139" s="125" t="s">
        <v>852</v>
      </c>
      <c r="C139" s="138">
        <v>0.41</v>
      </c>
      <c r="D139" s="138">
        <v>24.599999999999998</v>
      </c>
      <c r="E139" s="138">
        <v>146.34146341463415</v>
      </c>
      <c r="F139" s="139">
        <v>0.41</v>
      </c>
      <c r="H139" t="str">
        <f t="shared" si="4"/>
        <v>15000601500060316</v>
      </c>
    </row>
    <row r="140" spans="1:8" ht="15" customHeight="1" x14ac:dyDescent="0.25">
      <c r="A140" s="110" t="s">
        <v>5053</v>
      </c>
      <c r="B140" s="125" t="s">
        <v>1496</v>
      </c>
      <c r="C140" s="138">
        <v>0</v>
      </c>
      <c r="D140" s="138">
        <v>0</v>
      </c>
      <c r="E140" s="138" t="e">
        <v>#DIV/0!</v>
      </c>
      <c r="F140" s="139">
        <v>0</v>
      </c>
      <c r="H140" t="str">
        <f t="shared" si="4"/>
        <v>15000601500060320</v>
      </c>
    </row>
    <row r="141" spans="1:8" ht="15" customHeight="1" x14ac:dyDescent="0.25">
      <c r="A141" s="110" t="s">
        <v>5054</v>
      </c>
      <c r="B141" s="125" t="s">
        <v>23</v>
      </c>
      <c r="C141" s="138">
        <v>0.28000000000000003</v>
      </c>
      <c r="D141" s="138">
        <v>16.8</v>
      </c>
      <c r="E141" s="138">
        <v>214.28571428571428</v>
      </c>
      <c r="F141" s="139">
        <v>0.28000000000000003</v>
      </c>
      <c r="H141" t="str">
        <f t="shared" si="4"/>
        <v>15000601500060323</v>
      </c>
    </row>
    <row r="142" spans="1:8" ht="15" customHeight="1" x14ac:dyDescent="0.25">
      <c r="A142" s="110" t="s">
        <v>5055</v>
      </c>
      <c r="B142" s="125" t="s">
        <v>24</v>
      </c>
      <c r="C142" s="138">
        <v>0.28000000000000003</v>
      </c>
      <c r="D142" s="138">
        <v>16.8</v>
      </c>
      <c r="E142" s="138">
        <v>214.28571428571428</v>
      </c>
      <c r="F142" s="139">
        <v>0.28000000000000003</v>
      </c>
      <c r="H142" t="str">
        <f t="shared" si="4"/>
        <v>15000601500060324</v>
      </c>
    </row>
    <row r="143" spans="1:8" ht="15" customHeight="1" x14ac:dyDescent="0.25">
      <c r="A143" s="110" t="s">
        <v>5056</v>
      </c>
      <c r="B143" s="125" t="s">
        <v>307</v>
      </c>
      <c r="C143" s="138">
        <v>0.97</v>
      </c>
      <c r="D143" s="138">
        <v>58.199999999999996</v>
      </c>
      <c r="E143" s="138">
        <v>61.855670103092791</v>
      </c>
      <c r="F143" s="139">
        <v>0.97</v>
      </c>
      <c r="H143" t="str">
        <f t="shared" si="4"/>
        <v>15000601500060325</v>
      </c>
    </row>
    <row r="144" spans="1:8" ht="15" customHeight="1" x14ac:dyDescent="0.25">
      <c r="A144" s="110" t="s">
        <v>5056</v>
      </c>
      <c r="B144" s="125" t="s">
        <v>1497</v>
      </c>
      <c r="C144" s="138">
        <v>0</v>
      </c>
      <c r="D144" s="138">
        <v>0</v>
      </c>
      <c r="E144" s="138" t="e">
        <v>#DIV/0!</v>
      </c>
      <c r="F144" s="139">
        <v>0</v>
      </c>
      <c r="H144" t="str">
        <f t="shared" si="4"/>
        <v>15000601500060325</v>
      </c>
    </row>
    <row r="145" spans="1:8" ht="15" customHeight="1" x14ac:dyDescent="0.25">
      <c r="A145" s="110" t="s">
        <v>5057</v>
      </c>
      <c r="B145" s="125" t="s">
        <v>308</v>
      </c>
      <c r="C145" s="138">
        <v>0.97</v>
      </c>
      <c r="D145" s="138">
        <v>58.199999999999996</v>
      </c>
      <c r="E145" s="138">
        <v>61.855670103092791</v>
      </c>
      <c r="F145" s="139">
        <v>0.97</v>
      </c>
      <c r="H145" t="str">
        <f t="shared" si="4"/>
        <v>15000601500060326</v>
      </c>
    </row>
    <row r="146" spans="1:8" ht="15" customHeight="1" x14ac:dyDescent="0.25">
      <c r="A146" s="110" t="s">
        <v>5058</v>
      </c>
      <c r="B146" s="125" t="s">
        <v>1498</v>
      </c>
      <c r="C146" s="138">
        <v>0.49</v>
      </c>
      <c r="D146" s="138">
        <v>29.4</v>
      </c>
      <c r="E146" s="138">
        <v>122.44897959183675</v>
      </c>
      <c r="F146" s="139">
        <v>0.49</v>
      </c>
      <c r="H146" t="str">
        <f t="shared" si="4"/>
        <v>15000601500060330</v>
      </c>
    </row>
    <row r="147" spans="1:8" ht="15" customHeight="1" x14ac:dyDescent="0.25">
      <c r="A147" s="110" t="s">
        <v>5059</v>
      </c>
      <c r="B147" s="125" t="s">
        <v>25</v>
      </c>
      <c r="C147" s="138">
        <v>0.44</v>
      </c>
      <c r="D147" s="138">
        <v>26.4</v>
      </c>
      <c r="E147" s="138">
        <v>136.36363636363637</v>
      </c>
      <c r="F147" s="139">
        <v>0.44</v>
      </c>
      <c r="H147" t="str">
        <f t="shared" si="4"/>
        <v>15000601500060331</v>
      </c>
    </row>
    <row r="148" spans="1:8" ht="15" customHeight="1" x14ac:dyDescent="0.25">
      <c r="A148" s="110" t="s">
        <v>5060</v>
      </c>
      <c r="B148" s="125" t="s">
        <v>26</v>
      </c>
      <c r="C148" s="138">
        <v>0.44</v>
      </c>
      <c r="D148" s="138">
        <v>26.4</v>
      </c>
      <c r="E148" s="138">
        <v>136.36363636363637</v>
      </c>
      <c r="F148" s="139">
        <v>0.44</v>
      </c>
      <c r="H148" t="str">
        <f t="shared" si="4"/>
        <v>15000601500060332</v>
      </c>
    </row>
    <row r="149" spans="1:8" ht="15" customHeight="1" x14ac:dyDescent="0.25">
      <c r="A149" s="110" t="s">
        <v>5061</v>
      </c>
      <c r="B149" s="125" t="s">
        <v>27</v>
      </c>
      <c r="C149" s="138">
        <v>0.42</v>
      </c>
      <c r="D149" s="138">
        <v>25.2</v>
      </c>
      <c r="E149" s="138">
        <v>142.85714285714286</v>
      </c>
      <c r="F149" s="139">
        <v>0.42</v>
      </c>
      <c r="H149" t="str">
        <f t="shared" si="4"/>
        <v>15000601500060333</v>
      </c>
    </row>
    <row r="150" spans="1:8" ht="15" customHeight="1" x14ac:dyDescent="0.25">
      <c r="A150" s="110" t="s">
        <v>5062</v>
      </c>
      <c r="B150" s="125" t="s">
        <v>28</v>
      </c>
      <c r="C150" s="138">
        <v>0.42</v>
      </c>
      <c r="D150" s="138">
        <v>25.2</v>
      </c>
      <c r="E150" s="138">
        <v>142.85714285714286</v>
      </c>
      <c r="F150" s="139">
        <v>0.42</v>
      </c>
      <c r="H150" t="str">
        <f t="shared" si="4"/>
        <v>15000601500060334</v>
      </c>
    </row>
    <row r="151" spans="1:8" ht="15" customHeight="1" x14ac:dyDescent="0.25">
      <c r="A151" s="110" t="s">
        <v>5063</v>
      </c>
      <c r="B151" s="125" t="s">
        <v>1499</v>
      </c>
      <c r="C151" s="138">
        <v>0.49</v>
      </c>
      <c r="D151" s="138">
        <v>29.4</v>
      </c>
      <c r="E151" s="138">
        <v>122.44897959183675</v>
      </c>
      <c r="F151" s="139">
        <v>0.49</v>
      </c>
      <c r="H151" t="str">
        <f t="shared" si="4"/>
        <v>15000601500060335</v>
      </c>
    </row>
    <row r="152" spans="1:8" ht="15" customHeight="1" x14ac:dyDescent="0.25">
      <c r="A152" s="110" t="s">
        <v>5064</v>
      </c>
      <c r="B152" s="125" t="s">
        <v>309</v>
      </c>
      <c r="C152" s="138">
        <v>0.45</v>
      </c>
      <c r="D152" s="138">
        <v>27</v>
      </c>
      <c r="E152" s="138">
        <v>133.33333333333334</v>
      </c>
      <c r="F152" s="139">
        <v>0.45</v>
      </c>
      <c r="H152" t="str">
        <f t="shared" si="4"/>
        <v>15000601500060336</v>
      </c>
    </row>
    <row r="153" spans="1:8" ht="15" customHeight="1" x14ac:dyDescent="0.25">
      <c r="A153" s="110" t="s">
        <v>5065</v>
      </c>
      <c r="B153" s="125" t="s">
        <v>29</v>
      </c>
      <c r="C153" s="138">
        <v>0.45</v>
      </c>
      <c r="D153" s="138">
        <v>27</v>
      </c>
      <c r="E153" s="138">
        <v>133.33333333333334</v>
      </c>
      <c r="F153" s="139">
        <v>0.45</v>
      </c>
      <c r="H153" t="str">
        <f t="shared" si="4"/>
        <v>15000601500060337</v>
      </c>
    </row>
    <row r="154" spans="1:8" ht="15" customHeight="1" x14ac:dyDescent="0.25">
      <c r="A154" s="110" t="s">
        <v>5066</v>
      </c>
      <c r="B154" s="125" t="s">
        <v>30</v>
      </c>
      <c r="C154" s="138">
        <v>1.1299999999999999</v>
      </c>
      <c r="D154" s="138">
        <v>67.8</v>
      </c>
      <c r="E154" s="138">
        <v>53.097345132743364</v>
      </c>
      <c r="F154" s="139">
        <v>1.1299999999999999</v>
      </c>
      <c r="H154" t="str">
        <f t="shared" si="4"/>
        <v>15000601500060340</v>
      </c>
    </row>
    <row r="155" spans="1:8" ht="15" customHeight="1" x14ac:dyDescent="0.25">
      <c r="A155" s="110" t="s">
        <v>5067</v>
      </c>
      <c r="B155" s="125" t="s">
        <v>31</v>
      </c>
      <c r="C155" s="138">
        <v>1.1299999999999999</v>
      </c>
      <c r="D155" s="138">
        <v>67.8</v>
      </c>
      <c r="E155" s="138">
        <v>53.097345132743364</v>
      </c>
      <c r="F155" s="139">
        <v>1.1299999999999999</v>
      </c>
      <c r="H155" t="str">
        <f t="shared" si="4"/>
        <v>15000601500060341</v>
      </c>
    </row>
    <row r="156" spans="1:8" ht="15" customHeight="1" x14ac:dyDescent="0.25">
      <c r="A156" s="110" t="s">
        <v>5068</v>
      </c>
      <c r="B156" s="125" t="s">
        <v>32</v>
      </c>
      <c r="C156" s="138">
        <v>0.69</v>
      </c>
      <c r="D156" s="138">
        <v>41.4</v>
      </c>
      <c r="E156" s="138">
        <v>86.956521739130437</v>
      </c>
      <c r="F156" s="139">
        <v>0.69</v>
      </c>
      <c r="H156" t="str">
        <f t="shared" si="4"/>
        <v>15000601500060342</v>
      </c>
    </row>
    <row r="157" spans="1:8" ht="15" customHeight="1" x14ac:dyDescent="0.25">
      <c r="A157" s="110" t="s">
        <v>5069</v>
      </c>
      <c r="B157" s="125" t="s">
        <v>33</v>
      </c>
      <c r="C157" s="138">
        <v>0.69</v>
      </c>
      <c r="D157" s="138">
        <v>41.4</v>
      </c>
      <c r="E157" s="138">
        <v>86.956521739130437</v>
      </c>
      <c r="F157" s="139">
        <v>0.69</v>
      </c>
      <c r="H157" t="str">
        <f t="shared" si="4"/>
        <v>15000601500060343</v>
      </c>
    </row>
    <row r="158" spans="1:8" ht="15" customHeight="1" x14ac:dyDescent="0.25">
      <c r="A158" s="110" t="s">
        <v>5070</v>
      </c>
      <c r="B158" s="125" t="s">
        <v>34</v>
      </c>
      <c r="C158" s="138">
        <v>0.85</v>
      </c>
      <c r="D158" s="138">
        <v>51</v>
      </c>
      <c r="E158" s="138">
        <v>70.588235294117652</v>
      </c>
      <c r="F158" s="139">
        <v>0.85</v>
      </c>
      <c r="H158" t="str">
        <f t="shared" si="4"/>
        <v>15000601500060344</v>
      </c>
    </row>
    <row r="159" spans="1:8" ht="15" customHeight="1" x14ac:dyDescent="0.25">
      <c r="A159" s="110" t="s">
        <v>5071</v>
      </c>
      <c r="B159" s="125" t="s">
        <v>35</v>
      </c>
      <c r="C159" s="138">
        <v>0.85</v>
      </c>
      <c r="D159" s="138">
        <v>51</v>
      </c>
      <c r="E159" s="138">
        <v>70.588235294117652</v>
      </c>
      <c r="F159" s="139">
        <v>0.85</v>
      </c>
      <c r="H159" t="str">
        <f t="shared" si="4"/>
        <v>15000601500060345</v>
      </c>
    </row>
    <row r="160" spans="1:8" ht="15" customHeight="1" x14ac:dyDescent="0.25">
      <c r="A160" s="110" t="s">
        <v>5072</v>
      </c>
      <c r="B160" s="125" t="s">
        <v>36</v>
      </c>
      <c r="C160" s="138">
        <v>0.8</v>
      </c>
      <c r="D160" s="138">
        <v>48</v>
      </c>
      <c r="E160" s="138">
        <v>75</v>
      </c>
      <c r="F160" s="139">
        <v>0.8</v>
      </c>
      <c r="H160" t="str">
        <f t="shared" si="4"/>
        <v>15000601500060350</v>
      </c>
    </row>
    <row r="161" spans="1:8" ht="15" customHeight="1" x14ac:dyDescent="0.25">
      <c r="A161" s="110" t="s">
        <v>5073</v>
      </c>
      <c r="B161" s="125" t="s">
        <v>37</v>
      </c>
      <c r="C161" s="138">
        <v>0.8</v>
      </c>
      <c r="D161" s="138">
        <v>48</v>
      </c>
      <c r="E161" s="138">
        <v>75</v>
      </c>
      <c r="F161" s="139">
        <v>0.8</v>
      </c>
      <c r="H161" t="str">
        <f t="shared" si="4"/>
        <v>15000601500060351</v>
      </c>
    </row>
    <row r="162" spans="1:8" ht="15" customHeight="1" x14ac:dyDescent="0.25">
      <c r="A162" s="110" t="s">
        <v>5074</v>
      </c>
      <c r="B162" s="125" t="s">
        <v>38</v>
      </c>
      <c r="C162" s="138">
        <v>0.8</v>
      </c>
      <c r="D162" s="138">
        <v>48</v>
      </c>
      <c r="E162" s="138">
        <v>75</v>
      </c>
      <c r="F162" s="139">
        <v>0.8</v>
      </c>
      <c r="H162" t="str">
        <f t="shared" si="4"/>
        <v>15000601500060352</v>
      </c>
    </row>
    <row r="163" spans="1:8" ht="15" customHeight="1" x14ac:dyDescent="0.25">
      <c r="A163" s="110" t="s">
        <v>5075</v>
      </c>
      <c r="B163" s="125" t="s">
        <v>39</v>
      </c>
      <c r="C163" s="138">
        <v>0.8</v>
      </c>
      <c r="D163" s="138">
        <v>48</v>
      </c>
      <c r="E163" s="138">
        <v>75</v>
      </c>
      <c r="F163" s="139">
        <v>0.8</v>
      </c>
      <c r="H163" t="str">
        <f t="shared" si="4"/>
        <v>15000601500060353</v>
      </c>
    </row>
    <row r="164" spans="1:8" ht="15" customHeight="1" x14ac:dyDescent="0.25">
      <c r="A164" s="110" t="s">
        <v>5076</v>
      </c>
      <c r="B164" s="125" t="s">
        <v>862</v>
      </c>
      <c r="C164" s="138">
        <v>0.4</v>
      </c>
      <c r="D164" s="138">
        <v>24</v>
      </c>
      <c r="E164" s="138">
        <v>150</v>
      </c>
      <c r="F164" s="139">
        <v>0.4</v>
      </c>
      <c r="H164" t="str">
        <f t="shared" si="4"/>
        <v>15000601500060358</v>
      </c>
    </row>
    <row r="165" spans="1:8" ht="15" customHeight="1" x14ac:dyDescent="0.25">
      <c r="A165" s="110" t="s">
        <v>5077</v>
      </c>
      <c r="B165" s="125" t="s">
        <v>863</v>
      </c>
      <c r="C165" s="138">
        <v>0.4</v>
      </c>
      <c r="D165" s="138">
        <v>24</v>
      </c>
      <c r="E165" s="138">
        <v>150</v>
      </c>
      <c r="F165" s="139">
        <v>0.4</v>
      </c>
      <c r="H165" t="str">
        <f t="shared" si="4"/>
        <v>15000601500060359</v>
      </c>
    </row>
    <row r="166" spans="1:8" ht="15" customHeight="1" x14ac:dyDescent="0.25">
      <c r="A166" s="110" t="s">
        <v>5078</v>
      </c>
      <c r="B166" s="125" t="s">
        <v>40</v>
      </c>
      <c r="C166" s="138">
        <v>0.54</v>
      </c>
      <c r="D166" s="138">
        <v>32.400000000000006</v>
      </c>
      <c r="E166" s="138">
        <v>111.11111111111109</v>
      </c>
      <c r="F166" s="139">
        <v>0.54</v>
      </c>
      <c r="H166" t="str">
        <f t="shared" si="4"/>
        <v>15000601500060360</v>
      </c>
    </row>
    <row r="167" spans="1:8" ht="15" customHeight="1" x14ac:dyDescent="0.25">
      <c r="A167" s="110" t="s">
        <v>5079</v>
      </c>
      <c r="B167" s="125" t="s">
        <v>41</v>
      </c>
      <c r="C167" s="138">
        <v>0.51</v>
      </c>
      <c r="D167" s="138">
        <v>30.6</v>
      </c>
      <c r="E167" s="138">
        <v>117.64705882352941</v>
      </c>
      <c r="F167" s="139">
        <v>0.51</v>
      </c>
      <c r="H167" t="str">
        <f t="shared" si="4"/>
        <v>15000601500060361</v>
      </c>
    </row>
    <row r="168" spans="1:8" ht="15" customHeight="1" x14ac:dyDescent="0.25">
      <c r="A168" s="110" t="s">
        <v>5080</v>
      </c>
      <c r="B168" s="125" t="s">
        <v>42</v>
      </c>
      <c r="C168" s="138">
        <v>0.44</v>
      </c>
      <c r="D168" s="138">
        <v>26.4</v>
      </c>
      <c r="E168" s="138">
        <v>136.36363636363637</v>
      </c>
      <c r="F168" s="139">
        <v>0.44</v>
      </c>
      <c r="H168" t="str">
        <f t="shared" si="4"/>
        <v>15000601500060364</v>
      </c>
    </row>
    <row r="169" spans="1:8" ht="15" customHeight="1" x14ac:dyDescent="0.25">
      <c r="A169" s="110" t="s">
        <v>5081</v>
      </c>
      <c r="B169" s="125" t="s">
        <v>43</v>
      </c>
      <c r="C169" s="138">
        <v>0.44</v>
      </c>
      <c r="D169" s="138">
        <v>26.4</v>
      </c>
      <c r="E169" s="138">
        <v>136.36363636363637</v>
      </c>
      <c r="F169" s="139">
        <v>0.44</v>
      </c>
      <c r="H169" t="str">
        <f t="shared" si="4"/>
        <v>15000601500060365</v>
      </c>
    </row>
    <row r="170" spans="1:8" ht="15" customHeight="1" x14ac:dyDescent="0.25">
      <c r="A170" s="110" t="s">
        <v>5082</v>
      </c>
      <c r="B170" s="125" t="s">
        <v>294</v>
      </c>
      <c r="C170" s="138">
        <v>0.61</v>
      </c>
      <c r="D170" s="138">
        <v>36.6</v>
      </c>
      <c r="E170" s="138">
        <v>98.360655737704917</v>
      </c>
      <c r="F170" s="139">
        <v>0.61</v>
      </c>
      <c r="H170" t="str">
        <f t="shared" si="4"/>
        <v>15000601500060366</v>
      </c>
    </row>
    <row r="171" spans="1:8" ht="15" customHeight="1" x14ac:dyDescent="0.25">
      <c r="A171" s="110" t="s">
        <v>5083</v>
      </c>
      <c r="B171" s="125" t="s">
        <v>295</v>
      </c>
      <c r="C171" s="138">
        <v>0.61</v>
      </c>
      <c r="D171" s="138">
        <v>36.6</v>
      </c>
      <c r="E171" s="138">
        <v>98.360655737704917</v>
      </c>
      <c r="F171" s="139">
        <v>0.61</v>
      </c>
      <c r="H171" t="str">
        <f t="shared" si="4"/>
        <v>15000601500060367</v>
      </c>
    </row>
    <row r="172" spans="1:8" ht="15" customHeight="1" x14ac:dyDescent="0.25">
      <c r="A172" s="110" t="s">
        <v>5084</v>
      </c>
      <c r="B172" s="125" t="s">
        <v>296</v>
      </c>
      <c r="C172" s="138">
        <v>0.4</v>
      </c>
      <c r="D172" s="138">
        <v>24</v>
      </c>
      <c r="E172" s="138">
        <v>150</v>
      </c>
      <c r="F172" s="139">
        <v>0.4</v>
      </c>
      <c r="H172" t="str">
        <f t="shared" si="4"/>
        <v>15000601500060370</v>
      </c>
    </row>
    <row r="173" spans="1:8" ht="15" customHeight="1" x14ac:dyDescent="0.25">
      <c r="A173" s="110" t="s">
        <v>5085</v>
      </c>
      <c r="B173" s="125" t="s">
        <v>297</v>
      </c>
      <c r="C173" s="138">
        <v>0.4</v>
      </c>
      <c r="D173" s="138">
        <v>24</v>
      </c>
      <c r="E173" s="138">
        <v>150</v>
      </c>
      <c r="F173" s="139">
        <v>0.4</v>
      </c>
      <c r="H173" t="str">
        <f t="shared" si="4"/>
        <v>15000601500060371</v>
      </c>
    </row>
    <row r="174" spans="1:8" ht="15" customHeight="1" x14ac:dyDescent="0.25">
      <c r="A174" s="110" t="s">
        <v>5086</v>
      </c>
      <c r="B174" s="125" t="s">
        <v>298</v>
      </c>
      <c r="C174" s="138">
        <v>0.51</v>
      </c>
      <c r="D174" s="138">
        <v>30.6</v>
      </c>
      <c r="E174" s="138">
        <v>117.64705882352941</v>
      </c>
      <c r="F174" s="139">
        <v>0.51</v>
      </c>
      <c r="H174" t="str">
        <f t="shared" ref="H174:H237" si="5">CONCATENATE($G$45,A174)</f>
        <v>15000601500060372</v>
      </c>
    </row>
    <row r="175" spans="1:8" ht="15" customHeight="1" x14ac:dyDescent="0.25">
      <c r="A175" s="110" t="s">
        <v>5087</v>
      </c>
      <c r="B175" s="125" t="s">
        <v>299</v>
      </c>
      <c r="C175" s="138">
        <v>0.51</v>
      </c>
      <c r="D175" s="138">
        <v>30.6</v>
      </c>
      <c r="E175" s="138">
        <v>117.64705882352941</v>
      </c>
      <c r="F175" s="139">
        <v>0.51</v>
      </c>
      <c r="H175" t="str">
        <f t="shared" si="5"/>
        <v>15000601500060373</v>
      </c>
    </row>
    <row r="176" spans="1:8" ht="15" customHeight="1" x14ac:dyDescent="0.25">
      <c r="A176" s="110" t="s">
        <v>5088</v>
      </c>
      <c r="B176" s="125" t="s">
        <v>44</v>
      </c>
      <c r="C176" s="138">
        <v>0.81</v>
      </c>
      <c r="D176" s="138">
        <v>48.6</v>
      </c>
      <c r="E176" s="138">
        <v>74.074074074074076</v>
      </c>
      <c r="F176" s="139">
        <v>0.81</v>
      </c>
      <c r="H176" t="str">
        <f t="shared" si="5"/>
        <v>15000601500060380</v>
      </c>
    </row>
    <row r="177" spans="1:8" ht="15" customHeight="1" x14ac:dyDescent="0.25">
      <c r="A177" s="110" t="s">
        <v>5089</v>
      </c>
      <c r="B177" s="125" t="s">
        <v>45</v>
      </c>
      <c r="C177" s="138">
        <v>0.81</v>
      </c>
      <c r="D177" s="138">
        <v>48.6</v>
      </c>
      <c r="E177" s="138">
        <v>74.074074074074076</v>
      </c>
      <c r="F177" s="139">
        <v>0.81</v>
      </c>
      <c r="H177" t="str">
        <f t="shared" si="5"/>
        <v>15000601500060381</v>
      </c>
    </row>
    <row r="178" spans="1:8" ht="15" customHeight="1" x14ac:dyDescent="0.25">
      <c r="A178" s="110" t="s">
        <v>5090</v>
      </c>
      <c r="B178" s="125" t="s">
        <v>46</v>
      </c>
      <c r="C178" s="138">
        <v>0.92</v>
      </c>
      <c r="D178" s="138">
        <v>55.2</v>
      </c>
      <c r="E178" s="138">
        <v>65.217391304347828</v>
      </c>
      <c r="F178" s="139">
        <v>0.92</v>
      </c>
      <c r="H178" t="str">
        <f t="shared" si="5"/>
        <v>15000601500060382</v>
      </c>
    </row>
    <row r="179" spans="1:8" ht="15" customHeight="1" x14ac:dyDescent="0.25">
      <c r="A179" s="110" t="s">
        <v>5091</v>
      </c>
      <c r="B179" s="125" t="s">
        <v>47</v>
      </c>
      <c r="C179" s="138">
        <v>0.92</v>
      </c>
      <c r="D179" s="138">
        <v>55.2</v>
      </c>
      <c r="E179" s="138">
        <v>65.217391304347828</v>
      </c>
      <c r="F179" s="139">
        <v>0.92</v>
      </c>
      <c r="H179" t="str">
        <f t="shared" si="5"/>
        <v>15000601500060383</v>
      </c>
    </row>
    <row r="180" spans="1:8" ht="15" customHeight="1" x14ac:dyDescent="0.25">
      <c r="A180" s="110" t="s">
        <v>5092</v>
      </c>
      <c r="B180" s="125" t="s">
        <v>866</v>
      </c>
      <c r="C180" s="138">
        <v>1.04</v>
      </c>
      <c r="D180" s="138">
        <v>62.400000000000006</v>
      </c>
      <c r="E180" s="138">
        <v>57.692307692307686</v>
      </c>
      <c r="F180" s="139">
        <v>1.04</v>
      </c>
      <c r="H180" t="str">
        <f t="shared" si="5"/>
        <v>15000601500060384</v>
      </c>
    </row>
    <row r="181" spans="1:8" ht="15" customHeight="1" x14ac:dyDescent="0.25">
      <c r="A181" s="110" t="s">
        <v>5093</v>
      </c>
      <c r="B181" s="125" t="s">
        <v>836</v>
      </c>
      <c r="C181" s="138">
        <v>1.04</v>
      </c>
      <c r="D181" s="138">
        <v>62.400000000000006</v>
      </c>
      <c r="E181" s="138">
        <v>57.692307692307686</v>
      </c>
      <c r="F181" s="139">
        <v>1.04</v>
      </c>
      <c r="H181" t="str">
        <f t="shared" si="5"/>
        <v>15000601500060385</v>
      </c>
    </row>
    <row r="182" spans="1:8" ht="15" customHeight="1" x14ac:dyDescent="0.25">
      <c r="A182" s="110" t="s">
        <v>5094</v>
      </c>
      <c r="B182" s="125" t="s">
        <v>563</v>
      </c>
      <c r="C182" s="138">
        <v>1.02</v>
      </c>
      <c r="D182" s="138">
        <v>61.2</v>
      </c>
      <c r="E182" s="138">
        <v>58.823529411764703</v>
      </c>
      <c r="F182" s="139">
        <v>1.02</v>
      </c>
      <c r="H182" t="str">
        <f t="shared" si="5"/>
        <v>15000601500060386</v>
      </c>
    </row>
    <row r="183" spans="1:8" ht="15" customHeight="1" x14ac:dyDescent="0.25">
      <c r="A183" s="110" t="s">
        <v>5095</v>
      </c>
      <c r="B183" s="125" t="s">
        <v>564</v>
      </c>
      <c r="C183" s="138">
        <v>1.02</v>
      </c>
      <c r="D183" s="138">
        <v>61.2</v>
      </c>
      <c r="E183" s="138">
        <v>58.823529411764703</v>
      </c>
      <c r="F183" s="139">
        <v>1.02</v>
      </c>
      <c r="H183" t="str">
        <f t="shared" si="5"/>
        <v>15000601500060387</v>
      </c>
    </row>
    <row r="184" spans="1:8" ht="15" customHeight="1" x14ac:dyDescent="0.25">
      <c r="A184" s="110" t="s">
        <v>5096</v>
      </c>
      <c r="B184" s="125" t="s">
        <v>313</v>
      </c>
      <c r="C184" s="138">
        <v>0.65</v>
      </c>
      <c r="D184" s="138">
        <v>39</v>
      </c>
      <c r="E184" s="138">
        <v>92.307692307692307</v>
      </c>
      <c r="F184" s="139">
        <v>0.65</v>
      </c>
      <c r="H184" t="str">
        <f t="shared" si="5"/>
        <v>15000601500060388</v>
      </c>
    </row>
    <row r="185" spans="1:8" ht="15" customHeight="1" x14ac:dyDescent="0.25">
      <c r="A185" s="110" t="s">
        <v>5097</v>
      </c>
      <c r="B185" s="125" t="s">
        <v>314</v>
      </c>
      <c r="C185" s="138">
        <v>0.65</v>
      </c>
      <c r="D185" s="138">
        <v>39</v>
      </c>
      <c r="E185" s="138">
        <v>92.307692307692307</v>
      </c>
      <c r="F185" s="139">
        <v>0.65</v>
      </c>
      <c r="H185" t="str">
        <f t="shared" si="5"/>
        <v>15000601500060389</v>
      </c>
    </row>
    <row r="186" spans="1:8" ht="15" customHeight="1" x14ac:dyDescent="0.25">
      <c r="A186" s="110" t="s">
        <v>5098</v>
      </c>
      <c r="B186" s="125" t="s">
        <v>48</v>
      </c>
      <c r="C186" s="138">
        <v>0.89</v>
      </c>
      <c r="D186" s="138">
        <v>53.4</v>
      </c>
      <c r="E186" s="138">
        <v>67.415730337078656</v>
      </c>
      <c r="F186" s="139">
        <v>0.89</v>
      </c>
      <c r="H186" t="str">
        <f t="shared" si="5"/>
        <v>15000601500060390</v>
      </c>
    </row>
    <row r="187" spans="1:8" ht="15" customHeight="1" x14ac:dyDescent="0.25">
      <c r="A187" s="110" t="s">
        <v>5099</v>
      </c>
      <c r="B187" s="125" t="s">
        <v>49</v>
      </c>
      <c r="C187" s="138">
        <v>0.89</v>
      </c>
      <c r="D187" s="138">
        <v>53.4</v>
      </c>
      <c r="E187" s="138">
        <v>67.415730337078656</v>
      </c>
      <c r="F187" s="139">
        <v>0.89</v>
      </c>
      <c r="H187" t="str">
        <f t="shared" si="5"/>
        <v>15000601500060391</v>
      </c>
    </row>
    <row r="188" spans="1:8" ht="15" customHeight="1" x14ac:dyDescent="0.25">
      <c r="A188" s="110" t="s">
        <v>5100</v>
      </c>
      <c r="B188" s="125" t="s">
        <v>50</v>
      </c>
      <c r="C188" s="138">
        <v>0.89</v>
      </c>
      <c r="D188" s="138">
        <v>53.4</v>
      </c>
      <c r="E188" s="138">
        <v>67.415730337078656</v>
      </c>
      <c r="F188" s="139">
        <v>0.89</v>
      </c>
      <c r="H188" t="str">
        <f t="shared" si="5"/>
        <v>15000601500060392</v>
      </c>
    </row>
    <row r="189" spans="1:8" ht="15" customHeight="1" x14ac:dyDescent="0.25">
      <c r="A189" s="110" t="s">
        <v>5101</v>
      </c>
      <c r="B189" s="125" t="s">
        <v>51</v>
      </c>
      <c r="C189" s="138">
        <v>0.89</v>
      </c>
      <c r="D189" s="138">
        <v>53.4</v>
      </c>
      <c r="E189" s="138">
        <v>67.415730337078656</v>
      </c>
      <c r="F189" s="139">
        <v>0.89</v>
      </c>
      <c r="H189" t="str">
        <f t="shared" si="5"/>
        <v>15000601500060393</v>
      </c>
    </row>
    <row r="190" spans="1:8" ht="15" customHeight="1" x14ac:dyDescent="0.25">
      <c r="A190" s="110" t="s">
        <v>5102</v>
      </c>
      <c r="B190" s="125" t="s">
        <v>181</v>
      </c>
      <c r="C190" s="138">
        <v>0</v>
      </c>
      <c r="D190" s="138">
        <v>0</v>
      </c>
      <c r="E190" s="138" t="e">
        <v>#DIV/0!</v>
      </c>
      <c r="F190" s="139">
        <v>0</v>
      </c>
      <c r="H190" t="str">
        <f t="shared" si="5"/>
        <v>15000601500060400</v>
      </c>
    </row>
    <row r="191" spans="1:8" ht="15" customHeight="1" x14ac:dyDescent="0.25">
      <c r="A191" s="110" t="s">
        <v>5103</v>
      </c>
      <c r="B191" s="125" t="s">
        <v>182</v>
      </c>
      <c r="C191" s="138">
        <v>0</v>
      </c>
      <c r="D191" s="138">
        <v>0</v>
      </c>
      <c r="E191" s="138" t="e">
        <v>#DIV/0!</v>
      </c>
      <c r="F191" s="139">
        <v>0</v>
      </c>
      <c r="H191" t="str">
        <f t="shared" si="5"/>
        <v>15000601500060401</v>
      </c>
    </row>
    <row r="192" spans="1:8" ht="15" customHeight="1" x14ac:dyDescent="0.25">
      <c r="A192" s="110" t="s">
        <v>5104</v>
      </c>
      <c r="B192" s="125" t="s">
        <v>183</v>
      </c>
      <c r="C192" s="138">
        <v>0.38</v>
      </c>
      <c r="D192" s="138">
        <v>22.8</v>
      </c>
      <c r="E192" s="138">
        <v>157.89473684210526</v>
      </c>
      <c r="F192" s="139">
        <v>0.38</v>
      </c>
      <c r="H192" t="str">
        <f t="shared" si="5"/>
        <v>15000601500060402</v>
      </c>
    </row>
    <row r="193" spans="1:8" ht="15" customHeight="1" x14ac:dyDescent="0.25">
      <c r="A193" s="110" t="s">
        <v>5105</v>
      </c>
      <c r="B193" s="125" t="s">
        <v>184</v>
      </c>
      <c r="C193" s="138">
        <v>0</v>
      </c>
      <c r="D193" s="138">
        <v>0</v>
      </c>
      <c r="E193" s="138" t="e">
        <v>#DIV/0!</v>
      </c>
      <c r="F193" s="139">
        <v>0</v>
      </c>
      <c r="H193" t="str">
        <f t="shared" si="5"/>
        <v>15000601500060403</v>
      </c>
    </row>
    <row r="194" spans="1:8" ht="15" customHeight="1" x14ac:dyDescent="0.25">
      <c r="A194" s="110" t="s">
        <v>5106</v>
      </c>
      <c r="B194" s="125" t="s">
        <v>185</v>
      </c>
      <c r="C194" s="138">
        <v>0.38</v>
      </c>
      <c r="D194" s="138">
        <v>22.8</v>
      </c>
      <c r="E194" s="138">
        <v>157.89473684210526</v>
      </c>
      <c r="F194" s="139">
        <v>0.38</v>
      </c>
      <c r="H194" t="str">
        <f t="shared" si="5"/>
        <v>15000601500060404</v>
      </c>
    </row>
    <row r="195" spans="1:8" ht="15" customHeight="1" x14ac:dyDescent="0.25">
      <c r="A195" s="110" t="s">
        <v>5107</v>
      </c>
      <c r="B195" s="125" t="s">
        <v>186</v>
      </c>
      <c r="C195" s="138">
        <v>0.38</v>
      </c>
      <c r="D195" s="138">
        <v>22.8</v>
      </c>
      <c r="E195" s="138">
        <v>157.89473684210526</v>
      </c>
      <c r="F195" s="139">
        <v>0.38</v>
      </c>
      <c r="H195" t="str">
        <f t="shared" si="5"/>
        <v>15000601500060405</v>
      </c>
    </row>
    <row r="196" spans="1:8" ht="15" customHeight="1" x14ac:dyDescent="0.25">
      <c r="A196" s="110" t="s">
        <v>5108</v>
      </c>
      <c r="B196" s="125" t="s">
        <v>187</v>
      </c>
      <c r="C196" s="138">
        <v>0</v>
      </c>
      <c r="D196" s="138">
        <v>0</v>
      </c>
      <c r="E196" s="138" t="e">
        <v>#DIV/0!</v>
      </c>
      <c r="F196" s="139">
        <v>0</v>
      </c>
      <c r="H196" t="str">
        <f t="shared" si="5"/>
        <v>15000601500060406</v>
      </c>
    </row>
    <row r="197" spans="1:8" ht="15" customHeight="1" x14ac:dyDescent="0.25">
      <c r="A197" s="110" t="s">
        <v>5109</v>
      </c>
      <c r="B197" s="125" t="s">
        <v>315</v>
      </c>
      <c r="C197" s="138">
        <v>0.71</v>
      </c>
      <c r="D197" s="138">
        <v>42.599999999999994</v>
      </c>
      <c r="E197" s="138">
        <v>84.507042253521135</v>
      </c>
      <c r="F197" s="139">
        <v>0.71</v>
      </c>
      <c r="H197" t="str">
        <f t="shared" si="5"/>
        <v>15000601500060407</v>
      </c>
    </row>
    <row r="198" spans="1:8" ht="15" customHeight="1" x14ac:dyDescent="0.25">
      <c r="A198" s="110" t="s">
        <v>5109</v>
      </c>
      <c r="B198" s="125" t="s">
        <v>1500</v>
      </c>
      <c r="C198" s="138">
        <v>0</v>
      </c>
      <c r="D198" s="138">
        <v>0</v>
      </c>
      <c r="E198" s="138" t="e">
        <v>#DIV/0!</v>
      </c>
      <c r="F198" s="139">
        <v>0</v>
      </c>
      <c r="H198" t="str">
        <f t="shared" si="5"/>
        <v>15000601500060407</v>
      </c>
    </row>
    <row r="199" spans="1:8" ht="15" customHeight="1" x14ac:dyDescent="0.25">
      <c r="A199" s="110" t="s">
        <v>5110</v>
      </c>
      <c r="B199" s="125" t="s">
        <v>316</v>
      </c>
      <c r="C199" s="138">
        <v>0.71</v>
      </c>
      <c r="D199" s="138">
        <v>42.599999999999994</v>
      </c>
      <c r="E199" s="138">
        <v>84.507042253521135</v>
      </c>
      <c r="F199" s="139">
        <v>0.71</v>
      </c>
      <c r="H199" t="str">
        <f t="shared" si="5"/>
        <v>15000601500060408</v>
      </c>
    </row>
    <row r="200" spans="1:8" ht="15" customHeight="1" x14ac:dyDescent="0.25">
      <c r="A200" s="110" t="s">
        <v>5110</v>
      </c>
      <c r="B200" s="125" t="s">
        <v>188</v>
      </c>
      <c r="C200" s="138">
        <v>0.38</v>
      </c>
      <c r="D200" s="138">
        <v>22.8</v>
      </c>
      <c r="E200" s="138">
        <v>157.89473684210526</v>
      </c>
      <c r="F200" s="139">
        <v>0.38</v>
      </c>
      <c r="H200" t="str">
        <f t="shared" si="5"/>
        <v>15000601500060408</v>
      </c>
    </row>
    <row r="201" spans="1:8" ht="15" customHeight="1" x14ac:dyDescent="0.25">
      <c r="A201" s="110" t="s">
        <v>5111</v>
      </c>
      <c r="B201" s="125" t="s">
        <v>317</v>
      </c>
      <c r="C201" s="138">
        <v>0.33</v>
      </c>
      <c r="D201" s="138">
        <v>19.8</v>
      </c>
      <c r="E201" s="138">
        <v>181.81818181818181</v>
      </c>
      <c r="F201" s="139">
        <v>0.33</v>
      </c>
      <c r="H201" t="str">
        <f t="shared" si="5"/>
        <v>15000601500060409</v>
      </c>
    </row>
    <row r="202" spans="1:8" ht="15" customHeight="1" x14ac:dyDescent="0.25">
      <c r="A202" s="110" t="s">
        <v>5111</v>
      </c>
      <c r="B202" s="125" t="s">
        <v>189</v>
      </c>
      <c r="C202" s="138">
        <v>0</v>
      </c>
      <c r="D202" s="138">
        <v>0</v>
      </c>
      <c r="E202" s="138" t="e">
        <v>#DIV/0!</v>
      </c>
      <c r="F202" s="139">
        <v>0</v>
      </c>
      <c r="H202" t="str">
        <f t="shared" si="5"/>
        <v>15000601500060409</v>
      </c>
    </row>
    <row r="203" spans="1:8" ht="15" customHeight="1" x14ac:dyDescent="0.25">
      <c r="A203" s="110" t="s">
        <v>5112</v>
      </c>
      <c r="B203" s="125" t="s">
        <v>870</v>
      </c>
      <c r="C203" s="138">
        <v>0.41</v>
      </c>
      <c r="D203" s="138">
        <v>24.599999999999998</v>
      </c>
      <c r="E203" s="138">
        <v>146.34146341463415</v>
      </c>
      <c r="F203" s="139">
        <v>0.41</v>
      </c>
      <c r="H203" t="str">
        <f t="shared" si="5"/>
        <v>15000601500060410</v>
      </c>
    </row>
    <row r="204" spans="1:8" ht="15" customHeight="1" x14ac:dyDescent="0.25">
      <c r="A204" s="110" t="s">
        <v>5112</v>
      </c>
      <c r="B204" s="125" t="s">
        <v>1501</v>
      </c>
      <c r="C204" s="138">
        <v>0</v>
      </c>
      <c r="D204" s="138">
        <v>0</v>
      </c>
      <c r="E204" s="138" t="e">
        <v>#DIV/0!</v>
      </c>
      <c r="F204" s="139">
        <v>0</v>
      </c>
      <c r="H204" t="str">
        <f t="shared" si="5"/>
        <v>15000601500060410</v>
      </c>
    </row>
    <row r="205" spans="1:8" ht="15" customHeight="1" x14ac:dyDescent="0.25">
      <c r="A205" s="110" t="s">
        <v>5113</v>
      </c>
      <c r="B205" s="125" t="s">
        <v>871</v>
      </c>
      <c r="C205" s="138">
        <v>0.41</v>
      </c>
      <c r="D205" s="138">
        <v>24.599999999999998</v>
      </c>
      <c r="E205" s="138">
        <v>146.34146341463415</v>
      </c>
      <c r="F205" s="139">
        <v>0.41</v>
      </c>
      <c r="H205" t="str">
        <f t="shared" si="5"/>
        <v>15000601500060411</v>
      </c>
    </row>
    <row r="206" spans="1:8" ht="15" customHeight="1" x14ac:dyDescent="0.25">
      <c r="A206" s="110" t="s">
        <v>5114</v>
      </c>
      <c r="B206" s="125" t="s">
        <v>872</v>
      </c>
      <c r="C206" s="138">
        <v>0.18</v>
      </c>
      <c r="D206" s="138">
        <v>10.799999999999999</v>
      </c>
      <c r="E206" s="138">
        <v>333.33333333333337</v>
      </c>
      <c r="F206" s="139">
        <v>0.18</v>
      </c>
      <c r="H206" t="str">
        <f t="shared" si="5"/>
        <v>15000601500060414</v>
      </c>
    </row>
    <row r="207" spans="1:8" ht="15" customHeight="1" x14ac:dyDescent="0.25">
      <c r="A207" s="110" t="s">
        <v>5115</v>
      </c>
      <c r="B207" s="125" t="s">
        <v>1502</v>
      </c>
      <c r="C207" s="138">
        <v>0</v>
      </c>
      <c r="D207" s="138">
        <v>0</v>
      </c>
      <c r="E207" s="138" t="e">
        <v>#DIV/0!</v>
      </c>
      <c r="F207" s="139">
        <v>0</v>
      </c>
      <c r="H207" t="str">
        <f t="shared" si="5"/>
        <v>15000601500060415</v>
      </c>
    </row>
    <row r="208" spans="1:8" ht="15" customHeight="1" x14ac:dyDescent="0.25">
      <c r="A208" s="110" t="s">
        <v>5116</v>
      </c>
      <c r="B208" s="125" t="s">
        <v>318</v>
      </c>
      <c r="C208" s="138">
        <v>0.53</v>
      </c>
      <c r="D208" s="138">
        <v>31.8</v>
      </c>
      <c r="E208" s="138">
        <v>113.20754716981132</v>
      </c>
      <c r="F208" s="139">
        <v>0.53</v>
      </c>
      <c r="H208" t="str">
        <f t="shared" si="5"/>
        <v>15000601500060419</v>
      </c>
    </row>
    <row r="209" spans="1:8" ht="15" customHeight="1" x14ac:dyDescent="0.25">
      <c r="A209" s="110" t="s">
        <v>5117</v>
      </c>
      <c r="B209" s="125" t="s">
        <v>873</v>
      </c>
      <c r="C209" s="138">
        <v>0.5</v>
      </c>
      <c r="D209" s="138">
        <v>30</v>
      </c>
      <c r="E209" s="138">
        <v>120</v>
      </c>
      <c r="F209" s="139">
        <v>0.5</v>
      </c>
      <c r="H209" t="str">
        <f t="shared" si="5"/>
        <v>15000601500060420</v>
      </c>
    </row>
    <row r="210" spans="1:8" ht="15" customHeight="1" x14ac:dyDescent="0.25">
      <c r="A210" s="110" t="s">
        <v>5118</v>
      </c>
      <c r="B210" s="125" t="s">
        <v>1503</v>
      </c>
      <c r="C210" s="138">
        <v>0</v>
      </c>
      <c r="D210" s="138">
        <v>0</v>
      </c>
      <c r="E210" s="138" t="e">
        <v>#DIV/0!</v>
      </c>
      <c r="F210" s="139">
        <v>0</v>
      </c>
      <c r="H210" t="str">
        <f t="shared" si="5"/>
        <v>15000601500060421</v>
      </c>
    </row>
    <row r="211" spans="1:8" ht="15" customHeight="1" x14ac:dyDescent="0.25">
      <c r="A211" s="110" t="s">
        <v>5119</v>
      </c>
      <c r="B211" s="125" t="s">
        <v>1504</v>
      </c>
      <c r="C211" s="138">
        <v>0</v>
      </c>
      <c r="D211" s="138">
        <v>0</v>
      </c>
      <c r="E211" s="138" t="e">
        <v>#DIV/0!</v>
      </c>
      <c r="F211" s="139">
        <v>0</v>
      </c>
      <c r="H211" t="str">
        <f t="shared" si="5"/>
        <v>15000601500060422</v>
      </c>
    </row>
    <row r="212" spans="1:8" ht="15" customHeight="1" x14ac:dyDescent="0.25">
      <c r="A212" s="110" t="s">
        <v>5120</v>
      </c>
      <c r="B212" s="125" t="s">
        <v>565</v>
      </c>
      <c r="C212" s="138">
        <v>0.55000000000000004</v>
      </c>
      <c r="D212" s="138">
        <v>33</v>
      </c>
      <c r="E212" s="138">
        <v>109.09090909090909</v>
      </c>
      <c r="F212" s="139">
        <v>0.55000000000000004</v>
      </c>
      <c r="H212" t="str">
        <f t="shared" si="5"/>
        <v>15000601500060423</v>
      </c>
    </row>
    <row r="213" spans="1:8" ht="15" customHeight="1" x14ac:dyDescent="0.25">
      <c r="A213" s="110" t="s">
        <v>5120</v>
      </c>
      <c r="B213" s="125" t="s">
        <v>1505</v>
      </c>
      <c r="C213" s="138">
        <v>0</v>
      </c>
      <c r="D213" s="138">
        <v>0</v>
      </c>
      <c r="E213" s="138" t="e">
        <v>#DIV/0!</v>
      </c>
      <c r="F213" s="139">
        <v>0</v>
      </c>
      <c r="H213" t="str">
        <f t="shared" si="5"/>
        <v>15000601500060423</v>
      </c>
    </row>
    <row r="214" spans="1:8" ht="15" customHeight="1" x14ac:dyDescent="0.25">
      <c r="A214" s="110" t="s">
        <v>5121</v>
      </c>
      <c r="B214" s="125" t="s">
        <v>566</v>
      </c>
      <c r="C214" s="138">
        <v>0.55000000000000004</v>
      </c>
      <c r="D214" s="138">
        <v>33</v>
      </c>
      <c r="E214" s="138">
        <v>109.09090909090909</v>
      </c>
      <c r="F214" s="139">
        <v>0.55000000000000004</v>
      </c>
      <c r="H214" t="str">
        <f t="shared" si="5"/>
        <v>15000601500060424</v>
      </c>
    </row>
    <row r="215" spans="1:8" ht="15" customHeight="1" x14ac:dyDescent="0.25">
      <c r="A215" s="110" t="s">
        <v>5121</v>
      </c>
      <c r="B215" s="125" t="s">
        <v>1506</v>
      </c>
      <c r="C215" s="138">
        <v>0</v>
      </c>
      <c r="D215" s="138">
        <v>0</v>
      </c>
      <c r="E215" s="138" t="e">
        <v>#DIV/0!</v>
      </c>
      <c r="F215" s="139">
        <v>0</v>
      </c>
      <c r="H215" t="str">
        <f t="shared" si="5"/>
        <v>15000601500060424</v>
      </c>
    </row>
    <row r="216" spans="1:8" ht="15" customHeight="1" x14ac:dyDescent="0.25">
      <c r="A216" s="110" t="s">
        <v>5122</v>
      </c>
      <c r="B216" s="125" t="s">
        <v>1507</v>
      </c>
      <c r="C216" s="138">
        <v>0</v>
      </c>
      <c r="D216" s="138">
        <v>0</v>
      </c>
      <c r="E216" s="138" t="e">
        <v>#DIV/0!</v>
      </c>
      <c r="F216" s="139">
        <v>0</v>
      </c>
      <c r="H216" t="str">
        <f t="shared" si="5"/>
        <v>15000601500060425</v>
      </c>
    </row>
    <row r="217" spans="1:8" ht="15" customHeight="1" x14ac:dyDescent="0.25">
      <c r="A217" s="110" t="s">
        <v>5123</v>
      </c>
      <c r="B217" s="125" t="s">
        <v>1508</v>
      </c>
      <c r="C217" s="138">
        <v>0</v>
      </c>
      <c r="D217" s="138">
        <v>0</v>
      </c>
      <c r="E217" s="138" t="e">
        <v>#DIV/0!</v>
      </c>
      <c r="F217" s="139">
        <v>0</v>
      </c>
      <c r="H217" t="str">
        <f t="shared" si="5"/>
        <v>15000601500060426</v>
      </c>
    </row>
    <row r="218" spans="1:8" ht="15" customHeight="1" x14ac:dyDescent="0.25">
      <c r="A218" s="110" t="s">
        <v>5124</v>
      </c>
      <c r="B218" s="125" t="s">
        <v>1509</v>
      </c>
      <c r="C218" s="138">
        <v>0</v>
      </c>
      <c r="D218" s="138">
        <v>0</v>
      </c>
      <c r="E218" s="138" t="e">
        <v>#DIV/0!</v>
      </c>
      <c r="F218" s="139">
        <v>0</v>
      </c>
      <c r="H218" t="str">
        <f t="shared" si="5"/>
        <v>15000601500060427</v>
      </c>
    </row>
    <row r="219" spans="1:8" ht="15" customHeight="1" x14ac:dyDescent="0.25">
      <c r="A219" s="110" t="s">
        <v>5125</v>
      </c>
      <c r="B219" s="125" t="s">
        <v>1510</v>
      </c>
      <c r="C219" s="138">
        <v>0</v>
      </c>
      <c r="D219" s="138">
        <v>0</v>
      </c>
      <c r="E219" s="138" t="e">
        <v>#DIV/0!</v>
      </c>
      <c r="F219" s="139">
        <v>0</v>
      </c>
      <c r="H219" t="str">
        <f t="shared" si="5"/>
        <v>15000601500060428</v>
      </c>
    </row>
    <row r="220" spans="1:8" ht="15" customHeight="1" x14ac:dyDescent="0.25">
      <c r="A220" s="110" t="s">
        <v>5126</v>
      </c>
      <c r="B220" s="125" t="s">
        <v>1507</v>
      </c>
      <c r="C220" s="138">
        <v>0</v>
      </c>
      <c r="D220" s="138">
        <v>0</v>
      </c>
      <c r="E220" s="138" t="e">
        <v>#DIV/0!</v>
      </c>
      <c r="F220" s="139">
        <v>0</v>
      </c>
      <c r="H220" t="str">
        <f t="shared" si="5"/>
        <v>15000601500060429</v>
      </c>
    </row>
    <row r="221" spans="1:8" ht="15" customHeight="1" x14ac:dyDescent="0.25">
      <c r="A221" s="110" t="s">
        <v>5127</v>
      </c>
      <c r="B221" s="125" t="s">
        <v>875</v>
      </c>
      <c r="C221" s="138">
        <v>0.32</v>
      </c>
      <c r="D221" s="138">
        <v>19.2</v>
      </c>
      <c r="E221" s="138">
        <v>187.5</v>
      </c>
      <c r="F221" s="139">
        <v>0.32</v>
      </c>
      <c r="H221" t="str">
        <f t="shared" si="5"/>
        <v>15000601500060430</v>
      </c>
    </row>
    <row r="222" spans="1:8" ht="15" customHeight="1" x14ac:dyDescent="0.25">
      <c r="A222" s="110" t="s">
        <v>5127</v>
      </c>
      <c r="B222" s="125" t="s">
        <v>1511</v>
      </c>
      <c r="C222" s="138">
        <v>0</v>
      </c>
      <c r="D222" s="138">
        <v>0</v>
      </c>
      <c r="E222" s="138" t="e">
        <v>#DIV/0!</v>
      </c>
      <c r="F222" s="139">
        <v>0</v>
      </c>
      <c r="H222" t="str">
        <f t="shared" si="5"/>
        <v>15000601500060430</v>
      </c>
    </row>
    <row r="223" spans="1:8" ht="15" customHeight="1" x14ac:dyDescent="0.25">
      <c r="A223" s="110" t="s">
        <v>5128</v>
      </c>
      <c r="B223" s="125" t="s">
        <v>877</v>
      </c>
      <c r="C223" s="138">
        <v>0.32</v>
      </c>
      <c r="D223" s="138">
        <v>19.2</v>
      </c>
      <c r="E223" s="138">
        <v>187.5</v>
      </c>
      <c r="F223" s="139">
        <v>0.32</v>
      </c>
      <c r="H223" t="str">
        <f t="shared" si="5"/>
        <v>15000601500060431</v>
      </c>
    </row>
    <row r="224" spans="1:8" ht="15" customHeight="1" x14ac:dyDescent="0.25">
      <c r="A224" s="110" t="s">
        <v>5128</v>
      </c>
      <c r="B224" s="125" t="s">
        <v>1512</v>
      </c>
      <c r="C224" s="138">
        <v>0</v>
      </c>
      <c r="D224" s="138">
        <v>0</v>
      </c>
      <c r="E224" s="138" t="e">
        <v>#DIV/0!</v>
      </c>
      <c r="F224" s="139">
        <v>0</v>
      </c>
      <c r="H224" t="str">
        <f t="shared" si="5"/>
        <v>15000601500060431</v>
      </c>
    </row>
    <row r="225" spans="1:8" ht="15" customHeight="1" x14ac:dyDescent="0.25">
      <c r="A225" s="110" t="s">
        <v>5129</v>
      </c>
      <c r="B225" s="125" t="s">
        <v>1513</v>
      </c>
      <c r="C225" s="138">
        <v>0</v>
      </c>
      <c r="D225" s="138">
        <v>0</v>
      </c>
      <c r="E225" s="138" t="e">
        <v>#DIV/0!</v>
      </c>
      <c r="F225" s="139">
        <v>0</v>
      </c>
      <c r="H225" t="str">
        <f t="shared" si="5"/>
        <v>15000601500060432</v>
      </c>
    </row>
    <row r="226" spans="1:8" ht="15" customHeight="1" x14ac:dyDescent="0.25">
      <c r="A226" s="110" t="s">
        <v>5130</v>
      </c>
      <c r="B226" s="125" t="s">
        <v>1514</v>
      </c>
      <c r="C226" s="138">
        <v>0</v>
      </c>
      <c r="D226" s="138">
        <v>0</v>
      </c>
      <c r="E226" s="138" t="e">
        <v>#DIV/0!</v>
      </c>
      <c r="F226" s="139">
        <v>0</v>
      </c>
      <c r="H226" t="str">
        <f t="shared" si="5"/>
        <v>15000601500060433</v>
      </c>
    </row>
    <row r="227" spans="1:8" ht="15" customHeight="1" x14ac:dyDescent="0.25">
      <c r="A227" s="110" t="s">
        <v>5131</v>
      </c>
      <c r="B227" s="125" t="s">
        <v>1515</v>
      </c>
      <c r="C227" s="138">
        <v>0</v>
      </c>
      <c r="D227" s="138">
        <v>0</v>
      </c>
      <c r="E227" s="138" t="e">
        <v>#DIV/0!</v>
      </c>
      <c r="F227" s="139">
        <v>0</v>
      </c>
      <c r="H227" t="str">
        <f t="shared" si="5"/>
        <v>15000601500060434</v>
      </c>
    </row>
    <row r="228" spans="1:8" ht="15" customHeight="1" x14ac:dyDescent="0.25">
      <c r="A228" s="110" t="s">
        <v>5132</v>
      </c>
      <c r="B228" s="125" t="s">
        <v>1516</v>
      </c>
      <c r="C228" s="138">
        <v>0</v>
      </c>
      <c r="D228" s="138">
        <v>0</v>
      </c>
      <c r="E228" s="138" t="e">
        <v>#DIV/0!</v>
      </c>
      <c r="F228" s="139">
        <v>0</v>
      </c>
      <c r="H228" t="str">
        <f t="shared" si="5"/>
        <v>15000601500060435</v>
      </c>
    </row>
    <row r="229" spans="1:8" ht="15" customHeight="1" x14ac:dyDescent="0.25">
      <c r="A229" s="110" t="s">
        <v>5133</v>
      </c>
      <c r="B229" s="125" t="s">
        <v>1517</v>
      </c>
      <c r="C229" s="138">
        <v>0</v>
      </c>
      <c r="D229" s="138">
        <v>0</v>
      </c>
      <c r="E229" s="138" t="e">
        <v>#DIV/0!</v>
      </c>
      <c r="F229" s="139">
        <v>0</v>
      </c>
      <c r="H229" t="str">
        <f t="shared" si="5"/>
        <v>15000601500060436</v>
      </c>
    </row>
    <row r="230" spans="1:8" ht="15" customHeight="1" x14ac:dyDescent="0.25">
      <c r="A230" s="110" t="s">
        <v>5134</v>
      </c>
      <c r="B230" s="125" t="s">
        <v>1518</v>
      </c>
      <c r="C230" s="138">
        <v>0</v>
      </c>
      <c r="D230" s="138">
        <v>0</v>
      </c>
      <c r="E230" s="138" t="e">
        <v>#DIV/0!</v>
      </c>
      <c r="F230" s="139">
        <v>0</v>
      </c>
      <c r="H230" t="str">
        <f t="shared" si="5"/>
        <v>15000601500060437</v>
      </c>
    </row>
    <row r="231" spans="1:8" ht="15" customHeight="1" x14ac:dyDescent="0.25">
      <c r="A231" s="110" t="s">
        <v>5135</v>
      </c>
      <c r="B231" s="125" t="s">
        <v>1506</v>
      </c>
      <c r="C231" s="138">
        <v>0</v>
      </c>
      <c r="D231" s="138">
        <v>0</v>
      </c>
      <c r="E231" s="138" t="e">
        <v>#DIV/0!</v>
      </c>
      <c r="F231" s="139">
        <v>0</v>
      </c>
      <c r="H231" t="str">
        <f t="shared" si="5"/>
        <v>15000601500060438</v>
      </c>
    </row>
    <row r="232" spans="1:8" ht="15" customHeight="1" x14ac:dyDescent="0.25">
      <c r="A232" s="110" t="s">
        <v>5136</v>
      </c>
      <c r="B232" s="125" t="s">
        <v>1519</v>
      </c>
      <c r="C232" s="138">
        <v>0</v>
      </c>
      <c r="D232" s="138">
        <v>0</v>
      </c>
      <c r="E232" s="138" t="e">
        <v>#DIV/0!</v>
      </c>
      <c r="F232" s="139">
        <v>0</v>
      </c>
      <c r="H232" t="str">
        <f t="shared" si="5"/>
        <v>15000601500060439</v>
      </c>
    </row>
    <row r="233" spans="1:8" ht="15" customHeight="1" x14ac:dyDescent="0.25">
      <c r="A233" s="110" t="s">
        <v>5137</v>
      </c>
      <c r="B233" s="125" t="s">
        <v>1520</v>
      </c>
      <c r="C233" s="138">
        <v>0</v>
      </c>
      <c r="D233" s="138">
        <v>0</v>
      </c>
      <c r="E233" s="138" t="e">
        <v>#DIV/0!</v>
      </c>
      <c r="F233" s="139">
        <v>0</v>
      </c>
      <c r="H233" t="str">
        <f t="shared" si="5"/>
        <v>15000601500060440</v>
      </c>
    </row>
    <row r="234" spans="1:8" ht="15" customHeight="1" x14ac:dyDescent="0.25">
      <c r="A234" s="110" t="s">
        <v>5138</v>
      </c>
      <c r="B234" s="125" t="s">
        <v>1521</v>
      </c>
      <c r="C234" s="138">
        <v>0</v>
      </c>
      <c r="D234" s="138">
        <v>0</v>
      </c>
      <c r="E234" s="138" t="e">
        <v>#DIV/0!</v>
      </c>
      <c r="F234" s="139">
        <v>0</v>
      </c>
      <c r="H234" t="str">
        <f t="shared" si="5"/>
        <v>15000601500060441</v>
      </c>
    </row>
    <row r="235" spans="1:8" ht="15" customHeight="1" x14ac:dyDescent="0.25">
      <c r="A235" s="110" t="s">
        <v>5139</v>
      </c>
      <c r="B235" s="125" t="s">
        <v>1522</v>
      </c>
      <c r="C235" s="138">
        <v>0.2</v>
      </c>
      <c r="D235" s="138">
        <v>12</v>
      </c>
      <c r="E235" s="138">
        <v>300</v>
      </c>
      <c r="F235" s="139">
        <v>0.2</v>
      </c>
      <c r="H235" t="str">
        <f t="shared" si="5"/>
        <v>15000601500060442</v>
      </c>
    </row>
    <row r="236" spans="1:8" ht="15" customHeight="1" x14ac:dyDescent="0.25">
      <c r="A236" s="110" t="s">
        <v>5140</v>
      </c>
      <c r="B236" s="125" t="s">
        <v>1</v>
      </c>
      <c r="C236" s="138">
        <v>0.51</v>
      </c>
      <c r="D236" s="138">
        <v>30.6</v>
      </c>
      <c r="E236" s="138">
        <v>117.64705882352941</v>
      </c>
      <c r="F236" s="139">
        <v>0.51</v>
      </c>
      <c r="H236" t="str">
        <f t="shared" si="5"/>
        <v>15000601500060443</v>
      </c>
    </row>
    <row r="237" spans="1:8" ht="15" customHeight="1" x14ac:dyDescent="0.25">
      <c r="A237" s="110" t="s">
        <v>5140</v>
      </c>
      <c r="B237" s="125" t="s">
        <v>1506</v>
      </c>
      <c r="C237" s="138">
        <v>0</v>
      </c>
      <c r="D237" s="138">
        <v>0</v>
      </c>
      <c r="E237" s="138" t="e">
        <v>#DIV/0!</v>
      </c>
      <c r="F237" s="139">
        <v>0</v>
      </c>
      <c r="H237" t="str">
        <f t="shared" si="5"/>
        <v>15000601500060443</v>
      </c>
    </row>
    <row r="238" spans="1:8" ht="15" customHeight="1" x14ac:dyDescent="0.25">
      <c r="A238" s="110" t="s">
        <v>5141</v>
      </c>
      <c r="B238" s="125" t="s">
        <v>1</v>
      </c>
      <c r="C238" s="138">
        <v>0.51</v>
      </c>
      <c r="D238" s="138">
        <v>30.6</v>
      </c>
      <c r="E238" s="138">
        <v>117.64705882352941</v>
      </c>
      <c r="F238" s="139">
        <v>0.51</v>
      </c>
      <c r="H238" t="str">
        <f t="shared" ref="H238:H301" si="6">CONCATENATE($G$45,A238)</f>
        <v>15000601500060444</v>
      </c>
    </row>
    <row r="239" spans="1:8" ht="15" customHeight="1" x14ac:dyDescent="0.25">
      <c r="A239" s="110" t="s">
        <v>5141</v>
      </c>
      <c r="B239" s="125" t="s">
        <v>1523</v>
      </c>
      <c r="C239" s="138">
        <v>0</v>
      </c>
      <c r="D239" s="138">
        <v>0</v>
      </c>
      <c r="E239" s="138" t="e">
        <v>#DIV/0!</v>
      </c>
      <c r="F239" s="139">
        <v>0</v>
      </c>
      <c r="H239" t="str">
        <f t="shared" si="6"/>
        <v>15000601500060444</v>
      </c>
    </row>
    <row r="240" spans="1:8" ht="15" customHeight="1" x14ac:dyDescent="0.25">
      <c r="A240" s="110" t="s">
        <v>5142</v>
      </c>
      <c r="B240" s="125" t="s">
        <v>319</v>
      </c>
      <c r="C240" s="138">
        <v>0.4</v>
      </c>
      <c r="D240" s="138">
        <v>24</v>
      </c>
      <c r="E240" s="138">
        <v>150</v>
      </c>
      <c r="F240" s="139">
        <v>0.4</v>
      </c>
      <c r="H240" t="str">
        <f t="shared" si="6"/>
        <v>15000601500060445</v>
      </c>
    </row>
    <row r="241" spans="1:8" ht="15" customHeight="1" x14ac:dyDescent="0.25">
      <c r="A241" s="110" t="s">
        <v>5142</v>
      </c>
      <c r="B241" s="125" t="s">
        <v>1524</v>
      </c>
      <c r="C241" s="138">
        <v>0.42</v>
      </c>
      <c r="D241" s="138">
        <v>25.2</v>
      </c>
      <c r="E241" s="138">
        <v>142.85714285714286</v>
      </c>
      <c r="F241" s="139">
        <v>0.42</v>
      </c>
      <c r="H241" t="str">
        <f t="shared" si="6"/>
        <v>15000601500060445</v>
      </c>
    </row>
    <row r="242" spans="1:8" ht="15" customHeight="1" x14ac:dyDescent="0.25">
      <c r="A242" s="110" t="s">
        <v>5143</v>
      </c>
      <c r="B242" s="125" t="s">
        <v>320</v>
      </c>
      <c r="C242" s="138">
        <v>0.4</v>
      </c>
      <c r="D242" s="138">
        <v>24</v>
      </c>
      <c r="E242" s="138">
        <v>150</v>
      </c>
      <c r="F242" s="139">
        <v>0.4</v>
      </c>
      <c r="H242" t="str">
        <f t="shared" si="6"/>
        <v>15000601500060446</v>
      </c>
    </row>
    <row r="243" spans="1:8" ht="15" customHeight="1" x14ac:dyDescent="0.25">
      <c r="A243" s="110" t="s">
        <v>5143</v>
      </c>
      <c r="B243" s="125" t="s">
        <v>1525</v>
      </c>
      <c r="C243" s="138">
        <v>0</v>
      </c>
      <c r="D243" s="138">
        <v>0</v>
      </c>
      <c r="E243" s="138" t="e">
        <v>#DIV/0!</v>
      </c>
      <c r="F243" s="139">
        <v>0</v>
      </c>
      <c r="H243" t="str">
        <f t="shared" si="6"/>
        <v>15000601500060446</v>
      </c>
    </row>
    <row r="244" spans="1:8" ht="15" customHeight="1" x14ac:dyDescent="0.25">
      <c r="A244" s="110" t="s">
        <v>5144</v>
      </c>
      <c r="B244" s="125" t="s">
        <v>52</v>
      </c>
      <c r="C244" s="138">
        <v>0.45</v>
      </c>
      <c r="D244" s="138">
        <v>27</v>
      </c>
      <c r="E244" s="138">
        <v>133.33333333333334</v>
      </c>
      <c r="F244" s="139">
        <v>0.45</v>
      </c>
      <c r="H244" t="str">
        <f t="shared" si="6"/>
        <v>15000601500060448</v>
      </c>
    </row>
    <row r="245" spans="1:8" ht="15" customHeight="1" x14ac:dyDescent="0.25">
      <c r="A245" s="110" t="s">
        <v>5145</v>
      </c>
      <c r="B245" s="125" t="s">
        <v>53</v>
      </c>
      <c r="C245" s="138">
        <v>0.45</v>
      </c>
      <c r="D245" s="138">
        <v>27</v>
      </c>
      <c r="E245" s="138">
        <v>133.33333333333334</v>
      </c>
      <c r="F245" s="139">
        <v>0.45</v>
      </c>
      <c r="H245" t="str">
        <f t="shared" si="6"/>
        <v>15000601500060449</v>
      </c>
    </row>
    <row r="246" spans="1:8" ht="15" customHeight="1" x14ac:dyDescent="0.25">
      <c r="A246" s="110" t="s">
        <v>5146</v>
      </c>
      <c r="B246" s="125" t="s">
        <v>1526</v>
      </c>
      <c r="C246" s="138">
        <v>0</v>
      </c>
      <c r="D246" s="138">
        <v>0</v>
      </c>
      <c r="E246" s="138" t="e">
        <v>#DIV/0!</v>
      </c>
      <c r="F246" s="139">
        <v>0</v>
      </c>
      <c r="H246" t="str">
        <f t="shared" si="6"/>
        <v>15000601500060455</v>
      </c>
    </row>
    <row r="247" spans="1:8" ht="15" customHeight="1" x14ac:dyDescent="0.25">
      <c r="A247" s="110" t="s">
        <v>5147</v>
      </c>
      <c r="B247" s="125" t="s">
        <v>882</v>
      </c>
      <c r="C247" s="138">
        <v>0.39</v>
      </c>
      <c r="D247" s="138">
        <v>23.400000000000002</v>
      </c>
      <c r="E247" s="138">
        <v>153.84615384615384</v>
      </c>
      <c r="F247" s="139">
        <v>0.39</v>
      </c>
      <c r="H247" t="str">
        <f t="shared" si="6"/>
        <v>15000601500060461</v>
      </c>
    </row>
    <row r="248" spans="1:8" ht="15" customHeight="1" x14ac:dyDescent="0.25">
      <c r="A248" s="110" t="s">
        <v>5148</v>
      </c>
      <c r="B248" s="125" t="s">
        <v>54</v>
      </c>
      <c r="C248" s="138">
        <v>0.39</v>
      </c>
      <c r="D248" s="138">
        <v>23.400000000000002</v>
      </c>
      <c r="E248" s="138">
        <v>153.84615384615384</v>
      </c>
      <c r="F248" s="139">
        <v>0.39</v>
      </c>
      <c r="H248" t="str">
        <f t="shared" si="6"/>
        <v>15000601500060462</v>
      </c>
    </row>
    <row r="249" spans="1:8" ht="15" customHeight="1" x14ac:dyDescent="0.25">
      <c r="A249" s="110" t="s">
        <v>5149</v>
      </c>
      <c r="B249" s="125" t="s">
        <v>1527</v>
      </c>
      <c r="C249" s="138">
        <v>0</v>
      </c>
      <c r="D249" s="138">
        <v>0</v>
      </c>
      <c r="E249" s="138" t="e">
        <v>#DIV/0!</v>
      </c>
      <c r="F249" s="139">
        <v>0</v>
      </c>
      <c r="H249" t="str">
        <f t="shared" si="6"/>
        <v>15000601500060465</v>
      </c>
    </row>
    <row r="250" spans="1:8" ht="15" customHeight="1" x14ac:dyDescent="0.25">
      <c r="A250" s="110" t="s">
        <v>5150</v>
      </c>
      <c r="B250" s="125" t="s">
        <v>55</v>
      </c>
      <c r="C250" s="138">
        <v>0.5</v>
      </c>
      <c r="D250" s="138">
        <v>30</v>
      </c>
      <c r="E250" s="138">
        <v>120</v>
      </c>
      <c r="F250" s="139">
        <v>0.5</v>
      </c>
      <c r="H250" t="str">
        <f t="shared" si="6"/>
        <v>15000601500060466</v>
      </c>
    </row>
    <row r="251" spans="1:8" ht="15" customHeight="1" x14ac:dyDescent="0.25">
      <c r="A251" s="110" t="s">
        <v>5150</v>
      </c>
      <c r="B251" s="125" t="s">
        <v>1528</v>
      </c>
      <c r="C251" s="138">
        <v>0</v>
      </c>
      <c r="D251" s="138">
        <v>0</v>
      </c>
      <c r="E251" s="138" t="e">
        <v>#DIV/0!</v>
      </c>
      <c r="F251" s="139">
        <v>0</v>
      </c>
      <c r="H251" t="str">
        <f t="shared" si="6"/>
        <v>15000601500060466</v>
      </c>
    </row>
    <row r="252" spans="1:8" ht="15" customHeight="1" x14ac:dyDescent="0.25">
      <c r="A252" s="110" t="s">
        <v>5151</v>
      </c>
      <c r="B252" s="125" t="s">
        <v>56</v>
      </c>
      <c r="C252" s="138">
        <v>0.5</v>
      </c>
      <c r="D252" s="138">
        <v>30</v>
      </c>
      <c r="E252" s="138">
        <v>120</v>
      </c>
      <c r="F252" s="139">
        <v>0.5</v>
      </c>
      <c r="H252" t="str">
        <f t="shared" si="6"/>
        <v>15000601500060467</v>
      </c>
    </row>
    <row r="253" spans="1:8" ht="15" customHeight="1" x14ac:dyDescent="0.25">
      <c r="A253" s="110" t="s">
        <v>5151</v>
      </c>
      <c r="B253" s="125" t="s">
        <v>1529</v>
      </c>
      <c r="C253" s="138">
        <v>0</v>
      </c>
      <c r="D253" s="138">
        <v>0</v>
      </c>
      <c r="E253" s="138" t="e">
        <v>#DIV/0!</v>
      </c>
      <c r="F253" s="139">
        <v>0</v>
      </c>
      <c r="H253" t="str">
        <f t="shared" si="6"/>
        <v>15000601500060467</v>
      </c>
    </row>
    <row r="254" spans="1:8" ht="15" customHeight="1" x14ac:dyDescent="0.25">
      <c r="A254" s="110" t="s">
        <v>5152</v>
      </c>
      <c r="B254" s="125" t="s">
        <v>1530</v>
      </c>
      <c r="C254" s="138">
        <v>0</v>
      </c>
      <c r="D254" s="138">
        <v>0</v>
      </c>
      <c r="E254" s="138" t="e">
        <v>#DIV/0!</v>
      </c>
      <c r="F254" s="139">
        <v>0</v>
      </c>
      <c r="H254" t="str">
        <f t="shared" si="6"/>
        <v>15000601500060468</v>
      </c>
    </row>
    <row r="255" spans="1:8" ht="15" customHeight="1" x14ac:dyDescent="0.25">
      <c r="A255" s="110" t="s">
        <v>5153</v>
      </c>
      <c r="B255" s="125" t="s">
        <v>1531</v>
      </c>
      <c r="C255" s="138">
        <v>4.82</v>
      </c>
      <c r="D255" s="138">
        <v>289.20000000000005</v>
      </c>
      <c r="E255" s="138">
        <v>12.448132780082986</v>
      </c>
      <c r="F255" s="139">
        <v>4.82</v>
      </c>
      <c r="H255" t="str">
        <f t="shared" si="6"/>
        <v>15000601500060470</v>
      </c>
    </row>
    <row r="256" spans="1:8" ht="15" customHeight="1" x14ac:dyDescent="0.25">
      <c r="A256" s="110" t="s">
        <v>5154</v>
      </c>
      <c r="B256" s="125" t="s">
        <v>57</v>
      </c>
      <c r="C256" s="138">
        <v>0.4</v>
      </c>
      <c r="D256" s="138">
        <v>24</v>
      </c>
      <c r="E256" s="138">
        <v>150</v>
      </c>
      <c r="F256" s="139">
        <v>0.4</v>
      </c>
      <c r="H256" t="str">
        <f t="shared" si="6"/>
        <v>15000601500060471</v>
      </c>
    </row>
    <row r="257" spans="1:8" ht="15" customHeight="1" x14ac:dyDescent="0.25">
      <c r="A257" s="110" t="s">
        <v>5154</v>
      </c>
      <c r="B257" s="125" t="s">
        <v>1532</v>
      </c>
      <c r="C257" s="138">
        <v>4.82</v>
      </c>
      <c r="D257" s="138">
        <v>289.20000000000005</v>
      </c>
      <c r="E257" s="138">
        <v>12.448132780082986</v>
      </c>
      <c r="F257" s="139">
        <v>4.82</v>
      </c>
      <c r="H257" t="str">
        <f t="shared" si="6"/>
        <v>15000601500060471</v>
      </c>
    </row>
    <row r="258" spans="1:8" ht="15" customHeight="1" x14ac:dyDescent="0.25">
      <c r="A258" s="110" t="s">
        <v>5155</v>
      </c>
      <c r="B258" s="125" t="s">
        <v>58</v>
      </c>
      <c r="C258" s="138">
        <v>0.38</v>
      </c>
      <c r="D258" s="138">
        <v>22.8</v>
      </c>
      <c r="E258" s="138">
        <v>157.89473684210526</v>
      </c>
      <c r="F258" s="139">
        <v>0.38</v>
      </c>
      <c r="H258" t="str">
        <f t="shared" si="6"/>
        <v>15000601500060472</v>
      </c>
    </row>
    <row r="259" spans="1:8" ht="15" customHeight="1" x14ac:dyDescent="0.25">
      <c r="A259" s="110" t="s">
        <v>5155</v>
      </c>
      <c r="B259" s="125" t="s">
        <v>1533</v>
      </c>
      <c r="C259" s="138">
        <v>4.82</v>
      </c>
      <c r="D259" s="138">
        <v>289.20000000000005</v>
      </c>
      <c r="E259" s="138">
        <v>12.448132780082986</v>
      </c>
      <c r="F259" s="139">
        <v>4.82</v>
      </c>
      <c r="H259" t="str">
        <f t="shared" si="6"/>
        <v>15000601500060472</v>
      </c>
    </row>
    <row r="260" spans="1:8" ht="15" customHeight="1" x14ac:dyDescent="0.25">
      <c r="A260" s="110" t="s">
        <v>5156</v>
      </c>
      <c r="B260" s="125" t="s">
        <v>59</v>
      </c>
      <c r="C260" s="138">
        <v>0.38</v>
      </c>
      <c r="D260" s="138">
        <v>22.8</v>
      </c>
      <c r="E260" s="138">
        <v>157.89473684210526</v>
      </c>
      <c r="F260" s="139">
        <v>0.38</v>
      </c>
      <c r="H260" t="str">
        <f t="shared" si="6"/>
        <v>15000601500060473</v>
      </c>
    </row>
    <row r="261" spans="1:8" ht="15" customHeight="1" x14ac:dyDescent="0.25">
      <c r="A261" s="110" t="s">
        <v>5156</v>
      </c>
      <c r="B261" s="125" t="s">
        <v>1534</v>
      </c>
      <c r="C261" s="138">
        <v>0.67</v>
      </c>
      <c r="D261" s="138">
        <v>40.200000000000003</v>
      </c>
      <c r="E261" s="138">
        <v>89.552238805970148</v>
      </c>
      <c r="F261" s="139">
        <v>0.67</v>
      </c>
      <c r="H261" t="str">
        <f t="shared" si="6"/>
        <v>15000601500060473</v>
      </c>
    </row>
    <row r="262" spans="1:8" ht="15" customHeight="1" x14ac:dyDescent="0.25">
      <c r="A262" s="110" t="s">
        <v>5157</v>
      </c>
      <c r="B262" s="125" t="s">
        <v>1535</v>
      </c>
      <c r="C262" s="138">
        <v>1</v>
      </c>
      <c r="D262" s="138">
        <v>60</v>
      </c>
      <c r="E262" s="138">
        <v>60</v>
      </c>
      <c r="F262" s="139">
        <v>1</v>
      </c>
      <c r="H262" t="str">
        <f t="shared" si="6"/>
        <v>15000601500060474</v>
      </c>
    </row>
    <row r="263" spans="1:8" ht="15" customHeight="1" x14ac:dyDescent="0.25">
      <c r="A263" s="110" t="s">
        <v>5158</v>
      </c>
      <c r="B263" s="125" t="s">
        <v>1536</v>
      </c>
      <c r="C263" s="138">
        <v>1.2</v>
      </c>
      <c r="D263" s="138">
        <v>72</v>
      </c>
      <c r="E263" s="138">
        <v>50</v>
      </c>
      <c r="F263" s="139">
        <v>1.2</v>
      </c>
      <c r="H263" t="str">
        <f t="shared" si="6"/>
        <v>15000601500060475</v>
      </c>
    </row>
    <row r="264" spans="1:8" ht="15" customHeight="1" x14ac:dyDescent="0.25">
      <c r="A264" s="110" t="s">
        <v>5159</v>
      </c>
      <c r="B264" s="125" t="s">
        <v>60</v>
      </c>
      <c r="C264" s="138">
        <v>0.47</v>
      </c>
      <c r="D264" s="138">
        <v>28.2</v>
      </c>
      <c r="E264" s="138">
        <v>127.65957446808511</v>
      </c>
      <c r="F264" s="139">
        <v>0.47</v>
      </c>
      <c r="H264" t="str">
        <f t="shared" si="6"/>
        <v>15000601500060476</v>
      </c>
    </row>
    <row r="265" spans="1:8" ht="15" customHeight="1" x14ac:dyDescent="0.25">
      <c r="A265" s="110" t="s">
        <v>5159</v>
      </c>
      <c r="B265" s="125" t="s">
        <v>1537</v>
      </c>
      <c r="C265" s="138">
        <v>1.2</v>
      </c>
      <c r="D265" s="138">
        <v>72</v>
      </c>
      <c r="E265" s="138">
        <v>50</v>
      </c>
      <c r="F265" s="139">
        <v>1.2</v>
      </c>
      <c r="H265" t="str">
        <f t="shared" si="6"/>
        <v>15000601500060476</v>
      </c>
    </row>
    <row r="266" spans="1:8" ht="15" customHeight="1" x14ac:dyDescent="0.25">
      <c r="A266" s="110" t="s">
        <v>5160</v>
      </c>
      <c r="B266" s="125" t="s">
        <v>61</v>
      </c>
      <c r="C266" s="138">
        <v>0.47</v>
      </c>
      <c r="D266" s="138">
        <v>28.2</v>
      </c>
      <c r="E266" s="138">
        <v>127.65957446808511</v>
      </c>
      <c r="F266" s="139">
        <v>0.47</v>
      </c>
      <c r="H266" t="str">
        <f t="shared" si="6"/>
        <v>15000601500060477</v>
      </c>
    </row>
    <row r="267" spans="1:8" ht="15" customHeight="1" x14ac:dyDescent="0.25">
      <c r="A267" s="110" t="s">
        <v>5160</v>
      </c>
      <c r="B267" s="125" t="s">
        <v>1538</v>
      </c>
      <c r="C267" s="138">
        <v>1.2</v>
      </c>
      <c r="D267" s="138">
        <v>72</v>
      </c>
      <c r="E267" s="138">
        <v>50</v>
      </c>
      <c r="F267" s="139">
        <v>1.2</v>
      </c>
      <c r="H267" t="str">
        <f t="shared" si="6"/>
        <v>15000601500060477</v>
      </c>
    </row>
    <row r="268" spans="1:8" ht="15" customHeight="1" x14ac:dyDescent="0.25">
      <c r="A268" s="110" t="s">
        <v>5161</v>
      </c>
      <c r="B268" s="125" t="s">
        <v>321</v>
      </c>
      <c r="C268" s="138">
        <v>0.42</v>
      </c>
      <c r="D268" s="138">
        <v>25.2</v>
      </c>
      <c r="E268" s="138">
        <v>142.85714285714286</v>
      </c>
      <c r="F268" s="139">
        <v>0.42</v>
      </c>
      <c r="H268" t="str">
        <f t="shared" si="6"/>
        <v>15000601500060478</v>
      </c>
    </row>
    <row r="269" spans="1:8" ht="15" customHeight="1" x14ac:dyDescent="0.25">
      <c r="A269" s="110" t="s">
        <v>5161</v>
      </c>
      <c r="B269" s="125" t="s">
        <v>1539</v>
      </c>
      <c r="C269" s="138">
        <v>1.2</v>
      </c>
      <c r="D269" s="138">
        <v>72</v>
      </c>
      <c r="E269" s="138">
        <v>50</v>
      </c>
      <c r="F269" s="139">
        <v>1.2</v>
      </c>
      <c r="H269" t="str">
        <f t="shared" si="6"/>
        <v>15000601500060478</v>
      </c>
    </row>
    <row r="270" spans="1:8" ht="15" customHeight="1" x14ac:dyDescent="0.25">
      <c r="A270" s="110" t="s">
        <v>5162</v>
      </c>
      <c r="B270" s="125" t="s">
        <v>322</v>
      </c>
      <c r="C270" s="138">
        <v>0.42</v>
      </c>
      <c r="D270" s="138">
        <v>25.2</v>
      </c>
      <c r="E270" s="138">
        <v>142.85714285714286</v>
      </c>
      <c r="F270" s="139">
        <v>0.42</v>
      </c>
      <c r="H270" t="str">
        <f t="shared" si="6"/>
        <v>15000601500060479</v>
      </c>
    </row>
    <row r="271" spans="1:8" ht="15" customHeight="1" x14ac:dyDescent="0.25">
      <c r="A271" s="110" t="s">
        <v>5162</v>
      </c>
      <c r="B271" s="125" t="s">
        <v>1540</v>
      </c>
      <c r="C271" s="138">
        <v>1.2</v>
      </c>
      <c r="D271" s="138">
        <v>72</v>
      </c>
      <c r="E271" s="138">
        <v>50</v>
      </c>
      <c r="F271" s="139">
        <v>1.2</v>
      </c>
      <c r="H271" t="str">
        <f t="shared" si="6"/>
        <v>15000601500060479</v>
      </c>
    </row>
    <row r="272" spans="1:8" ht="15" customHeight="1" x14ac:dyDescent="0.25">
      <c r="A272" s="110" t="s">
        <v>5163</v>
      </c>
      <c r="B272" s="125" t="s">
        <v>62</v>
      </c>
      <c r="C272" s="138">
        <v>0.41</v>
      </c>
      <c r="D272" s="138">
        <v>24.599999999999998</v>
      </c>
      <c r="E272" s="138">
        <v>146.34146341463415</v>
      </c>
      <c r="F272" s="139">
        <v>0.41</v>
      </c>
      <c r="H272" t="str">
        <f t="shared" si="6"/>
        <v>15000601500060480</v>
      </c>
    </row>
    <row r="273" spans="1:8" ht="15" customHeight="1" x14ac:dyDescent="0.25">
      <c r="A273" s="110" t="s">
        <v>5163</v>
      </c>
      <c r="B273" s="125" t="s">
        <v>1541</v>
      </c>
      <c r="C273" s="138">
        <v>1.2</v>
      </c>
      <c r="D273" s="138">
        <v>72</v>
      </c>
      <c r="E273" s="138">
        <v>50</v>
      </c>
      <c r="F273" s="139">
        <v>1.2</v>
      </c>
      <c r="H273" t="str">
        <f t="shared" si="6"/>
        <v>15000601500060480</v>
      </c>
    </row>
    <row r="274" spans="1:8" ht="15" customHeight="1" x14ac:dyDescent="0.25">
      <c r="A274" s="110" t="s">
        <v>5164</v>
      </c>
      <c r="B274" s="125" t="s">
        <v>63</v>
      </c>
      <c r="C274" s="138">
        <v>0.41</v>
      </c>
      <c r="D274" s="138">
        <v>24.599999999999998</v>
      </c>
      <c r="E274" s="138">
        <v>146.34146341463415</v>
      </c>
      <c r="F274" s="139">
        <v>0.41</v>
      </c>
      <c r="H274" t="str">
        <f t="shared" si="6"/>
        <v>15000601500060481</v>
      </c>
    </row>
    <row r="275" spans="1:8" ht="15" customHeight="1" x14ac:dyDescent="0.25">
      <c r="A275" s="110" t="s">
        <v>5164</v>
      </c>
      <c r="B275" s="125" t="s">
        <v>1542</v>
      </c>
      <c r="C275" s="138">
        <v>1.5</v>
      </c>
      <c r="D275" s="138">
        <v>90</v>
      </c>
      <c r="E275" s="138">
        <v>40</v>
      </c>
      <c r="F275" s="139">
        <v>1.5</v>
      </c>
      <c r="H275" t="str">
        <f t="shared" si="6"/>
        <v>15000601500060481</v>
      </c>
    </row>
    <row r="276" spans="1:8" ht="15" customHeight="1" x14ac:dyDescent="0.25">
      <c r="A276" s="110" t="s">
        <v>5165</v>
      </c>
      <c r="B276" s="125" t="s">
        <v>64</v>
      </c>
      <c r="C276" s="138">
        <v>0.41</v>
      </c>
      <c r="D276" s="138">
        <v>24.599999999999998</v>
      </c>
      <c r="E276" s="138">
        <v>146.34146341463415</v>
      </c>
      <c r="F276" s="139">
        <v>0.41</v>
      </c>
      <c r="H276" t="str">
        <f t="shared" si="6"/>
        <v>15000601500060482</v>
      </c>
    </row>
    <row r="277" spans="1:8" ht="15" customHeight="1" x14ac:dyDescent="0.25">
      <c r="A277" s="110" t="s">
        <v>5166</v>
      </c>
      <c r="B277" s="125" t="s">
        <v>65</v>
      </c>
      <c r="C277" s="138">
        <v>0.41</v>
      </c>
      <c r="D277" s="138">
        <v>24.599999999999998</v>
      </c>
      <c r="E277" s="138">
        <v>146.34146341463415</v>
      </c>
      <c r="F277" s="139">
        <v>0.41</v>
      </c>
      <c r="H277" t="str">
        <f t="shared" si="6"/>
        <v>15000601500060483</v>
      </c>
    </row>
    <row r="278" spans="1:8" ht="15" customHeight="1" x14ac:dyDescent="0.25">
      <c r="A278" s="110" t="s">
        <v>5167</v>
      </c>
      <c r="B278" s="125" t="s">
        <v>884</v>
      </c>
      <c r="C278" s="138">
        <v>0.41</v>
      </c>
      <c r="D278" s="138">
        <v>24.599999999999998</v>
      </c>
      <c r="E278" s="138">
        <v>146.34146341463415</v>
      </c>
      <c r="F278" s="139">
        <v>0.41</v>
      </c>
      <c r="H278" t="str">
        <f t="shared" si="6"/>
        <v>15000601500060488</v>
      </c>
    </row>
    <row r="279" spans="1:8" ht="15" customHeight="1" x14ac:dyDescent="0.25">
      <c r="A279" s="110" t="s">
        <v>5168</v>
      </c>
      <c r="B279" s="125" t="s">
        <v>66</v>
      </c>
      <c r="C279" s="138">
        <v>0.41</v>
      </c>
      <c r="D279" s="138">
        <v>24.599999999999998</v>
      </c>
      <c r="E279" s="138">
        <v>146.34146341463415</v>
      </c>
      <c r="F279" s="139">
        <v>0.41</v>
      </c>
      <c r="H279" t="str">
        <f t="shared" si="6"/>
        <v>15000601500060489</v>
      </c>
    </row>
    <row r="280" spans="1:8" ht="15" customHeight="1" x14ac:dyDescent="0.25">
      <c r="A280" s="110" t="s">
        <v>5169</v>
      </c>
      <c r="B280" s="125" t="s">
        <v>67</v>
      </c>
      <c r="C280" s="138">
        <v>0.51</v>
      </c>
      <c r="D280" s="138">
        <v>30.6</v>
      </c>
      <c r="E280" s="138">
        <v>117.64705882352941</v>
      </c>
      <c r="F280" s="139">
        <v>0.51</v>
      </c>
      <c r="H280" t="str">
        <f t="shared" si="6"/>
        <v>15000601500060494</v>
      </c>
    </row>
    <row r="281" spans="1:8" ht="15" customHeight="1" x14ac:dyDescent="0.25">
      <c r="A281" s="110" t="s">
        <v>5170</v>
      </c>
      <c r="B281" s="125" t="s">
        <v>68</v>
      </c>
      <c r="C281" s="138">
        <v>0.51</v>
      </c>
      <c r="D281" s="138">
        <v>30.6</v>
      </c>
      <c r="E281" s="138">
        <v>117.64705882352941</v>
      </c>
      <c r="F281" s="139">
        <v>0.51</v>
      </c>
      <c r="H281" t="str">
        <f t="shared" si="6"/>
        <v>15000601500060495</v>
      </c>
    </row>
    <row r="282" spans="1:8" ht="15" customHeight="1" x14ac:dyDescent="0.25">
      <c r="A282" s="110" t="s">
        <v>5171</v>
      </c>
      <c r="B282" s="125" t="s">
        <v>69</v>
      </c>
      <c r="C282" s="138">
        <v>0.43</v>
      </c>
      <c r="D282" s="138">
        <v>25.8</v>
      </c>
      <c r="E282" s="138">
        <v>139.53488372093022</v>
      </c>
      <c r="F282" s="139">
        <v>0.43</v>
      </c>
      <c r="H282" t="str">
        <f t="shared" si="6"/>
        <v>15000601500060496</v>
      </c>
    </row>
    <row r="283" spans="1:8" ht="15" customHeight="1" x14ac:dyDescent="0.25">
      <c r="A283" s="110" t="s">
        <v>5172</v>
      </c>
      <c r="B283" s="125" t="s">
        <v>70</v>
      </c>
      <c r="C283" s="138">
        <v>0.43</v>
      </c>
      <c r="D283" s="138">
        <v>25.8</v>
      </c>
      <c r="E283" s="138">
        <v>139.53488372093022</v>
      </c>
      <c r="F283" s="139">
        <v>0.43</v>
      </c>
      <c r="H283" t="str">
        <f t="shared" si="6"/>
        <v>15000601500060497</v>
      </c>
    </row>
    <row r="284" spans="1:8" ht="15" customHeight="1" x14ac:dyDescent="0.25">
      <c r="A284" s="110" t="s">
        <v>5173</v>
      </c>
      <c r="B284" s="125" t="s">
        <v>1543</v>
      </c>
      <c r="C284" s="138">
        <v>0.75</v>
      </c>
      <c r="D284" s="138">
        <v>45</v>
      </c>
      <c r="E284" s="138">
        <v>80</v>
      </c>
      <c r="F284" s="139">
        <v>0.75</v>
      </c>
      <c r="H284" t="str">
        <f t="shared" si="6"/>
        <v>15000601500060500</v>
      </c>
    </row>
    <row r="285" spans="1:8" ht="15" customHeight="1" x14ac:dyDescent="0.25">
      <c r="A285" s="110" t="s">
        <v>5174</v>
      </c>
      <c r="B285" s="125" t="s">
        <v>1544</v>
      </c>
      <c r="C285" s="138">
        <v>0.5</v>
      </c>
      <c r="D285" s="138">
        <v>30</v>
      </c>
      <c r="E285" s="138">
        <v>120</v>
      </c>
      <c r="F285" s="139">
        <v>0.5</v>
      </c>
      <c r="H285" t="str">
        <f t="shared" si="6"/>
        <v>15000601500060501</v>
      </c>
    </row>
    <row r="286" spans="1:8" ht="15" customHeight="1" x14ac:dyDescent="0.25">
      <c r="A286" s="110" t="s">
        <v>5175</v>
      </c>
      <c r="B286" s="125" t="s">
        <v>1545</v>
      </c>
      <c r="C286" s="138">
        <v>0.18</v>
      </c>
      <c r="D286" s="138">
        <v>10.799999999999999</v>
      </c>
      <c r="E286" s="138">
        <v>333.33333333333337</v>
      </c>
      <c r="F286" s="139">
        <v>0.18</v>
      </c>
      <c r="H286" t="str">
        <f t="shared" si="6"/>
        <v>15000601500060502</v>
      </c>
    </row>
    <row r="287" spans="1:8" ht="15" customHeight="1" x14ac:dyDescent="0.25">
      <c r="A287" s="110" t="s">
        <v>5176</v>
      </c>
      <c r="B287" s="125" t="s">
        <v>1546</v>
      </c>
      <c r="C287" s="138">
        <v>0.18</v>
      </c>
      <c r="D287" s="138">
        <v>10.799999999999999</v>
      </c>
      <c r="E287" s="138">
        <v>333.33333333333337</v>
      </c>
      <c r="F287" s="139">
        <v>0.18</v>
      </c>
      <c r="H287" t="str">
        <f t="shared" si="6"/>
        <v>15000601500060503</v>
      </c>
    </row>
    <row r="288" spans="1:8" ht="15" customHeight="1" x14ac:dyDescent="0.25">
      <c r="A288" s="110" t="s">
        <v>5177</v>
      </c>
      <c r="B288" s="125" t="s">
        <v>1547</v>
      </c>
      <c r="C288" s="138">
        <v>0</v>
      </c>
      <c r="D288" s="138">
        <v>0</v>
      </c>
      <c r="E288" s="138" t="e">
        <v>#DIV/0!</v>
      </c>
      <c r="F288" s="139">
        <v>0</v>
      </c>
      <c r="H288" t="str">
        <f t="shared" si="6"/>
        <v>15000601500060506</v>
      </c>
    </row>
    <row r="289" spans="1:8" ht="15" customHeight="1" x14ac:dyDescent="0.25">
      <c r="A289" s="110" t="s">
        <v>5178</v>
      </c>
      <c r="B289" s="125" t="s">
        <v>1548</v>
      </c>
      <c r="C289" s="138">
        <v>0</v>
      </c>
      <c r="D289" s="138">
        <v>0</v>
      </c>
      <c r="E289" s="138" t="e">
        <v>#DIV/0!</v>
      </c>
      <c r="F289" s="139">
        <v>0</v>
      </c>
      <c r="H289" t="str">
        <f t="shared" si="6"/>
        <v>15000601500060507</v>
      </c>
    </row>
    <row r="290" spans="1:8" ht="15" customHeight="1" x14ac:dyDescent="0.25">
      <c r="A290" s="110" t="s">
        <v>5179</v>
      </c>
      <c r="B290" s="125" t="s">
        <v>1549</v>
      </c>
      <c r="C290" s="138">
        <v>1.5</v>
      </c>
      <c r="D290" s="138">
        <v>90</v>
      </c>
      <c r="E290" s="138">
        <v>40</v>
      </c>
      <c r="F290" s="139">
        <v>1.5</v>
      </c>
      <c r="H290" t="str">
        <f t="shared" si="6"/>
        <v>15000601500060508</v>
      </c>
    </row>
    <row r="291" spans="1:8" ht="15" customHeight="1" x14ac:dyDescent="0.25">
      <c r="A291" s="110" t="s">
        <v>5180</v>
      </c>
      <c r="B291" s="125" t="s">
        <v>1550</v>
      </c>
      <c r="C291" s="138">
        <v>1.5</v>
      </c>
      <c r="D291" s="138">
        <v>90</v>
      </c>
      <c r="E291" s="138">
        <v>40</v>
      </c>
      <c r="F291" s="139">
        <v>1.5</v>
      </c>
      <c r="H291" t="str">
        <f t="shared" si="6"/>
        <v>15000601500060509</v>
      </c>
    </row>
    <row r="292" spans="1:8" ht="15" customHeight="1" x14ac:dyDescent="0.25">
      <c r="A292" s="110" t="s">
        <v>5181</v>
      </c>
      <c r="B292" s="125" t="s">
        <v>887</v>
      </c>
      <c r="C292" s="138">
        <v>0.44</v>
      </c>
      <c r="D292" s="138">
        <v>26.4</v>
      </c>
      <c r="E292" s="138">
        <v>136.36363636363637</v>
      </c>
      <c r="F292" s="139">
        <v>0.44</v>
      </c>
      <c r="H292" t="str">
        <f t="shared" si="6"/>
        <v>15000601500060510</v>
      </c>
    </row>
    <row r="293" spans="1:8" ht="15" customHeight="1" x14ac:dyDescent="0.25">
      <c r="A293" s="110" t="s">
        <v>5181</v>
      </c>
      <c r="B293" s="125" t="s">
        <v>1551</v>
      </c>
      <c r="C293" s="138">
        <v>1.5</v>
      </c>
      <c r="D293" s="138">
        <v>90</v>
      </c>
      <c r="E293" s="138">
        <v>40</v>
      </c>
      <c r="F293" s="139">
        <v>1.5</v>
      </c>
      <c r="H293" t="str">
        <f t="shared" si="6"/>
        <v>15000601500060510</v>
      </c>
    </row>
    <row r="294" spans="1:8" ht="15" customHeight="1" x14ac:dyDescent="0.25">
      <c r="A294" s="110" t="s">
        <v>5182</v>
      </c>
      <c r="B294" s="125" t="s">
        <v>889</v>
      </c>
      <c r="C294" s="138">
        <v>0.44</v>
      </c>
      <c r="D294" s="138">
        <v>26.4</v>
      </c>
      <c r="E294" s="138">
        <v>136.36363636363637</v>
      </c>
      <c r="F294" s="139">
        <v>0.44</v>
      </c>
      <c r="H294" t="str">
        <f t="shared" si="6"/>
        <v>15000601500060511</v>
      </c>
    </row>
    <row r="295" spans="1:8" ht="15" customHeight="1" x14ac:dyDescent="0.25">
      <c r="A295" s="110" t="s">
        <v>5182</v>
      </c>
      <c r="B295" s="125" t="s">
        <v>1552</v>
      </c>
      <c r="C295" s="138">
        <v>1.5</v>
      </c>
      <c r="D295" s="138">
        <v>90</v>
      </c>
      <c r="E295" s="138">
        <v>40</v>
      </c>
      <c r="F295" s="139">
        <v>1.5</v>
      </c>
      <c r="H295" t="str">
        <f t="shared" si="6"/>
        <v>15000601500060511</v>
      </c>
    </row>
    <row r="296" spans="1:8" ht="15" customHeight="1" x14ac:dyDescent="0.25">
      <c r="A296" s="110" t="s">
        <v>5183</v>
      </c>
      <c r="B296" s="125" t="s">
        <v>890</v>
      </c>
      <c r="C296" s="138">
        <v>0.4</v>
      </c>
      <c r="D296" s="138">
        <v>24</v>
      </c>
      <c r="E296" s="138">
        <v>150</v>
      </c>
      <c r="F296" s="139">
        <v>0.4</v>
      </c>
      <c r="H296" t="str">
        <f t="shared" si="6"/>
        <v>15000601500060512</v>
      </c>
    </row>
    <row r="297" spans="1:8" ht="15" customHeight="1" x14ac:dyDescent="0.25">
      <c r="A297" s="110" t="s">
        <v>5184</v>
      </c>
      <c r="B297" s="125" t="s">
        <v>891</v>
      </c>
      <c r="C297" s="138">
        <v>0.4</v>
      </c>
      <c r="D297" s="138">
        <v>24</v>
      </c>
      <c r="E297" s="138">
        <v>150</v>
      </c>
      <c r="F297" s="139">
        <v>0.4</v>
      </c>
      <c r="H297" t="str">
        <f t="shared" si="6"/>
        <v>15000601500060513</v>
      </c>
    </row>
    <row r="298" spans="1:8" ht="15" customHeight="1" x14ac:dyDescent="0.25">
      <c r="A298" s="110" t="s">
        <v>5185</v>
      </c>
      <c r="B298" s="125" t="s">
        <v>892</v>
      </c>
      <c r="C298" s="138">
        <v>0.45</v>
      </c>
      <c r="D298" s="138">
        <v>27</v>
      </c>
      <c r="E298" s="138">
        <v>133.33333333333334</v>
      </c>
      <c r="F298" s="139">
        <v>0.45</v>
      </c>
      <c r="H298" t="str">
        <f t="shared" si="6"/>
        <v>15000601500060514</v>
      </c>
    </row>
    <row r="299" spans="1:8" ht="15" customHeight="1" x14ac:dyDescent="0.25">
      <c r="A299" s="110" t="s">
        <v>5186</v>
      </c>
      <c r="B299" s="125" t="s">
        <v>893</v>
      </c>
      <c r="C299" s="138">
        <v>0.45</v>
      </c>
      <c r="D299" s="138">
        <v>27</v>
      </c>
      <c r="E299" s="138">
        <v>133.33333333333334</v>
      </c>
      <c r="F299" s="139">
        <v>0.45</v>
      </c>
      <c r="H299" t="str">
        <f t="shared" si="6"/>
        <v>15000601500060515</v>
      </c>
    </row>
    <row r="300" spans="1:8" ht="15" customHeight="1" x14ac:dyDescent="0.25">
      <c r="A300" s="110" t="s">
        <v>5187</v>
      </c>
      <c r="B300" s="125" t="s">
        <v>894</v>
      </c>
      <c r="C300" s="138">
        <v>0.43</v>
      </c>
      <c r="D300" s="138">
        <v>25.8</v>
      </c>
      <c r="E300" s="138">
        <v>139.53488372093022</v>
      </c>
      <c r="F300" s="139">
        <v>0.43</v>
      </c>
      <c r="H300" t="str">
        <f t="shared" si="6"/>
        <v>15000601500060516</v>
      </c>
    </row>
    <row r="301" spans="1:8" ht="15" customHeight="1" x14ac:dyDescent="0.25">
      <c r="A301" s="110" t="s">
        <v>5188</v>
      </c>
      <c r="B301" s="125" t="s">
        <v>71</v>
      </c>
      <c r="C301" s="138">
        <v>0.43</v>
      </c>
      <c r="D301" s="138">
        <v>25.8</v>
      </c>
      <c r="E301" s="138">
        <v>139.53488372093022</v>
      </c>
      <c r="F301" s="139">
        <v>0.43</v>
      </c>
      <c r="H301" t="str">
        <f t="shared" si="6"/>
        <v>15000601500060517</v>
      </c>
    </row>
    <row r="302" spans="1:8" ht="15" customHeight="1" x14ac:dyDescent="0.25">
      <c r="A302" s="110" t="s">
        <v>5189</v>
      </c>
      <c r="B302" s="125" t="s">
        <v>895</v>
      </c>
      <c r="C302" s="138">
        <v>0.71</v>
      </c>
      <c r="D302" s="138">
        <v>42.599999999999994</v>
      </c>
      <c r="E302" s="138">
        <v>84.507042253521135</v>
      </c>
      <c r="F302" s="139">
        <v>0.71</v>
      </c>
      <c r="H302" t="str">
        <f t="shared" ref="H302:H365" si="7">CONCATENATE($G$45,A302)</f>
        <v>15000601500060518</v>
      </c>
    </row>
    <row r="303" spans="1:8" ht="15" customHeight="1" x14ac:dyDescent="0.25">
      <c r="A303" s="110" t="s">
        <v>5190</v>
      </c>
      <c r="B303" s="125" t="s">
        <v>896</v>
      </c>
      <c r="C303" s="138">
        <v>0.71</v>
      </c>
      <c r="D303" s="138">
        <v>42.599999999999994</v>
      </c>
      <c r="E303" s="138">
        <v>84.507042253521135</v>
      </c>
      <c r="F303" s="139">
        <v>0.71</v>
      </c>
      <c r="H303" t="str">
        <f t="shared" si="7"/>
        <v>15000601500060519</v>
      </c>
    </row>
    <row r="304" spans="1:8" ht="15" customHeight="1" x14ac:dyDescent="0.25">
      <c r="A304" s="110" t="s">
        <v>5191</v>
      </c>
      <c r="B304" s="125" t="s">
        <v>897</v>
      </c>
      <c r="C304" s="138">
        <v>0.52</v>
      </c>
      <c r="D304" s="138">
        <v>31.200000000000003</v>
      </c>
      <c r="E304" s="138">
        <v>115.38461538461537</v>
      </c>
      <c r="F304" s="139">
        <v>0.52</v>
      </c>
      <c r="H304" t="str">
        <f t="shared" si="7"/>
        <v>15000601500060520</v>
      </c>
    </row>
    <row r="305" spans="1:8" ht="15" customHeight="1" x14ac:dyDescent="0.25">
      <c r="A305" s="110" t="s">
        <v>5192</v>
      </c>
      <c r="B305" s="125" t="s">
        <v>72</v>
      </c>
      <c r="C305" s="138">
        <v>0.52</v>
      </c>
      <c r="D305" s="138">
        <v>31.200000000000003</v>
      </c>
      <c r="E305" s="138">
        <v>115.38461538461537</v>
      </c>
      <c r="F305" s="139">
        <v>0.52</v>
      </c>
      <c r="H305" t="str">
        <f t="shared" si="7"/>
        <v>15000601500060521</v>
      </c>
    </row>
    <row r="306" spans="1:8" ht="15" customHeight="1" x14ac:dyDescent="0.25">
      <c r="A306" s="110" t="s">
        <v>5193</v>
      </c>
      <c r="B306" s="125" t="s">
        <v>899</v>
      </c>
      <c r="C306" s="138">
        <v>0.52</v>
      </c>
      <c r="D306" s="138">
        <v>31.200000000000003</v>
      </c>
      <c r="E306" s="138">
        <v>115.38461538461537</v>
      </c>
      <c r="F306" s="139">
        <v>0.52</v>
      </c>
      <c r="H306" t="str">
        <f t="shared" si="7"/>
        <v>15000601500060522</v>
      </c>
    </row>
    <row r="307" spans="1:8" ht="15" customHeight="1" x14ac:dyDescent="0.25">
      <c r="A307" s="110" t="s">
        <v>5194</v>
      </c>
      <c r="B307" s="125" t="s">
        <v>73</v>
      </c>
      <c r="C307" s="138">
        <v>0.52</v>
      </c>
      <c r="D307" s="138">
        <v>31.200000000000003</v>
      </c>
      <c r="E307" s="138">
        <v>115.38461538461537</v>
      </c>
      <c r="F307" s="139">
        <v>0.52</v>
      </c>
      <c r="H307" t="str">
        <f t="shared" si="7"/>
        <v>15000601500060523</v>
      </c>
    </row>
    <row r="308" spans="1:8" ht="15" customHeight="1" x14ac:dyDescent="0.25">
      <c r="A308" s="110" t="s">
        <v>5195</v>
      </c>
      <c r="B308" s="125" t="s">
        <v>900</v>
      </c>
      <c r="C308" s="138">
        <v>0.61</v>
      </c>
      <c r="D308" s="138">
        <v>36.6</v>
      </c>
      <c r="E308" s="138">
        <v>98.360655737704917</v>
      </c>
      <c r="F308" s="139">
        <v>0.61</v>
      </c>
      <c r="H308" t="str">
        <f t="shared" si="7"/>
        <v>15000601500060524</v>
      </c>
    </row>
    <row r="309" spans="1:8" ht="15" customHeight="1" x14ac:dyDescent="0.25">
      <c r="A309" s="110" t="s">
        <v>5196</v>
      </c>
      <c r="B309" s="125" t="s">
        <v>74</v>
      </c>
      <c r="C309" s="138">
        <v>0.61</v>
      </c>
      <c r="D309" s="138">
        <v>36.6</v>
      </c>
      <c r="E309" s="138">
        <v>98.360655737704917</v>
      </c>
      <c r="F309" s="139">
        <v>0.61</v>
      </c>
      <c r="H309" t="str">
        <f t="shared" si="7"/>
        <v>15000601500060525</v>
      </c>
    </row>
    <row r="310" spans="1:8" ht="15" customHeight="1" x14ac:dyDescent="0.25">
      <c r="A310" s="110" t="s">
        <v>5197</v>
      </c>
      <c r="B310" s="125" t="s">
        <v>902</v>
      </c>
      <c r="C310" s="138">
        <v>0.88</v>
      </c>
      <c r="D310" s="138">
        <v>52.8</v>
      </c>
      <c r="E310" s="138">
        <v>68.181818181818187</v>
      </c>
      <c r="F310" s="139">
        <v>0.88</v>
      </c>
      <c r="H310" t="str">
        <f t="shared" si="7"/>
        <v>15000601500060526</v>
      </c>
    </row>
    <row r="311" spans="1:8" ht="15" customHeight="1" x14ac:dyDescent="0.25">
      <c r="A311" s="110" t="s">
        <v>5198</v>
      </c>
      <c r="B311" s="125" t="s">
        <v>75</v>
      </c>
      <c r="C311" s="138">
        <v>0.88</v>
      </c>
      <c r="D311" s="138">
        <v>52.8</v>
      </c>
      <c r="E311" s="138">
        <v>68.181818181818187</v>
      </c>
      <c r="F311" s="139">
        <v>0.88</v>
      </c>
      <c r="H311" t="str">
        <f t="shared" si="7"/>
        <v>15000601500060527</v>
      </c>
    </row>
    <row r="312" spans="1:8" ht="15" customHeight="1" x14ac:dyDescent="0.25">
      <c r="A312" s="110" t="s">
        <v>5199</v>
      </c>
      <c r="B312" s="125" t="s">
        <v>903</v>
      </c>
      <c r="C312" s="138">
        <v>0.53</v>
      </c>
      <c r="D312" s="138">
        <v>31.8</v>
      </c>
      <c r="E312" s="138">
        <v>113.20754716981132</v>
      </c>
      <c r="F312" s="139">
        <v>0.53</v>
      </c>
      <c r="H312" t="str">
        <f t="shared" si="7"/>
        <v>15000601500060528</v>
      </c>
    </row>
    <row r="313" spans="1:8" ht="15" customHeight="1" x14ac:dyDescent="0.25">
      <c r="A313" s="110" t="s">
        <v>5200</v>
      </c>
      <c r="B313" s="125" t="s">
        <v>76</v>
      </c>
      <c r="C313" s="138">
        <v>0.53</v>
      </c>
      <c r="D313" s="138">
        <v>31.8</v>
      </c>
      <c r="E313" s="138">
        <v>113.20754716981132</v>
      </c>
      <c r="F313" s="139">
        <v>0.53</v>
      </c>
      <c r="H313" t="str">
        <f t="shared" si="7"/>
        <v>15000601500060529</v>
      </c>
    </row>
    <row r="314" spans="1:8" ht="15" customHeight="1" x14ac:dyDescent="0.25">
      <c r="A314" s="110" t="s">
        <v>5201</v>
      </c>
      <c r="B314" s="125" t="s">
        <v>77</v>
      </c>
      <c r="C314" s="138">
        <v>0.35</v>
      </c>
      <c r="D314" s="138">
        <v>21</v>
      </c>
      <c r="E314" s="138">
        <v>171.42857142857142</v>
      </c>
      <c r="F314" s="139">
        <v>0.35</v>
      </c>
      <c r="H314" t="str">
        <f t="shared" si="7"/>
        <v>15000601500060530</v>
      </c>
    </row>
    <row r="315" spans="1:8" ht="15" customHeight="1" x14ac:dyDescent="0.25">
      <c r="A315" s="110" t="s">
        <v>5202</v>
      </c>
      <c r="B315" s="125" t="s">
        <v>78</v>
      </c>
      <c r="C315" s="138">
        <v>0.35</v>
      </c>
      <c r="D315" s="138">
        <v>21</v>
      </c>
      <c r="E315" s="138">
        <v>171.42857142857142</v>
      </c>
      <c r="F315" s="139">
        <v>0.35</v>
      </c>
      <c r="H315" t="str">
        <f t="shared" si="7"/>
        <v>15000601500060531</v>
      </c>
    </row>
    <row r="316" spans="1:8" ht="15" customHeight="1" x14ac:dyDescent="0.25">
      <c r="A316" s="110" t="s">
        <v>5203</v>
      </c>
      <c r="B316" s="125" t="s">
        <v>79</v>
      </c>
      <c r="C316" s="138">
        <v>0.5</v>
      </c>
      <c r="D316" s="138">
        <v>30</v>
      </c>
      <c r="E316" s="138">
        <v>120</v>
      </c>
      <c r="F316" s="139">
        <v>0.5</v>
      </c>
      <c r="H316" t="str">
        <f t="shared" si="7"/>
        <v>15000601500060532</v>
      </c>
    </row>
    <row r="317" spans="1:8" ht="15" customHeight="1" x14ac:dyDescent="0.25">
      <c r="A317" s="110" t="s">
        <v>5204</v>
      </c>
      <c r="B317" s="125" t="s">
        <v>80</v>
      </c>
      <c r="C317" s="138">
        <v>0.5</v>
      </c>
      <c r="D317" s="138">
        <v>30</v>
      </c>
      <c r="E317" s="138">
        <v>120</v>
      </c>
      <c r="F317" s="139">
        <v>0.5</v>
      </c>
      <c r="H317" t="str">
        <f t="shared" si="7"/>
        <v>15000601500060533</v>
      </c>
    </row>
    <row r="318" spans="1:8" ht="15" customHeight="1" x14ac:dyDescent="0.25">
      <c r="A318" s="110" t="s">
        <v>5205</v>
      </c>
      <c r="B318" s="125" t="s">
        <v>626</v>
      </c>
      <c r="C318" s="138">
        <v>0.45</v>
      </c>
      <c r="D318" s="138">
        <v>27</v>
      </c>
      <c r="E318" s="138">
        <v>133.33333333333334</v>
      </c>
      <c r="F318" s="139">
        <v>0.45</v>
      </c>
      <c r="H318" t="str">
        <f t="shared" si="7"/>
        <v>15000601500060534</v>
      </c>
    </row>
    <row r="319" spans="1:8" ht="15" customHeight="1" x14ac:dyDescent="0.25">
      <c r="A319" s="110" t="s">
        <v>5206</v>
      </c>
      <c r="B319" s="125" t="s">
        <v>627</v>
      </c>
      <c r="C319" s="138">
        <v>0.45</v>
      </c>
      <c r="D319" s="138">
        <v>27</v>
      </c>
      <c r="E319" s="138">
        <v>133.33333333333334</v>
      </c>
      <c r="F319" s="139">
        <v>0.45</v>
      </c>
      <c r="H319" t="str">
        <f t="shared" si="7"/>
        <v>15000601500060535</v>
      </c>
    </row>
    <row r="320" spans="1:8" ht="15" customHeight="1" x14ac:dyDescent="0.25">
      <c r="A320" s="110" t="s">
        <v>5207</v>
      </c>
      <c r="B320" s="125" t="s">
        <v>323</v>
      </c>
      <c r="C320" s="138">
        <v>0.32</v>
      </c>
      <c r="D320" s="138">
        <v>19.2</v>
      </c>
      <c r="E320" s="138">
        <v>187.5</v>
      </c>
      <c r="F320" s="139">
        <v>0.32</v>
      </c>
      <c r="H320" t="str">
        <f t="shared" si="7"/>
        <v>15000601500060536</v>
      </c>
    </row>
    <row r="321" spans="1:8" ht="15" customHeight="1" x14ac:dyDescent="0.25">
      <c r="A321" s="110" t="s">
        <v>5208</v>
      </c>
      <c r="B321" s="125" t="s">
        <v>324</v>
      </c>
      <c r="C321" s="138">
        <v>0.38</v>
      </c>
      <c r="D321" s="138">
        <v>22.8</v>
      </c>
      <c r="E321" s="138">
        <v>157.89473684210526</v>
      </c>
      <c r="F321" s="139">
        <v>0.38</v>
      </c>
      <c r="H321" t="str">
        <f t="shared" si="7"/>
        <v>15000601500060537</v>
      </c>
    </row>
    <row r="322" spans="1:8" ht="15" customHeight="1" x14ac:dyDescent="0.25">
      <c r="A322" s="110" t="s">
        <v>5209</v>
      </c>
      <c r="B322" s="125" t="s">
        <v>81</v>
      </c>
      <c r="C322" s="138">
        <v>0.71</v>
      </c>
      <c r="D322" s="138">
        <v>42.599999999999994</v>
      </c>
      <c r="E322" s="138">
        <v>84.507042253521135</v>
      </c>
      <c r="F322" s="139">
        <v>0.71</v>
      </c>
      <c r="H322" t="str">
        <f t="shared" si="7"/>
        <v>15000601500060538</v>
      </c>
    </row>
    <row r="323" spans="1:8" ht="15" customHeight="1" x14ac:dyDescent="0.25">
      <c r="A323" s="110" t="s">
        <v>5210</v>
      </c>
      <c r="B323" s="125" t="s">
        <v>82</v>
      </c>
      <c r="C323" s="138">
        <v>0.71</v>
      </c>
      <c r="D323" s="138">
        <v>42.599999999999994</v>
      </c>
      <c r="E323" s="138">
        <v>84.507042253521135</v>
      </c>
      <c r="F323" s="139">
        <v>0.71</v>
      </c>
      <c r="H323" t="str">
        <f t="shared" si="7"/>
        <v>15000601500060539</v>
      </c>
    </row>
    <row r="324" spans="1:8" ht="15" customHeight="1" x14ac:dyDescent="0.25">
      <c r="A324" s="110" t="s">
        <v>5211</v>
      </c>
      <c r="B324" s="125" t="s">
        <v>83</v>
      </c>
      <c r="C324" s="138">
        <v>0.54</v>
      </c>
      <c r="D324" s="138">
        <v>32.400000000000006</v>
      </c>
      <c r="E324" s="138">
        <v>111.11111111111109</v>
      </c>
      <c r="F324" s="139">
        <v>0.54</v>
      </c>
      <c r="H324" t="str">
        <f t="shared" si="7"/>
        <v>15000601500060540</v>
      </c>
    </row>
    <row r="325" spans="1:8" ht="15" customHeight="1" x14ac:dyDescent="0.25">
      <c r="A325" s="110" t="s">
        <v>5212</v>
      </c>
      <c r="B325" s="125" t="s">
        <v>84</v>
      </c>
      <c r="C325" s="138">
        <v>0.54</v>
      </c>
      <c r="D325" s="138">
        <v>32.400000000000006</v>
      </c>
      <c r="E325" s="138">
        <v>111.11111111111109</v>
      </c>
      <c r="F325" s="139">
        <v>0.54</v>
      </c>
      <c r="H325" t="str">
        <f t="shared" si="7"/>
        <v>15000601500060541</v>
      </c>
    </row>
    <row r="326" spans="1:8" ht="15" customHeight="1" x14ac:dyDescent="0.25">
      <c r="A326" s="110" t="s">
        <v>5213</v>
      </c>
      <c r="B326" s="125" t="s">
        <v>85</v>
      </c>
      <c r="C326" s="138">
        <v>0.81</v>
      </c>
      <c r="D326" s="138">
        <v>48.6</v>
      </c>
      <c r="E326" s="138">
        <v>74.074074074074076</v>
      </c>
      <c r="F326" s="139">
        <v>0.81</v>
      </c>
      <c r="H326" t="str">
        <f t="shared" si="7"/>
        <v>15000601500060542</v>
      </c>
    </row>
    <row r="327" spans="1:8" ht="15" customHeight="1" x14ac:dyDescent="0.25">
      <c r="A327" s="110" t="s">
        <v>5214</v>
      </c>
      <c r="B327" s="125" t="s">
        <v>86</v>
      </c>
      <c r="C327" s="138">
        <v>0.81</v>
      </c>
      <c r="D327" s="138">
        <v>48.6</v>
      </c>
      <c r="E327" s="138">
        <v>74.074074074074076</v>
      </c>
      <c r="F327" s="139">
        <v>0.81</v>
      </c>
      <c r="H327" t="str">
        <f t="shared" si="7"/>
        <v>15000601500060543</v>
      </c>
    </row>
    <row r="328" spans="1:8" ht="15" customHeight="1" x14ac:dyDescent="0.25">
      <c r="A328" s="110" t="s">
        <v>5215</v>
      </c>
      <c r="B328" s="125" t="s">
        <v>628</v>
      </c>
      <c r="C328" s="138">
        <v>0.55000000000000004</v>
      </c>
      <c r="D328" s="138">
        <v>33</v>
      </c>
      <c r="E328" s="138">
        <v>109.09090909090909</v>
      </c>
      <c r="F328" s="139">
        <v>0.55000000000000004</v>
      </c>
      <c r="H328" t="str">
        <f t="shared" si="7"/>
        <v>15000601500060544</v>
      </c>
    </row>
    <row r="329" spans="1:8" ht="15" customHeight="1" x14ac:dyDescent="0.25">
      <c r="A329" s="110" t="s">
        <v>5216</v>
      </c>
      <c r="B329" s="125" t="s">
        <v>629</v>
      </c>
      <c r="C329" s="138">
        <v>0.55000000000000004</v>
      </c>
      <c r="D329" s="138">
        <v>33</v>
      </c>
      <c r="E329" s="138">
        <v>109.09090909090909</v>
      </c>
      <c r="F329" s="139">
        <v>0.55000000000000004</v>
      </c>
      <c r="H329" t="str">
        <f t="shared" si="7"/>
        <v>15000601500060545</v>
      </c>
    </row>
    <row r="330" spans="1:8" ht="15" customHeight="1" x14ac:dyDescent="0.25">
      <c r="A330" s="110" t="s">
        <v>5217</v>
      </c>
      <c r="B330" s="125" t="s">
        <v>904</v>
      </c>
      <c r="C330" s="138">
        <v>0.88</v>
      </c>
      <c r="D330" s="138">
        <v>52.8</v>
      </c>
      <c r="E330" s="138">
        <v>68.181818181818187</v>
      </c>
      <c r="F330" s="139">
        <v>0.88</v>
      </c>
      <c r="H330" t="str">
        <f t="shared" si="7"/>
        <v>15000601500060546</v>
      </c>
    </row>
    <row r="331" spans="1:8" ht="15" customHeight="1" x14ac:dyDescent="0.25">
      <c r="A331" s="110" t="s">
        <v>5218</v>
      </c>
      <c r="B331" s="125" t="s">
        <v>905</v>
      </c>
      <c r="C331" s="138">
        <v>0.88</v>
      </c>
      <c r="D331" s="138">
        <v>52.8</v>
      </c>
      <c r="E331" s="138">
        <v>68.181818181818187</v>
      </c>
      <c r="F331" s="139">
        <v>0.88</v>
      </c>
      <c r="H331" t="str">
        <f t="shared" si="7"/>
        <v>15000601500060547</v>
      </c>
    </row>
    <row r="332" spans="1:8" ht="15" customHeight="1" x14ac:dyDescent="0.25">
      <c r="A332" s="110" t="s">
        <v>5219</v>
      </c>
      <c r="B332" s="125" t="s">
        <v>906</v>
      </c>
      <c r="C332" s="138">
        <v>0.33</v>
      </c>
      <c r="D332" s="138">
        <v>19.8</v>
      </c>
      <c r="E332" s="138">
        <v>181.81818181818181</v>
      </c>
      <c r="F332" s="139">
        <v>0.33</v>
      </c>
      <c r="H332" t="str">
        <f t="shared" si="7"/>
        <v>15000601500060548</v>
      </c>
    </row>
    <row r="333" spans="1:8" ht="15" customHeight="1" x14ac:dyDescent="0.25">
      <c r="A333" s="110" t="s">
        <v>5220</v>
      </c>
      <c r="B333" s="125" t="s">
        <v>907</v>
      </c>
      <c r="C333" s="138">
        <v>0.33</v>
      </c>
      <c r="D333" s="138">
        <v>19.8</v>
      </c>
      <c r="E333" s="138">
        <v>181.81818181818181</v>
      </c>
      <c r="F333" s="139">
        <v>0.33</v>
      </c>
      <c r="H333" t="str">
        <f t="shared" si="7"/>
        <v>15000601500060549</v>
      </c>
    </row>
    <row r="334" spans="1:8" ht="15" customHeight="1" x14ac:dyDescent="0.25">
      <c r="A334" s="110" t="s">
        <v>5221</v>
      </c>
      <c r="B334" s="125" t="s">
        <v>87</v>
      </c>
      <c r="C334" s="138">
        <v>0.65</v>
      </c>
      <c r="D334" s="138">
        <v>39</v>
      </c>
      <c r="E334" s="138">
        <v>92.307692307692307</v>
      </c>
      <c r="F334" s="139">
        <v>0.65</v>
      </c>
      <c r="H334" t="str">
        <f t="shared" si="7"/>
        <v>15000601500060550</v>
      </c>
    </row>
    <row r="335" spans="1:8" ht="15" customHeight="1" x14ac:dyDescent="0.25">
      <c r="A335" s="110" t="s">
        <v>5222</v>
      </c>
      <c r="B335" s="125" t="s">
        <v>88</v>
      </c>
      <c r="C335" s="138">
        <v>0.65</v>
      </c>
      <c r="D335" s="138">
        <v>39</v>
      </c>
      <c r="E335" s="138">
        <v>92.307692307692307</v>
      </c>
      <c r="F335" s="139">
        <v>0.65</v>
      </c>
      <c r="H335" t="str">
        <f t="shared" si="7"/>
        <v>15000601500060551</v>
      </c>
    </row>
    <row r="336" spans="1:8" ht="15" customHeight="1" x14ac:dyDescent="0.25">
      <c r="A336" s="110" t="s">
        <v>5223</v>
      </c>
      <c r="B336" s="125" t="s">
        <v>325</v>
      </c>
      <c r="C336" s="138">
        <v>0.43</v>
      </c>
      <c r="D336" s="138">
        <v>25.8</v>
      </c>
      <c r="E336" s="138">
        <v>139.53488372093022</v>
      </c>
      <c r="F336" s="139">
        <v>0.43</v>
      </c>
      <c r="H336" t="str">
        <f t="shared" si="7"/>
        <v>15000601500060552</v>
      </c>
    </row>
    <row r="337" spans="1:8" ht="15" customHeight="1" x14ac:dyDescent="0.25">
      <c r="A337" s="110" t="s">
        <v>5224</v>
      </c>
      <c r="B337" s="125" t="s">
        <v>326</v>
      </c>
      <c r="C337" s="138">
        <v>0.43</v>
      </c>
      <c r="D337" s="138">
        <v>25.8</v>
      </c>
      <c r="E337" s="138">
        <v>139.53488372093022</v>
      </c>
      <c r="F337" s="139">
        <v>0.43</v>
      </c>
      <c r="H337" t="str">
        <f t="shared" si="7"/>
        <v>15000601500060553</v>
      </c>
    </row>
    <row r="338" spans="1:8" ht="15" customHeight="1" x14ac:dyDescent="0.25">
      <c r="A338" s="110" t="s">
        <v>5225</v>
      </c>
      <c r="B338" s="125" t="s">
        <v>422</v>
      </c>
      <c r="C338" s="138">
        <v>0.43</v>
      </c>
      <c r="D338" s="138">
        <v>25.8</v>
      </c>
      <c r="E338" s="138">
        <v>139.53488372093022</v>
      </c>
      <c r="F338" s="139">
        <v>0.43</v>
      </c>
      <c r="H338" t="str">
        <f t="shared" si="7"/>
        <v>15000601500060556</v>
      </c>
    </row>
    <row r="339" spans="1:8" ht="15" customHeight="1" x14ac:dyDescent="0.25">
      <c r="A339" s="110" t="s">
        <v>5226</v>
      </c>
      <c r="B339" s="125" t="s">
        <v>423</v>
      </c>
      <c r="C339" s="138">
        <v>0.43</v>
      </c>
      <c r="D339" s="138">
        <v>25.8</v>
      </c>
      <c r="E339" s="138">
        <v>139.53488372093022</v>
      </c>
      <c r="F339" s="139">
        <v>0.43</v>
      </c>
      <c r="H339" t="str">
        <f t="shared" si="7"/>
        <v>15000601500060557</v>
      </c>
    </row>
    <row r="340" spans="1:8" ht="15" customHeight="1" x14ac:dyDescent="0.25">
      <c r="A340" s="110" t="s">
        <v>5227</v>
      </c>
      <c r="B340" s="125" t="s">
        <v>908</v>
      </c>
      <c r="C340" s="138">
        <v>0.54</v>
      </c>
      <c r="D340" s="138">
        <v>32.400000000000006</v>
      </c>
      <c r="E340" s="138">
        <v>111.11111111111109</v>
      </c>
      <c r="F340" s="139">
        <v>0.54</v>
      </c>
      <c r="H340" t="str">
        <f t="shared" si="7"/>
        <v>15000601500060560</v>
      </c>
    </row>
    <row r="341" spans="1:8" ht="15" customHeight="1" x14ac:dyDescent="0.25">
      <c r="A341" s="110" t="s">
        <v>5228</v>
      </c>
      <c r="B341" s="125" t="s">
        <v>909</v>
      </c>
      <c r="C341" s="138">
        <v>0.54</v>
      </c>
      <c r="D341" s="138">
        <v>32.400000000000006</v>
      </c>
      <c r="E341" s="138">
        <v>111.11111111111109</v>
      </c>
      <c r="F341" s="139">
        <v>0.54</v>
      </c>
      <c r="H341" t="str">
        <f t="shared" si="7"/>
        <v>15000601500060561</v>
      </c>
    </row>
    <row r="342" spans="1:8" ht="15" customHeight="1" x14ac:dyDescent="0.25">
      <c r="A342" s="110" t="s">
        <v>5229</v>
      </c>
      <c r="B342" s="125" t="s">
        <v>910</v>
      </c>
      <c r="C342" s="138">
        <v>0.56000000000000005</v>
      </c>
      <c r="D342" s="138">
        <v>33.6</v>
      </c>
      <c r="E342" s="138">
        <v>107.14285714285714</v>
      </c>
      <c r="F342" s="139">
        <v>0.56000000000000005</v>
      </c>
      <c r="H342" t="str">
        <f t="shared" si="7"/>
        <v>15000601500060562</v>
      </c>
    </row>
    <row r="343" spans="1:8" ht="15" customHeight="1" x14ac:dyDescent="0.25">
      <c r="A343" s="110" t="s">
        <v>5230</v>
      </c>
      <c r="B343" s="125" t="s">
        <v>911</v>
      </c>
      <c r="C343" s="138">
        <v>0.56000000000000005</v>
      </c>
      <c r="D343" s="138">
        <v>33.6</v>
      </c>
      <c r="E343" s="138">
        <v>107.14285714285714</v>
      </c>
      <c r="F343" s="139">
        <v>0.56000000000000005</v>
      </c>
      <c r="H343" t="str">
        <f t="shared" si="7"/>
        <v>15000601500060563</v>
      </c>
    </row>
    <row r="344" spans="1:8" ht="15" customHeight="1" x14ac:dyDescent="0.25">
      <c r="A344" s="110" t="s">
        <v>5231</v>
      </c>
      <c r="B344" s="125" t="s">
        <v>912</v>
      </c>
      <c r="C344" s="138">
        <v>0.26</v>
      </c>
      <c r="D344" s="138">
        <v>15.600000000000001</v>
      </c>
      <c r="E344" s="138">
        <v>230.76923076923075</v>
      </c>
      <c r="F344" s="139">
        <v>0.26</v>
      </c>
      <c r="H344" t="str">
        <f t="shared" si="7"/>
        <v>15000601500060564</v>
      </c>
    </row>
    <row r="345" spans="1:8" ht="15" customHeight="1" x14ac:dyDescent="0.25">
      <c r="A345" s="110" t="s">
        <v>5232</v>
      </c>
      <c r="B345" s="125" t="s">
        <v>913</v>
      </c>
      <c r="C345" s="138">
        <v>0.26</v>
      </c>
      <c r="D345" s="138">
        <v>15.600000000000001</v>
      </c>
      <c r="E345" s="138">
        <v>230.76923076923075</v>
      </c>
      <c r="F345" s="139">
        <v>0.26</v>
      </c>
      <c r="H345" t="str">
        <f t="shared" si="7"/>
        <v>15000601500060565</v>
      </c>
    </row>
    <row r="346" spans="1:8" ht="15" customHeight="1" x14ac:dyDescent="0.25">
      <c r="A346" s="110" t="s">
        <v>5233</v>
      </c>
      <c r="B346" s="125" t="s">
        <v>914</v>
      </c>
      <c r="C346" s="138">
        <v>0.51</v>
      </c>
      <c r="D346" s="138">
        <v>30.6</v>
      </c>
      <c r="E346" s="138">
        <v>117.64705882352941</v>
      </c>
      <c r="F346" s="139">
        <v>0.51</v>
      </c>
      <c r="H346" t="str">
        <f t="shared" si="7"/>
        <v>15000601500060566</v>
      </c>
    </row>
    <row r="347" spans="1:8" ht="15" customHeight="1" x14ac:dyDescent="0.25">
      <c r="A347" s="110" t="s">
        <v>5234</v>
      </c>
      <c r="B347" s="125" t="s">
        <v>915</v>
      </c>
      <c r="C347" s="138">
        <v>0.51</v>
      </c>
      <c r="D347" s="138">
        <v>30.6</v>
      </c>
      <c r="E347" s="138">
        <v>117.64705882352941</v>
      </c>
      <c r="F347" s="139">
        <v>0.51</v>
      </c>
      <c r="H347" t="str">
        <f t="shared" si="7"/>
        <v>15000601500060567</v>
      </c>
    </row>
    <row r="348" spans="1:8" ht="15" customHeight="1" x14ac:dyDescent="0.25">
      <c r="A348" s="110" t="s">
        <v>5235</v>
      </c>
      <c r="B348" s="125" t="s">
        <v>916</v>
      </c>
      <c r="C348" s="138">
        <v>0.27</v>
      </c>
      <c r="D348" s="138">
        <v>16.200000000000003</v>
      </c>
      <c r="E348" s="138">
        <v>222.22222222222217</v>
      </c>
      <c r="F348" s="139">
        <v>0.27</v>
      </c>
      <c r="H348" t="str">
        <f t="shared" si="7"/>
        <v>15000601500060568</v>
      </c>
    </row>
    <row r="349" spans="1:8" ht="15" customHeight="1" x14ac:dyDescent="0.25">
      <c r="A349" s="110" t="s">
        <v>5236</v>
      </c>
      <c r="B349" s="125" t="s">
        <v>917</v>
      </c>
      <c r="C349" s="138">
        <v>0.27</v>
      </c>
      <c r="D349" s="138">
        <v>16.200000000000003</v>
      </c>
      <c r="E349" s="138">
        <v>222.22222222222217</v>
      </c>
      <c r="F349" s="139">
        <v>0.27</v>
      </c>
      <c r="H349" t="str">
        <f t="shared" si="7"/>
        <v>15000601500060569</v>
      </c>
    </row>
    <row r="350" spans="1:8" ht="15" customHeight="1" x14ac:dyDescent="0.25">
      <c r="A350" s="110" t="s">
        <v>5237</v>
      </c>
      <c r="B350" s="125" t="s">
        <v>918</v>
      </c>
      <c r="C350" s="138">
        <v>0.48</v>
      </c>
      <c r="D350" s="138">
        <v>28.799999999999997</v>
      </c>
      <c r="E350" s="138">
        <v>125.00000000000001</v>
      </c>
      <c r="F350" s="139">
        <v>0.48</v>
      </c>
      <c r="H350" t="str">
        <f t="shared" si="7"/>
        <v>15000601500060570</v>
      </c>
    </row>
    <row r="351" spans="1:8" ht="15" customHeight="1" x14ac:dyDescent="0.25">
      <c r="A351" s="110" t="s">
        <v>5238</v>
      </c>
      <c r="B351" s="125" t="s">
        <v>919</v>
      </c>
      <c r="C351" s="138">
        <v>0.48</v>
      </c>
      <c r="D351" s="138">
        <v>28.799999999999997</v>
      </c>
      <c r="E351" s="138">
        <v>125.00000000000001</v>
      </c>
      <c r="F351" s="139">
        <v>0.48</v>
      </c>
      <c r="H351" t="str">
        <f t="shared" si="7"/>
        <v>15000601500060571</v>
      </c>
    </row>
    <row r="352" spans="1:8" ht="15" customHeight="1" x14ac:dyDescent="0.25">
      <c r="A352" s="110" t="s">
        <v>5239</v>
      </c>
      <c r="B352" s="125" t="s">
        <v>327</v>
      </c>
      <c r="C352" s="138">
        <v>0.41</v>
      </c>
      <c r="D352" s="138">
        <v>24.599999999999998</v>
      </c>
      <c r="E352" s="138">
        <v>146.34146341463415</v>
      </c>
      <c r="F352" s="139">
        <v>0.41</v>
      </c>
      <c r="H352" t="str">
        <f t="shared" si="7"/>
        <v>15000601500060573</v>
      </c>
    </row>
    <row r="353" spans="1:8" ht="15" customHeight="1" x14ac:dyDescent="0.25">
      <c r="A353" s="110" t="s">
        <v>5240</v>
      </c>
      <c r="B353" s="125" t="s">
        <v>920</v>
      </c>
      <c r="C353" s="138">
        <v>0.76</v>
      </c>
      <c r="D353" s="138">
        <v>45.6</v>
      </c>
      <c r="E353" s="138">
        <v>78.94736842105263</v>
      </c>
      <c r="F353" s="139">
        <v>0.76</v>
      </c>
      <c r="H353" t="str">
        <f t="shared" si="7"/>
        <v>15000601500060575</v>
      </c>
    </row>
    <row r="354" spans="1:8" ht="15" customHeight="1" x14ac:dyDescent="0.25">
      <c r="A354" s="110" t="s">
        <v>5241</v>
      </c>
      <c r="B354" s="125" t="s">
        <v>439</v>
      </c>
      <c r="C354" s="138">
        <v>0.66</v>
      </c>
      <c r="D354" s="138">
        <v>39.6</v>
      </c>
      <c r="E354" s="138">
        <v>90.909090909090907</v>
      </c>
      <c r="F354" s="139">
        <v>0.66</v>
      </c>
      <c r="H354" t="str">
        <f t="shared" si="7"/>
        <v>15000601500060576</v>
      </c>
    </row>
    <row r="355" spans="1:8" ht="15" customHeight="1" x14ac:dyDescent="0.25">
      <c r="A355" s="110" t="s">
        <v>5242</v>
      </c>
      <c r="B355" s="125" t="s">
        <v>440</v>
      </c>
      <c r="C355" s="138">
        <v>0.66</v>
      </c>
      <c r="D355" s="138">
        <v>39.6</v>
      </c>
      <c r="E355" s="138">
        <v>90.909090909090907</v>
      </c>
      <c r="F355" s="139">
        <v>0.66</v>
      </c>
      <c r="H355" t="str">
        <f t="shared" si="7"/>
        <v>15000601500060577</v>
      </c>
    </row>
    <row r="356" spans="1:8" ht="15" customHeight="1" x14ac:dyDescent="0.25">
      <c r="A356" s="110" t="s">
        <v>5243</v>
      </c>
      <c r="B356" s="125" t="s">
        <v>328</v>
      </c>
      <c r="C356" s="138">
        <v>0.52</v>
      </c>
      <c r="D356" s="138">
        <v>31.200000000000003</v>
      </c>
      <c r="E356" s="138">
        <v>115.38461538461537</v>
      </c>
      <c r="F356" s="139">
        <v>0.52</v>
      </c>
      <c r="H356" t="str">
        <f t="shared" si="7"/>
        <v>15000601500060578</v>
      </c>
    </row>
    <row r="357" spans="1:8" ht="15" customHeight="1" x14ac:dyDescent="0.25">
      <c r="A357" s="110" t="s">
        <v>5244</v>
      </c>
      <c r="B357" s="125" t="s">
        <v>329</v>
      </c>
      <c r="C357" s="138">
        <v>0.52</v>
      </c>
      <c r="D357" s="138">
        <v>31.200000000000003</v>
      </c>
      <c r="E357" s="138">
        <v>115.38461538461537</v>
      </c>
      <c r="F357" s="139">
        <v>0.52</v>
      </c>
      <c r="H357" t="str">
        <f t="shared" si="7"/>
        <v>15000601500060579</v>
      </c>
    </row>
    <row r="358" spans="1:8" ht="15" customHeight="1" x14ac:dyDescent="0.25">
      <c r="A358" s="110" t="s">
        <v>5245</v>
      </c>
      <c r="B358" s="125" t="s">
        <v>552</v>
      </c>
      <c r="C358" s="138">
        <v>0.46</v>
      </c>
      <c r="D358" s="138">
        <v>27.6</v>
      </c>
      <c r="E358" s="138">
        <v>130.43478260869566</v>
      </c>
      <c r="F358" s="139">
        <v>0.46</v>
      </c>
      <c r="H358" t="str">
        <f t="shared" si="7"/>
        <v>15000601500060580</v>
      </c>
    </row>
    <row r="359" spans="1:8" ht="15" customHeight="1" x14ac:dyDescent="0.25">
      <c r="A359" s="110" t="s">
        <v>5246</v>
      </c>
      <c r="B359" s="125" t="s">
        <v>553</v>
      </c>
      <c r="C359" s="138">
        <v>0.46</v>
      </c>
      <c r="D359" s="138">
        <v>27.6</v>
      </c>
      <c r="E359" s="138">
        <v>130.43478260869566</v>
      </c>
      <c r="F359" s="139">
        <v>0.46</v>
      </c>
      <c r="H359" t="str">
        <f t="shared" si="7"/>
        <v>15000601500060581</v>
      </c>
    </row>
    <row r="360" spans="1:8" ht="15" customHeight="1" x14ac:dyDescent="0.25">
      <c r="A360" s="110" t="s">
        <v>5247</v>
      </c>
      <c r="B360" s="125" t="s">
        <v>89</v>
      </c>
      <c r="C360" s="138">
        <v>0.8</v>
      </c>
      <c r="D360" s="138">
        <v>48</v>
      </c>
      <c r="E360" s="138">
        <v>75</v>
      </c>
      <c r="F360" s="139">
        <v>0.8</v>
      </c>
      <c r="H360" t="str">
        <f t="shared" si="7"/>
        <v>15000601500060582</v>
      </c>
    </row>
    <row r="361" spans="1:8" ht="15" customHeight="1" x14ac:dyDescent="0.25">
      <c r="A361" s="110" t="s">
        <v>5248</v>
      </c>
      <c r="B361" s="125" t="s">
        <v>90</v>
      </c>
      <c r="C361" s="138">
        <v>0.8</v>
      </c>
      <c r="D361" s="138">
        <v>48</v>
      </c>
      <c r="E361" s="138">
        <v>75</v>
      </c>
      <c r="F361" s="139">
        <v>0.8</v>
      </c>
      <c r="H361" t="str">
        <f t="shared" si="7"/>
        <v>15000601500060583</v>
      </c>
    </row>
    <row r="362" spans="1:8" ht="15" customHeight="1" x14ac:dyDescent="0.25">
      <c r="A362" s="110" t="s">
        <v>5249</v>
      </c>
      <c r="B362" s="125" t="s">
        <v>91</v>
      </c>
      <c r="C362" s="138">
        <v>0.48</v>
      </c>
      <c r="D362" s="138">
        <v>28.799999999999997</v>
      </c>
      <c r="E362" s="138">
        <v>125.00000000000001</v>
      </c>
      <c r="F362" s="139">
        <v>0.48</v>
      </c>
      <c r="H362" t="str">
        <f t="shared" si="7"/>
        <v>15000601500060584</v>
      </c>
    </row>
    <row r="363" spans="1:8" ht="15" customHeight="1" x14ac:dyDescent="0.25">
      <c r="A363" s="110" t="s">
        <v>5250</v>
      </c>
      <c r="B363" s="125" t="s">
        <v>92</v>
      </c>
      <c r="C363" s="138">
        <v>0.48</v>
      </c>
      <c r="D363" s="138">
        <v>28.799999999999997</v>
      </c>
      <c r="E363" s="138">
        <v>125.00000000000001</v>
      </c>
      <c r="F363" s="139">
        <v>0.48</v>
      </c>
      <c r="H363" t="str">
        <f t="shared" si="7"/>
        <v>15000601500060585</v>
      </c>
    </row>
    <row r="364" spans="1:8" ht="15" customHeight="1" x14ac:dyDescent="0.25">
      <c r="A364" s="110" t="s">
        <v>5251</v>
      </c>
      <c r="B364" s="125" t="s">
        <v>330</v>
      </c>
      <c r="C364" s="138">
        <v>0.49</v>
      </c>
      <c r="D364" s="138">
        <v>29.4</v>
      </c>
      <c r="E364" s="138">
        <v>122.44897959183675</v>
      </c>
      <c r="F364" s="139">
        <v>0.49</v>
      </c>
      <c r="H364" t="str">
        <f t="shared" si="7"/>
        <v>15000601500060586</v>
      </c>
    </row>
    <row r="365" spans="1:8" ht="15" customHeight="1" x14ac:dyDescent="0.25">
      <c r="A365" s="110" t="s">
        <v>5252</v>
      </c>
      <c r="B365" s="125" t="s">
        <v>331</v>
      </c>
      <c r="C365" s="138">
        <v>0.49</v>
      </c>
      <c r="D365" s="138">
        <v>29.4</v>
      </c>
      <c r="E365" s="138">
        <v>122.44897959183675</v>
      </c>
      <c r="F365" s="139">
        <v>0.49</v>
      </c>
      <c r="H365" t="str">
        <f t="shared" si="7"/>
        <v>15000601500060587</v>
      </c>
    </row>
    <row r="366" spans="1:8" ht="15" customHeight="1" x14ac:dyDescent="0.25">
      <c r="A366" s="110" t="s">
        <v>5253</v>
      </c>
      <c r="B366" s="125" t="s">
        <v>922</v>
      </c>
      <c r="C366" s="138">
        <v>0.41</v>
      </c>
      <c r="D366" s="138">
        <v>24.599999999999998</v>
      </c>
      <c r="E366" s="138">
        <v>146.34146341463415</v>
      </c>
      <c r="F366" s="139">
        <v>0.41</v>
      </c>
      <c r="H366" t="str">
        <f t="shared" ref="H366:H429" si="8">CONCATENATE($G$45,A366)</f>
        <v>15000601500060588</v>
      </c>
    </row>
    <row r="367" spans="1:8" ht="15" customHeight="1" x14ac:dyDescent="0.25">
      <c r="A367" s="110" t="s">
        <v>5254</v>
      </c>
      <c r="B367" s="125" t="s">
        <v>923</v>
      </c>
      <c r="C367" s="138">
        <v>0.41</v>
      </c>
      <c r="D367" s="138">
        <v>24.599999999999998</v>
      </c>
      <c r="E367" s="138">
        <v>146.34146341463415</v>
      </c>
      <c r="F367" s="139">
        <v>0.41</v>
      </c>
      <c r="H367" t="str">
        <f t="shared" si="8"/>
        <v>15000601500060589</v>
      </c>
    </row>
    <row r="368" spans="1:8" ht="15" customHeight="1" x14ac:dyDescent="0.25">
      <c r="A368" s="110" t="s">
        <v>5255</v>
      </c>
      <c r="B368" s="125" t="s">
        <v>93</v>
      </c>
      <c r="C368" s="138">
        <v>0.79</v>
      </c>
      <c r="D368" s="138">
        <v>47.400000000000006</v>
      </c>
      <c r="E368" s="138">
        <v>75.949367088607588</v>
      </c>
      <c r="F368" s="139">
        <v>0.79</v>
      </c>
      <c r="H368" t="str">
        <f t="shared" si="8"/>
        <v>15000601500060596</v>
      </c>
    </row>
    <row r="369" spans="1:8" ht="15" customHeight="1" x14ac:dyDescent="0.25">
      <c r="A369" s="110" t="s">
        <v>5256</v>
      </c>
      <c r="B369" s="125" t="s">
        <v>94</v>
      </c>
      <c r="C369" s="138">
        <v>0.79</v>
      </c>
      <c r="D369" s="138">
        <v>47.400000000000006</v>
      </c>
      <c r="E369" s="138">
        <v>75.949367088607588</v>
      </c>
      <c r="F369" s="139">
        <v>0.79</v>
      </c>
      <c r="H369" t="str">
        <f t="shared" si="8"/>
        <v>15000601500060597</v>
      </c>
    </row>
    <row r="370" spans="1:8" ht="15" customHeight="1" x14ac:dyDescent="0.25">
      <c r="A370" s="110" t="s">
        <v>5257</v>
      </c>
      <c r="B370" s="125" t="s">
        <v>95</v>
      </c>
      <c r="C370" s="138">
        <v>1.02</v>
      </c>
      <c r="D370" s="138">
        <v>61.2</v>
      </c>
      <c r="E370" s="138">
        <v>58.823529411764703</v>
      </c>
      <c r="F370" s="139">
        <v>1.02</v>
      </c>
      <c r="H370" t="str">
        <f t="shared" si="8"/>
        <v>15000601500060598</v>
      </c>
    </row>
    <row r="371" spans="1:8" ht="15" customHeight="1" x14ac:dyDescent="0.25">
      <c r="A371" s="110" t="s">
        <v>5258</v>
      </c>
      <c r="B371" s="125" t="s">
        <v>96</v>
      </c>
      <c r="C371" s="138">
        <v>1.02</v>
      </c>
      <c r="D371" s="138">
        <v>61.2</v>
      </c>
      <c r="E371" s="138">
        <v>58.823529411764703</v>
      </c>
      <c r="F371" s="139">
        <v>1.02</v>
      </c>
      <c r="H371" t="str">
        <f t="shared" si="8"/>
        <v>15000601500060599</v>
      </c>
    </row>
    <row r="372" spans="1:8" ht="15" customHeight="1" x14ac:dyDescent="0.25">
      <c r="A372" s="110" t="s">
        <v>5259</v>
      </c>
      <c r="B372" s="125" t="s">
        <v>924</v>
      </c>
      <c r="C372" s="138">
        <v>0.13</v>
      </c>
      <c r="D372" s="138">
        <v>7.8000000000000007</v>
      </c>
      <c r="E372" s="138">
        <v>461.53846153846149</v>
      </c>
      <c r="F372" s="139">
        <v>0.13</v>
      </c>
      <c r="H372" t="str">
        <f t="shared" si="8"/>
        <v>15000601500060600</v>
      </c>
    </row>
    <row r="373" spans="1:8" ht="15" customHeight="1" x14ac:dyDescent="0.25">
      <c r="A373" s="110" t="s">
        <v>5260</v>
      </c>
      <c r="B373" s="125" t="s">
        <v>97</v>
      </c>
      <c r="C373" s="138">
        <v>0.16</v>
      </c>
      <c r="D373" s="138">
        <v>9.6</v>
      </c>
      <c r="E373" s="138">
        <v>375</v>
      </c>
      <c r="F373" s="139">
        <v>0.16</v>
      </c>
      <c r="H373" t="str">
        <f t="shared" si="8"/>
        <v>15000601500060605</v>
      </c>
    </row>
    <row r="374" spans="1:8" ht="15" customHeight="1" x14ac:dyDescent="0.25">
      <c r="A374" s="110" t="s">
        <v>5261</v>
      </c>
      <c r="B374" s="125" t="s">
        <v>925</v>
      </c>
      <c r="C374" s="138">
        <v>0.18</v>
      </c>
      <c r="D374" s="138">
        <v>10.799999999999999</v>
      </c>
      <c r="E374" s="138">
        <v>333.33333333333337</v>
      </c>
      <c r="F374" s="139">
        <v>0.18</v>
      </c>
      <c r="H374" t="str">
        <f t="shared" si="8"/>
        <v>15000601500060611</v>
      </c>
    </row>
    <row r="375" spans="1:8" ht="15" customHeight="1" x14ac:dyDescent="0.25">
      <c r="A375" s="110" t="s">
        <v>5262</v>
      </c>
      <c r="B375" s="125" t="s">
        <v>926</v>
      </c>
      <c r="C375" s="138">
        <v>0.08</v>
      </c>
      <c r="D375" s="138">
        <v>4.8</v>
      </c>
      <c r="E375" s="138">
        <v>750</v>
      </c>
      <c r="F375" s="139">
        <v>0.08</v>
      </c>
      <c r="H375" t="str">
        <f t="shared" si="8"/>
        <v>15000601500060615</v>
      </c>
    </row>
    <row r="376" spans="1:8" ht="15" customHeight="1" x14ac:dyDescent="0.25">
      <c r="A376" s="110" t="s">
        <v>5263</v>
      </c>
      <c r="B376" s="125" t="s">
        <v>927</v>
      </c>
      <c r="C376" s="138">
        <v>0.2</v>
      </c>
      <c r="D376" s="138">
        <v>12</v>
      </c>
      <c r="E376" s="138">
        <v>300</v>
      </c>
      <c r="F376" s="139">
        <v>0.2</v>
      </c>
      <c r="H376" t="str">
        <f t="shared" si="8"/>
        <v>15000601500060675</v>
      </c>
    </row>
    <row r="377" spans="1:8" ht="15" customHeight="1" x14ac:dyDescent="0.25">
      <c r="A377" s="110" t="s">
        <v>5264</v>
      </c>
      <c r="B377" s="125" t="s">
        <v>369</v>
      </c>
      <c r="C377" s="138">
        <v>0.17</v>
      </c>
      <c r="D377" s="138">
        <v>10.200000000000001</v>
      </c>
      <c r="E377" s="138">
        <v>352.94117647058818</v>
      </c>
      <c r="F377" s="139">
        <v>0.17</v>
      </c>
      <c r="H377" t="str">
        <f t="shared" si="8"/>
        <v>15000601500060677</v>
      </c>
    </row>
    <row r="378" spans="1:8" ht="15" customHeight="1" x14ac:dyDescent="0.25">
      <c r="A378" s="110" t="s">
        <v>5265</v>
      </c>
      <c r="B378" s="125" t="s">
        <v>928</v>
      </c>
      <c r="C378" s="138">
        <v>0.36</v>
      </c>
      <c r="D378" s="138">
        <v>21.599999999999998</v>
      </c>
      <c r="E378" s="138">
        <v>166.66666666666669</v>
      </c>
      <c r="F378" s="139">
        <v>0.36</v>
      </c>
      <c r="H378" t="str">
        <f t="shared" si="8"/>
        <v>15000601500060679</v>
      </c>
    </row>
    <row r="379" spans="1:8" ht="15" customHeight="1" x14ac:dyDescent="0.25">
      <c r="A379" s="111" t="s">
        <v>5266</v>
      </c>
      <c r="B379" s="125" t="s">
        <v>3277</v>
      </c>
      <c r="C379" s="138">
        <v>1</v>
      </c>
      <c r="D379" s="138">
        <v>60</v>
      </c>
      <c r="E379" s="138">
        <v>60</v>
      </c>
      <c r="F379" s="140">
        <v>1</v>
      </c>
      <c r="H379" t="str">
        <f t="shared" si="8"/>
        <v>15000601500060682</v>
      </c>
    </row>
    <row r="380" spans="1:8" ht="15" customHeight="1" x14ac:dyDescent="0.25">
      <c r="A380" s="111" t="s">
        <v>5267</v>
      </c>
      <c r="B380" s="125" t="s">
        <v>3278</v>
      </c>
      <c r="C380" s="138">
        <v>1</v>
      </c>
      <c r="D380" s="138">
        <v>60</v>
      </c>
      <c r="E380" s="138">
        <v>60</v>
      </c>
      <c r="F380" s="140">
        <v>1</v>
      </c>
      <c r="H380" t="str">
        <f t="shared" si="8"/>
        <v>15000601500060683</v>
      </c>
    </row>
    <row r="381" spans="1:8" ht="15" customHeight="1" x14ac:dyDescent="0.25">
      <c r="A381" s="118" t="s">
        <v>5268</v>
      </c>
      <c r="B381" s="135" t="s">
        <v>3312</v>
      </c>
      <c r="C381" s="138">
        <v>0.8</v>
      </c>
      <c r="D381" s="138">
        <v>48</v>
      </c>
      <c r="E381" s="138">
        <v>75</v>
      </c>
      <c r="F381" s="144">
        <v>0.8</v>
      </c>
      <c r="H381" t="str">
        <f t="shared" si="8"/>
        <v>15000601500060686</v>
      </c>
    </row>
    <row r="382" spans="1:8" ht="15" customHeight="1" x14ac:dyDescent="0.25">
      <c r="A382" s="110" t="s">
        <v>5269</v>
      </c>
      <c r="B382" s="125" t="s">
        <v>98</v>
      </c>
      <c r="C382" s="138">
        <v>0.15</v>
      </c>
      <c r="D382" s="138">
        <v>9</v>
      </c>
      <c r="E382" s="138">
        <v>400</v>
      </c>
      <c r="F382" s="139">
        <v>0.15</v>
      </c>
      <c r="H382" t="str">
        <f t="shared" si="8"/>
        <v>15000601500060688</v>
      </c>
    </row>
    <row r="383" spans="1:8" ht="15" customHeight="1" x14ac:dyDescent="0.25">
      <c r="A383" s="110" t="s">
        <v>5270</v>
      </c>
      <c r="B383" s="125" t="s">
        <v>332</v>
      </c>
      <c r="C383" s="138">
        <v>0.12</v>
      </c>
      <c r="D383" s="138">
        <v>7.1999999999999993</v>
      </c>
      <c r="E383" s="138">
        <v>500.00000000000006</v>
      </c>
      <c r="F383" s="139">
        <v>0.12</v>
      </c>
      <c r="H383" t="str">
        <f t="shared" si="8"/>
        <v>15000601500060690</v>
      </c>
    </row>
    <row r="384" spans="1:8" ht="15" customHeight="1" x14ac:dyDescent="0.25">
      <c r="A384" s="110" t="s">
        <v>5271</v>
      </c>
      <c r="B384" s="125" t="s">
        <v>333</v>
      </c>
      <c r="C384" s="138">
        <v>0.41</v>
      </c>
      <c r="D384" s="138">
        <v>24.599999999999998</v>
      </c>
      <c r="E384" s="138">
        <v>146.34146341463415</v>
      </c>
      <c r="F384" s="139">
        <v>0.41</v>
      </c>
      <c r="H384" t="str">
        <f t="shared" si="8"/>
        <v>15000601500060697</v>
      </c>
    </row>
    <row r="385" spans="1:8" ht="15" customHeight="1" x14ac:dyDescent="0.25">
      <c r="A385" s="110" t="s">
        <v>5272</v>
      </c>
      <c r="B385" s="125" t="s">
        <v>334</v>
      </c>
      <c r="C385" s="138">
        <v>0.41</v>
      </c>
      <c r="D385" s="138">
        <v>24.599999999999998</v>
      </c>
      <c r="E385" s="138">
        <v>146.34146341463415</v>
      </c>
      <c r="F385" s="139">
        <v>0.41</v>
      </c>
      <c r="H385" t="str">
        <f t="shared" si="8"/>
        <v>15000601500060698</v>
      </c>
    </row>
    <row r="386" spans="1:8" ht="15" customHeight="1" x14ac:dyDescent="0.25">
      <c r="A386" s="110" t="s">
        <v>5273</v>
      </c>
      <c r="B386" s="125" t="s">
        <v>214</v>
      </c>
      <c r="C386" s="138">
        <v>1.5</v>
      </c>
      <c r="D386" s="138">
        <v>90</v>
      </c>
      <c r="E386" s="138">
        <v>40</v>
      </c>
      <c r="F386" s="139">
        <v>1.5</v>
      </c>
      <c r="H386" t="str">
        <f t="shared" si="8"/>
        <v>15000601500060699</v>
      </c>
    </row>
    <row r="387" spans="1:8" ht="15" customHeight="1" x14ac:dyDescent="0.25">
      <c r="A387" s="110" t="s">
        <v>5274</v>
      </c>
      <c r="B387" s="125" t="s">
        <v>929</v>
      </c>
      <c r="C387" s="138">
        <v>0.49</v>
      </c>
      <c r="D387" s="138">
        <v>29.4</v>
      </c>
      <c r="E387" s="138">
        <v>122.44897959183675</v>
      </c>
      <c r="F387" s="139">
        <v>0.49</v>
      </c>
      <c r="H387" t="str">
        <f t="shared" si="8"/>
        <v>15000601500060700</v>
      </c>
    </row>
    <row r="388" spans="1:8" ht="15" customHeight="1" x14ac:dyDescent="0.25">
      <c r="A388" s="110" t="s">
        <v>5274</v>
      </c>
      <c r="B388" s="125" t="s">
        <v>1553</v>
      </c>
      <c r="C388" s="138">
        <v>1.1000000000000001</v>
      </c>
      <c r="D388" s="138">
        <v>66</v>
      </c>
      <c r="E388" s="138">
        <v>54.545454545454547</v>
      </c>
      <c r="F388" s="139">
        <v>1.1000000000000001</v>
      </c>
      <c r="H388" t="str">
        <f t="shared" si="8"/>
        <v>15000601500060700</v>
      </c>
    </row>
    <row r="389" spans="1:8" ht="15" customHeight="1" x14ac:dyDescent="0.25">
      <c r="A389" s="110" t="s">
        <v>5275</v>
      </c>
      <c r="B389" s="125" t="s">
        <v>930</v>
      </c>
      <c r="C389" s="138">
        <v>0.34</v>
      </c>
      <c r="D389" s="138">
        <v>20.400000000000002</v>
      </c>
      <c r="E389" s="138">
        <v>176.47058823529409</v>
      </c>
      <c r="F389" s="139">
        <v>0.34</v>
      </c>
      <c r="H389" t="str">
        <f t="shared" si="8"/>
        <v>15000601500060701</v>
      </c>
    </row>
    <row r="390" spans="1:8" ht="15" customHeight="1" x14ac:dyDescent="0.25">
      <c r="A390" s="110" t="s">
        <v>5275</v>
      </c>
      <c r="B390" s="125" t="s">
        <v>1554</v>
      </c>
      <c r="C390" s="138">
        <v>1.1000000000000001</v>
      </c>
      <c r="D390" s="138">
        <v>66</v>
      </c>
      <c r="E390" s="138">
        <v>54.545454545454547</v>
      </c>
      <c r="F390" s="139">
        <v>1.1000000000000001</v>
      </c>
      <c r="H390" t="str">
        <f t="shared" si="8"/>
        <v>15000601500060701</v>
      </c>
    </row>
    <row r="391" spans="1:8" ht="15" customHeight="1" x14ac:dyDescent="0.25">
      <c r="A391" s="110" t="s">
        <v>5276</v>
      </c>
      <c r="B391" s="125" t="s">
        <v>930</v>
      </c>
      <c r="C391" s="138">
        <v>0.35</v>
      </c>
      <c r="D391" s="138">
        <v>21</v>
      </c>
      <c r="E391" s="138">
        <v>171.42857142857142</v>
      </c>
      <c r="F391" s="139">
        <v>0.35</v>
      </c>
      <c r="H391" t="str">
        <f t="shared" si="8"/>
        <v>15000601500060702</v>
      </c>
    </row>
    <row r="392" spans="1:8" ht="15" customHeight="1" x14ac:dyDescent="0.25">
      <c r="A392" s="110" t="s">
        <v>5276</v>
      </c>
      <c r="B392" s="125" t="s">
        <v>1555</v>
      </c>
      <c r="C392" s="138">
        <v>1</v>
      </c>
      <c r="D392" s="138">
        <v>60</v>
      </c>
      <c r="E392" s="138">
        <v>60</v>
      </c>
      <c r="F392" s="139">
        <v>1</v>
      </c>
      <c r="H392" t="str">
        <f t="shared" si="8"/>
        <v>15000601500060702</v>
      </c>
    </row>
    <row r="393" spans="1:8" ht="15" customHeight="1" x14ac:dyDescent="0.25">
      <c r="A393" s="110" t="s">
        <v>5277</v>
      </c>
      <c r="B393" s="125" t="s">
        <v>1556</v>
      </c>
      <c r="C393" s="138">
        <v>1</v>
      </c>
      <c r="D393" s="138">
        <v>60</v>
      </c>
      <c r="E393" s="138">
        <v>60</v>
      </c>
      <c r="F393" s="139">
        <v>1</v>
      </c>
      <c r="H393" t="str">
        <f t="shared" si="8"/>
        <v>15000601500060703</v>
      </c>
    </row>
    <row r="394" spans="1:8" ht="15" customHeight="1" x14ac:dyDescent="0.25">
      <c r="A394" s="110" t="s">
        <v>5278</v>
      </c>
      <c r="B394" s="125" t="s">
        <v>931</v>
      </c>
      <c r="C394" s="138">
        <v>1</v>
      </c>
      <c r="D394" s="138">
        <v>60</v>
      </c>
      <c r="E394" s="138">
        <v>60</v>
      </c>
      <c r="F394" s="139">
        <v>1</v>
      </c>
      <c r="H394" t="str">
        <f t="shared" si="8"/>
        <v>15000601500060704</v>
      </c>
    </row>
    <row r="395" spans="1:8" ht="15" customHeight="1" x14ac:dyDescent="0.25">
      <c r="A395" s="110" t="s">
        <v>5278</v>
      </c>
      <c r="B395" s="125" t="s">
        <v>1557</v>
      </c>
      <c r="C395" s="138">
        <v>1.82</v>
      </c>
      <c r="D395" s="138">
        <v>109.2</v>
      </c>
      <c r="E395" s="138">
        <v>32.967032967032964</v>
      </c>
      <c r="F395" s="139">
        <v>1.82</v>
      </c>
      <c r="H395" t="str">
        <f t="shared" si="8"/>
        <v>15000601500060704</v>
      </c>
    </row>
    <row r="396" spans="1:8" ht="15" customHeight="1" x14ac:dyDescent="0.25">
      <c r="A396" s="110" t="s">
        <v>5279</v>
      </c>
      <c r="B396" s="125" t="s">
        <v>933</v>
      </c>
      <c r="C396" s="138">
        <v>0.74</v>
      </c>
      <c r="D396" s="138">
        <v>44.4</v>
      </c>
      <c r="E396" s="138">
        <v>81.081081081081081</v>
      </c>
      <c r="F396" s="139">
        <v>0.74</v>
      </c>
      <c r="H396" t="str">
        <f t="shared" si="8"/>
        <v>15000601500060705</v>
      </c>
    </row>
    <row r="397" spans="1:8" ht="15" customHeight="1" x14ac:dyDescent="0.25">
      <c r="A397" s="110" t="s">
        <v>5279</v>
      </c>
      <c r="B397" s="125" t="s">
        <v>1558</v>
      </c>
      <c r="C397" s="138">
        <v>1.82</v>
      </c>
      <c r="D397" s="138">
        <v>109.2</v>
      </c>
      <c r="E397" s="138">
        <v>32.967032967032964</v>
      </c>
      <c r="F397" s="139">
        <v>1.82</v>
      </c>
      <c r="H397" t="str">
        <f t="shared" si="8"/>
        <v>15000601500060705</v>
      </c>
    </row>
    <row r="398" spans="1:8" ht="15" customHeight="1" x14ac:dyDescent="0.25">
      <c r="A398" s="110" t="s">
        <v>5280</v>
      </c>
      <c r="B398" s="125" t="s">
        <v>934</v>
      </c>
      <c r="C398" s="138">
        <v>0.37</v>
      </c>
      <c r="D398" s="138">
        <v>22.2</v>
      </c>
      <c r="E398" s="138">
        <v>162.16216216216216</v>
      </c>
      <c r="F398" s="139">
        <v>0.37</v>
      </c>
      <c r="H398" t="str">
        <f t="shared" si="8"/>
        <v>15000601500060706</v>
      </c>
    </row>
    <row r="399" spans="1:8" ht="15" customHeight="1" x14ac:dyDescent="0.25">
      <c r="A399" s="110" t="s">
        <v>5280</v>
      </c>
      <c r="B399" s="125" t="s">
        <v>1559</v>
      </c>
      <c r="C399" s="138">
        <v>1.82</v>
      </c>
      <c r="D399" s="138">
        <v>109.2</v>
      </c>
      <c r="E399" s="138">
        <v>32.967032967032964</v>
      </c>
      <c r="F399" s="139">
        <v>1.82</v>
      </c>
      <c r="H399" t="str">
        <f t="shared" si="8"/>
        <v>15000601500060706</v>
      </c>
    </row>
    <row r="400" spans="1:8" ht="15" customHeight="1" x14ac:dyDescent="0.25">
      <c r="A400" s="110" t="s">
        <v>5281</v>
      </c>
      <c r="B400" s="125" t="s">
        <v>935</v>
      </c>
      <c r="C400" s="138">
        <v>1.33</v>
      </c>
      <c r="D400" s="138">
        <v>79.800000000000011</v>
      </c>
      <c r="E400" s="138">
        <v>45.112781954887211</v>
      </c>
      <c r="F400" s="139">
        <v>1.33</v>
      </c>
      <c r="H400" t="str">
        <f t="shared" si="8"/>
        <v>15000601500060707</v>
      </c>
    </row>
    <row r="401" spans="1:8" ht="15" customHeight="1" x14ac:dyDescent="0.25">
      <c r="A401" s="110" t="s">
        <v>5281</v>
      </c>
      <c r="B401" s="125" t="s">
        <v>1560</v>
      </c>
      <c r="C401" s="138">
        <v>1.82</v>
      </c>
      <c r="D401" s="138">
        <v>109.2</v>
      </c>
      <c r="E401" s="138">
        <v>32.967032967032964</v>
      </c>
      <c r="F401" s="139">
        <v>1.82</v>
      </c>
      <c r="H401" t="str">
        <f t="shared" si="8"/>
        <v>15000601500060707</v>
      </c>
    </row>
    <row r="402" spans="1:8" ht="15" customHeight="1" x14ac:dyDescent="0.25">
      <c r="A402" s="110" t="s">
        <v>5282</v>
      </c>
      <c r="B402" s="125" t="s">
        <v>936</v>
      </c>
      <c r="C402" s="138">
        <v>0.75</v>
      </c>
      <c r="D402" s="138">
        <v>45</v>
      </c>
      <c r="E402" s="138">
        <v>80</v>
      </c>
      <c r="F402" s="139">
        <v>0.75</v>
      </c>
      <c r="H402" t="str">
        <f t="shared" si="8"/>
        <v>15000601500060708</v>
      </c>
    </row>
    <row r="403" spans="1:8" ht="15" customHeight="1" x14ac:dyDescent="0.25">
      <c r="A403" s="110" t="s">
        <v>5282</v>
      </c>
      <c r="B403" s="125" t="s">
        <v>1561</v>
      </c>
      <c r="C403" s="138">
        <v>1.82</v>
      </c>
      <c r="D403" s="138">
        <v>109.2</v>
      </c>
      <c r="E403" s="138">
        <v>32.967032967032964</v>
      </c>
      <c r="F403" s="139">
        <v>1.82</v>
      </c>
      <c r="H403" t="str">
        <f t="shared" si="8"/>
        <v>15000601500060708</v>
      </c>
    </row>
    <row r="404" spans="1:8" ht="15" customHeight="1" x14ac:dyDescent="0.25">
      <c r="A404" s="110" t="s">
        <v>5283</v>
      </c>
      <c r="B404" s="125" t="s">
        <v>1562</v>
      </c>
      <c r="C404" s="138">
        <v>1.82</v>
      </c>
      <c r="D404" s="138">
        <v>109.2</v>
      </c>
      <c r="E404" s="138">
        <v>32.967032967032964</v>
      </c>
      <c r="F404" s="139">
        <v>1.82</v>
      </c>
      <c r="H404" t="str">
        <f t="shared" si="8"/>
        <v>15000601500060709</v>
      </c>
    </row>
    <row r="405" spans="1:8" ht="15" customHeight="1" x14ac:dyDescent="0.25">
      <c r="A405" s="110" t="s">
        <v>5284</v>
      </c>
      <c r="B405" s="125" t="s">
        <v>937</v>
      </c>
      <c r="C405" s="138">
        <v>0.54</v>
      </c>
      <c r="D405" s="138">
        <v>32.400000000000006</v>
      </c>
      <c r="E405" s="138">
        <v>111.11111111111109</v>
      </c>
      <c r="F405" s="139">
        <v>0.54</v>
      </c>
      <c r="H405" t="str">
        <f t="shared" si="8"/>
        <v>15000601500060710</v>
      </c>
    </row>
    <row r="406" spans="1:8" ht="15" customHeight="1" x14ac:dyDescent="0.25">
      <c r="A406" s="110" t="s">
        <v>5284</v>
      </c>
      <c r="B406" s="125" t="s">
        <v>1563</v>
      </c>
      <c r="C406" s="138">
        <v>0.75</v>
      </c>
      <c r="D406" s="138">
        <v>45</v>
      </c>
      <c r="E406" s="138">
        <v>80</v>
      </c>
      <c r="F406" s="139">
        <v>0.75</v>
      </c>
      <c r="H406" t="str">
        <f t="shared" si="8"/>
        <v>15000601500060710</v>
      </c>
    </row>
    <row r="407" spans="1:8" ht="15" customHeight="1" x14ac:dyDescent="0.25">
      <c r="A407" s="110" t="s">
        <v>5285</v>
      </c>
      <c r="B407" s="125" t="s">
        <v>938</v>
      </c>
      <c r="C407" s="138">
        <v>0.54</v>
      </c>
      <c r="D407" s="138">
        <v>32.400000000000006</v>
      </c>
      <c r="E407" s="138">
        <v>111.11111111111109</v>
      </c>
      <c r="F407" s="139">
        <v>0.54</v>
      </c>
      <c r="H407" t="str">
        <f t="shared" si="8"/>
        <v>15000601500060711</v>
      </c>
    </row>
    <row r="408" spans="1:8" ht="15" customHeight="1" x14ac:dyDescent="0.25">
      <c r="A408" s="110" t="s">
        <v>5285</v>
      </c>
      <c r="B408" s="125" t="s">
        <v>1564</v>
      </c>
      <c r="C408" s="138">
        <v>0.75</v>
      </c>
      <c r="D408" s="138">
        <v>45</v>
      </c>
      <c r="E408" s="138">
        <v>80</v>
      </c>
      <c r="F408" s="139">
        <v>0.75</v>
      </c>
      <c r="H408" t="str">
        <f t="shared" si="8"/>
        <v>15000601500060711</v>
      </c>
    </row>
    <row r="409" spans="1:8" ht="15" customHeight="1" x14ac:dyDescent="0.25">
      <c r="A409" s="110" t="s">
        <v>5286</v>
      </c>
      <c r="B409" s="125" t="s">
        <v>939</v>
      </c>
      <c r="C409" s="138">
        <v>0.67</v>
      </c>
      <c r="D409" s="138">
        <v>40.200000000000003</v>
      </c>
      <c r="E409" s="138">
        <v>89.552238805970148</v>
      </c>
      <c r="F409" s="139">
        <v>0.67</v>
      </c>
      <c r="H409" t="str">
        <f t="shared" si="8"/>
        <v>15000601500060712</v>
      </c>
    </row>
    <row r="410" spans="1:8" ht="15" customHeight="1" x14ac:dyDescent="0.25">
      <c r="A410" s="110" t="s">
        <v>5286</v>
      </c>
      <c r="B410" s="125" t="s">
        <v>1565</v>
      </c>
      <c r="C410" s="138">
        <v>0.71</v>
      </c>
      <c r="D410" s="138">
        <v>42.599999999999994</v>
      </c>
      <c r="E410" s="138">
        <v>84.507042253521135</v>
      </c>
      <c r="F410" s="139">
        <v>0.71</v>
      </c>
      <c r="H410" t="str">
        <f t="shared" si="8"/>
        <v>15000601500060712</v>
      </c>
    </row>
    <row r="411" spans="1:8" ht="15" customHeight="1" x14ac:dyDescent="0.25">
      <c r="A411" s="110" t="s">
        <v>5287</v>
      </c>
      <c r="B411" s="125" t="s">
        <v>940</v>
      </c>
      <c r="C411" s="138">
        <v>0.67</v>
      </c>
      <c r="D411" s="138">
        <v>40.200000000000003</v>
      </c>
      <c r="E411" s="138">
        <v>89.552238805970148</v>
      </c>
      <c r="F411" s="139">
        <v>0.67</v>
      </c>
      <c r="H411" t="str">
        <f t="shared" si="8"/>
        <v>15000601500060713</v>
      </c>
    </row>
    <row r="412" spans="1:8" ht="15" customHeight="1" x14ac:dyDescent="0.25">
      <c r="A412" s="110" t="s">
        <v>5287</v>
      </c>
      <c r="B412" s="125" t="s">
        <v>1566</v>
      </c>
      <c r="C412" s="138">
        <v>0.71</v>
      </c>
      <c r="D412" s="138">
        <v>42.599999999999994</v>
      </c>
      <c r="E412" s="138">
        <v>84.507042253521135</v>
      </c>
      <c r="F412" s="139">
        <v>0.71</v>
      </c>
      <c r="H412" t="str">
        <f t="shared" si="8"/>
        <v>15000601500060713</v>
      </c>
    </row>
    <row r="413" spans="1:8" ht="15" customHeight="1" x14ac:dyDescent="0.25">
      <c r="A413" s="110" t="s">
        <v>5288</v>
      </c>
      <c r="B413" s="125" t="s">
        <v>941</v>
      </c>
      <c r="C413" s="138">
        <v>0.5</v>
      </c>
      <c r="D413" s="138">
        <v>30</v>
      </c>
      <c r="E413" s="138">
        <v>120</v>
      </c>
      <c r="F413" s="139">
        <v>0.5</v>
      </c>
      <c r="H413" t="str">
        <f t="shared" si="8"/>
        <v>15000601500060714</v>
      </c>
    </row>
    <row r="414" spans="1:8" ht="15" customHeight="1" x14ac:dyDescent="0.25">
      <c r="A414" s="110" t="s">
        <v>5288</v>
      </c>
      <c r="B414" s="125" t="s">
        <v>1567</v>
      </c>
      <c r="C414" s="138">
        <v>0.7</v>
      </c>
      <c r="D414" s="138">
        <v>42</v>
      </c>
      <c r="E414" s="138">
        <v>85.714285714285708</v>
      </c>
      <c r="F414" s="139">
        <v>0.7</v>
      </c>
      <c r="H414" t="str">
        <f t="shared" si="8"/>
        <v>15000601500060714</v>
      </c>
    </row>
    <row r="415" spans="1:8" ht="15" customHeight="1" x14ac:dyDescent="0.25">
      <c r="A415" s="110" t="s">
        <v>5289</v>
      </c>
      <c r="B415" s="125" t="s">
        <v>942</v>
      </c>
      <c r="C415" s="138">
        <v>0.5</v>
      </c>
      <c r="D415" s="138">
        <v>30</v>
      </c>
      <c r="E415" s="138">
        <v>120</v>
      </c>
      <c r="F415" s="139">
        <v>0.5</v>
      </c>
      <c r="H415" t="str">
        <f t="shared" si="8"/>
        <v>15000601500060715</v>
      </c>
    </row>
    <row r="416" spans="1:8" ht="15" customHeight="1" x14ac:dyDescent="0.25">
      <c r="A416" s="110" t="s">
        <v>5290</v>
      </c>
      <c r="B416" s="125" t="s">
        <v>943</v>
      </c>
      <c r="C416" s="138">
        <v>0.66</v>
      </c>
      <c r="D416" s="138">
        <v>39.6</v>
      </c>
      <c r="E416" s="138">
        <v>90.909090909090907</v>
      </c>
      <c r="F416" s="139">
        <v>0.66</v>
      </c>
      <c r="H416" t="str">
        <f t="shared" si="8"/>
        <v>15000601500060716</v>
      </c>
    </row>
    <row r="417" spans="1:8" ht="15" customHeight="1" x14ac:dyDescent="0.25">
      <c r="A417" s="110" t="s">
        <v>5291</v>
      </c>
      <c r="B417" s="125" t="s">
        <v>944</v>
      </c>
      <c r="C417" s="138">
        <v>0.66</v>
      </c>
      <c r="D417" s="138">
        <v>39.6</v>
      </c>
      <c r="E417" s="138">
        <v>90.909090909090907</v>
      </c>
      <c r="F417" s="139">
        <v>0.66</v>
      </c>
      <c r="H417" t="str">
        <f t="shared" si="8"/>
        <v>15000601500060717</v>
      </c>
    </row>
    <row r="418" spans="1:8" ht="15" customHeight="1" x14ac:dyDescent="0.25">
      <c r="A418" s="110" t="s">
        <v>5291</v>
      </c>
      <c r="B418" s="125" t="s">
        <v>1568</v>
      </c>
      <c r="C418" s="138">
        <v>1.82</v>
      </c>
      <c r="D418" s="138">
        <v>109.2</v>
      </c>
      <c r="E418" s="138">
        <v>32.967032967032964</v>
      </c>
      <c r="F418" s="139">
        <v>1.82</v>
      </c>
      <c r="H418" t="str">
        <f t="shared" si="8"/>
        <v>15000601500060717</v>
      </c>
    </row>
    <row r="419" spans="1:8" ht="15" customHeight="1" x14ac:dyDescent="0.25">
      <c r="A419" s="110" t="s">
        <v>5292</v>
      </c>
      <c r="B419" s="125" t="s">
        <v>945</v>
      </c>
      <c r="C419" s="138">
        <v>0.66</v>
      </c>
      <c r="D419" s="138">
        <v>39.6</v>
      </c>
      <c r="E419" s="138">
        <v>90.909090909090907</v>
      </c>
      <c r="F419" s="139">
        <v>0.66</v>
      </c>
      <c r="H419" t="str">
        <f t="shared" si="8"/>
        <v>15000601500060718</v>
      </c>
    </row>
    <row r="420" spans="1:8" ht="15" customHeight="1" x14ac:dyDescent="0.25">
      <c r="A420" s="110" t="s">
        <v>5292</v>
      </c>
      <c r="B420" s="125" t="s">
        <v>1569</v>
      </c>
      <c r="C420" s="138">
        <v>1.82</v>
      </c>
      <c r="D420" s="138">
        <v>109.2</v>
      </c>
      <c r="E420" s="138">
        <v>32.967032967032964</v>
      </c>
      <c r="F420" s="139">
        <v>1.82</v>
      </c>
      <c r="H420" t="str">
        <f t="shared" si="8"/>
        <v>15000601500060718</v>
      </c>
    </row>
    <row r="421" spans="1:8" ht="15" customHeight="1" x14ac:dyDescent="0.25">
      <c r="A421" s="110" t="s">
        <v>5293</v>
      </c>
      <c r="B421" s="125" t="s">
        <v>946</v>
      </c>
      <c r="C421" s="138">
        <v>0.66</v>
      </c>
      <c r="D421" s="138">
        <v>39.6</v>
      </c>
      <c r="E421" s="138">
        <v>90.909090909090907</v>
      </c>
      <c r="F421" s="139">
        <v>0.66</v>
      </c>
      <c r="H421" t="str">
        <f t="shared" si="8"/>
        <v>15000601500060719</v>
      </c>
    </row>
    <row r="422" spans="1:8" ht="15" customHeight="1" x14ac:dyDescent="0.25">
      <c r="A422" s="110" t="s">
        <v>5293</v>
      </c>
      <c r="B422" s="125" t="s">
        <v>1570</v>
      </c>
      <c r="C422" s="138">
        <v>1.82</v>
      </c>
      <c r="D422" s="138">
        <v>109.2</v>
      </c>
      <c r="E422" s="138">
        <v>32.967032967032964</v>
      </c>
      <c r="F422" s="139">
        <v>1.82</v>
      </c>
      <c r="H422" t="str">
        <f t="shared" si="8"/>
        <v>15000601500060719</v>
      </c>
    </row>
    <row r="423" spans="1:8" ht="15" customHeight="1" x14ac:dyDescent="0.25">
      <c r="A423" s="110" t="s">
        <v>5294</v>
      </c>
      <c r="B423" s="125" t="s">
        <v>947</v>
      </c>
      <c r="C423" s="138">
        <v>0.38</v>
      </c>
      <c r="D423" s="138">
        <v>22.8</v>
      </c>
      <c r="E423" s="138">
        <v>157.89473684210526</v>
      </c>
      <c r="F423" s="139">
        <v>0.38</v>
      </c>
      <c r="H423" t="str">
        <f t="shared" si="8"/>
        <v>15000601500060720</v>
      </c>
    </row>
    <row r="424" spans="1:8" ht="15" customHeight="1" x14ac:dyDescent="0.25">
      <c r="A424" s="110" t="s">
        <v>5294</v>
      </c>
      <c r="B424" s="125" t="s">
        <v>1571</v>
      </c>
      <c r="C424" s="138">
        <v>1.82</v>
      </c>
      <c r="D424" s="138">
        <v>109.2</v>
      </c>
      <c r="E424" s="138">
        <v>32.967032967032964</v>
      </c>
      <c r="F424" s="139">
        <v>1.82</v>
      </c>
      <c r="H424" t="str">
        <f t="shared" si="8"/>
        <v>15000601500060720</v>
      </c>
    </row>
    <row r="425" spans="1:8" ht="15" customHeight="1" x14ac:dyDescent="0.25">
      <c r="A425" s="110" t="s">
        <v>5295</v>
      </c>
      <c r="B425" s="125" t="s">
        <v>948</v>
      </c>
      <c r="C425" s="138">
        <v>0.38</v>
      </c>
      <c r="D425" s="138">
        <v>22.8</v>
      </c>
      <c r="E425" s="138">
        <v>157.89473684210526</v>
      </c>
      <c r="F425" s="139">
        <v>0.38</v>
      </c>
      <c r="H425" t="str">
        <f t="shared" si="8"/>
        <v>15000601500060721</v>
      </c>
    </row>
    <row r="426" spans="1:8" ht="15" customHeight="1" x14ac:dyDescent="0.25">
      <c r="A426" s="110" t="s">
        <v>5296</v>
      </c>
      <c r="B426" s="125" t="s">
        <v>630</v>
      </c>
      <c r="C426" s="138">
        <v>0.41</v>
      </c>
      <c r="D426" s="138">
        <v>24.599999999999998</v>
      </c>
      <c r="E426" s="138">
        <v>146.34146341463415</v>
      </c>
      <c r="F426" s="139">
        <v>0.41</v>
      </c>
      <c r="H426" t="str">
        <f t="shared" si="8"/>
        <v>15000601500060722</v>
      </c>
    </row>
    <row r="427" spans="1:8" ht="15" customHeight="1" x14ac:dyDescent="0.25">
      <c r="A427" s="110" t="s">
        <v>5296</v>
      </c>
      <c r="B427" s="125" t="s">
        <v>1572</v>
      </c>
      <c r="C427" s="138">
        <v>1.82</v>
      </c>
      <c r="D427" s="138">
        <v>109.2</v>
      </c>
      <c r="E427" s="138">
        <v>32.967032967032964</v>
      </c>
      <c r="F427" s="139">
        <v>1.82</v>
      </c>
      <c r="H427" t="str">
        <f t="shared" si="8"/>
        <v>15000601500060722</v>
      </c>
    </row>
    <row r="428" spans="1:8" ht="15" customHeight="1" x14ac:dyDescent="0.25">
      <c r="A428" s="110" t="s">
        <v>5297</v>
      </c>
      <c r="B428" s="125" t="s">
        <v>631</v>
      </c>
      <c r="C428" s="138">
        <v>0.41</v>
      </c>
      <c r="D428" s="138">
        <v>24.599999999999998</v>
      </c>
      <c r="E428" s="138">
        <v>146.34146341463415</v>
      </c>
      <c r="F428" s="139">
        <v>0.41</v>
      </c>
      <c r="H428" t="str">
        <f t="shared" si="8"/>
        <v>15000601500060723</v>
      </c>
    </row>
    <row r="429" spans="1:8" ht="15" customHeight="1" x14ac:dyDescent="0.25">
      <c r="A429" s="110" t="s">
        <v>5297</v>
      </c>
      <c r="B429" s="125" t="s">
        <v>1573</v>
      </c>
      <c r="C429" s="138">
        <v>1.82</v>
      </c>
      <c r="D429" s="138">
        <v>109.2</v>
      </c>
      <c r="E429" s="138">
        <v>32.967032967032964</v>
      </c>
      <c r="F429" s="139">
        <v>1.82</v>
      </c>
      <c r="H429" t="str">
        <f t="shared" si="8"/>
        <v>15000601500060723</v>
      </c>
    </row>
    <row r="430" spans="1:8" ht="15" customHeight="1" x14ac:dyDescent="0.25">
      <c r="A430" s="110" t="s">
        <v>5298</v>
      </c>
      <c r="B430" s="125" t="s">
        <v>949</v>
      </c>
      <c r="C430" s="138">
        <v>0.42</v>
      </c>
      <c r="D430" s="138">
        <v>25.2</v>
      </c>
      <c r="E430" s="138">
        <v>142.85714285714286</v>
      </c>
      <c r="F430" s="139">
        <v>0.42</v>
      </c>
      <c r="H430" t="str">
        <f t="shared" ref="H430:H493" si="9">CONCATENATE($G$45,A430)</f>
        <v>15000601500060724</v>
      </c>
    </row>
    <row r="431" spans="1:8" ht="15" customHeight="1" x14ac:dyDescent="0.25">
      <c r="A431" s="110" t="s">
        <v>5298</v>
      </c>
      <c r="B431" s="125" t="s">
        <v>1574</v>
      </c>
      <c r="C431" s="138">
        <v>1</v>
      </c>
      <c r="D431" s="138">
        <v>60</v>
      </c>
      <c r="E431" s="138">
        <v>60</v>
      </c>
      <c r="F431" s="139">
        <v>1</v>
      </c>
      <c r="H431" t="str">
        <f t="shared" si="9"/>
        <v>15000601500060724</v>
      </c>
    </row>
    <row r="432" spans="1:8" ht="15" customHeight="1" x14ac:dyDescent="0.25">
      <c r="A432" s="110" t="s">
        <v>5299</v>
      </c>
      <c r="B432" s="125" t="s">
        <v>950</v>
      </c>
      <c r="C432" s="138">
        <v>0.42</v>
      </c>
      <c r="D432" s="138">
        <v>25.2</v>
      </c>
      <c r="E432" s="138">
        <v>142.85714285714286</v>
      </c>
      <c r="F432" s="139">
        <v>0.42</v>
      </c>
      <c r="H432" t="str">
        <f t="shared" si="9"/>
        <v>15000601500060725</v>
      </c>
    </row>
    <row r="433" spans="1:8" ht="15" customHeight="1" x14ac:dyDescent="0.25">
      <c r="A433" s="110" t="s">
        <v>5299</v>
      </c>
      <c r="B433" s="125" t="s">
        <v>1575</v>
      </c>
      <c r="C433" s="138">
        <v>1</v>
      </c>
      <c r="D433" s="138">
        <v>60</v>
      </c>
      <c r="E433" s="138">
        <v>60</v>
      </c>
      <c r="F433" s="139">
        <v>1</v>
      </c>
      <c r="H433" t="str">
        <f t="shared" si="9"/>
        <v>15000601500060725</v>
      </c>
    </row>
    <row r="434" spans="1:8" ht="15" customHeight="1" x14ac:dyDescent="0.25">
      <c r="A434" s="110" t="s">
        <v>5300</v>
      </c>
      <c r="B434" s="125" t="s">
        <v>951</v>
      </c>
      <c r="C434" s="138">
        <v>0.45</v>
      </c>
      <c r="D434" s="138">
        <v>27</v>
      </c>
      <c r="E434" s="138">
        <v>133.33333333333334</v>
      </c>
      <c r="F434" s="139">
        <v>0.45</v>
      </c>
      <c r="H434" t="str">
        <f t="shared" si="9"/>
        <v>15000601500060726</v>
      </c>
    </row>
    <row r="435" spans="1:8" ht="15" customHeight="1" x14ac:dyDescent="0.25">
      <c r="A435" s="110" t="s">
        <v>5300</v>
      </c>
      <c r="B435" s="125" t="s">
        <v>1576</v>
      </c>
      <c r="C435" s="138">
        <v>1</v>
      </c>
      <c r="D435" s="138">
        <v>60</v>
      </c>
      <c r="E435" s="138">
        <v>60</v>
      </c>
      <c r="F435" s="139">
        <v>1</v>
      </c>
      <c r="H435" t="str">
        <f t="shared" si="9"/>
        <v>15000601500060726</v>
      </c>
    </row>
    <row r="436" spans="1:8" ht="15" customHeight="1" x14ac:dyDescent="0.25">
      <c r="A436" s="110" t="s">
        <v>5301</v>
      </c>
      <c r="B436" s="125" t="s">
        <v>952</v>
      </c>
      <c r="C436" s="138">
        <v>0.45</v>
      </c>
      <c r="D436" s="138">
        <v>27</v>
      </c>
      <c r="E436" s="138">
        <v>133.33333333333334</v>
      </c>
      <c r="F436" s="139">
        <v>0.45</v>
      </c>
      <c r="H436" t="str">
        <f t="shared" si="9"/>
        <v>15000601500060727</v>
      </c>
    </row>
    <row r="437" spans="1:8" ht="15" customHeight="1" x14ac:dyDescent="0.25">
      <c r="A437" s="110" t="s">
        <v>5301</v>
      </c>
      <c r="B437" s="125" t="s">
        <v>1577</v>
      </c>
      <c r="C437" s="138">
        <v>1</v>
      </c>
      <c r="D437" s="138">
        <v>60</v>
      </c>
      <c r="E437" s="138">
        <v>60</v>
      </c>
      <c r="F437" s="139">
        <v>1</v>
      </c>
      <c r="H437" t="str">
        <f t="shared" si="9"/>
        <v>15000601500060727</v>
      </c>
    </row>
    <row r="438" spans="1:8" ht="15" customHeight="1" x14ac:dyDescent="0.25">
      <c r="A438" s="110" t="s">
        <v>5302</v>
      </c>
      <c r="B438" s="125" t="s">
        <v>953</v>
      </c>
      <c r="C438" s="138">
        <v>0.44</v>
      </c>
      <c r="D438" s="138">
        <v>26.4</v>
      </c>
      <c r="E438" s="138">
        <v>136.36363636363637</v>
      </c>
      <c r="F438" s="139">
        <v>0.44</v>
      </c>
      <c r="H438" t="str">
        <f t="shared" si="9"/>
        <v>15000601500060728</v>
      </c>
    </row>
    <row r="439" spans="1:8" ht="15" customHeight="1" x14ac:dyDescent="0.25">
      <c r="A439" s="110" t="s">
        <v>5302</v>
      </c>
      <c r="B439" s="125" t="s">
        <v>1578</v>
      </c>
      <c r="C439" s="138">
        <v>1.4</v>
      </c>
      <c r="D439" s="138">
        <v>84</v>
      </c>
      <c r="E439" s="138">
        <v>42.857142857142854</v>
      </c>
      <c r="F439" s="139">
        <v>1.4</v>
      </c>
      <c r="H439" t="str">
        <f t="shared" si="9"/>
        <v>15000601500060728</v>
      </c>
    </row>
    <row r="440" spans="1:8" x14ac:dyDescent="0.25">
      <c r="A440" s="110" t="s">
        <v>5303</v>
      </c>
      <c r="B440" s="125" t="s">
        <v>954</v>
      </c>
      <c r="C440" s="138">
        <v>0.44</v>
      </c>
      <c r="D440" s="138">
        <v>26.4</v>
      </c>
      <c r="E440" s="138">
        <v>136.36363636363637</v>
      </c>
      <c r="F440" s="139">
        <v>0.44</v>
      </c>
      <c r="H440" t="str">
        <f t="shared" si="9"/>
        <v>15000601500060729</v>
      </c>
    </row>
    <row r="441" spans="1:8" ht="15" customHeight="1" x14ac:dyDescent="0.25">
      <c r="A441" s="110" t="s">
        <v>5303</v>
      </c>
      <c r="B441" s="125" t="s">
        <v>1579</v>
      </c>
      <c r="C441" s="138">
        <v>1.4</v>
      </c>
      <c r="D441" s="138">
        <v>84</v>
      </c>
      <c r="E441" s="138">
        <v>42.857142857142854</v>
      </c>
      <c r="F441" s="139">
        <v>1.4</v>
      </c>
      <c r="H441" t="str">
        <f t="shared" si="9"/>
        <v>15000601500060729</v>
      </c>
    </row>
    <row r="442" spans="1:8" ht="15" customHeight="1" x14ac:dyDescent="0.25">
      <c r="A442" s="110" t="s">
        <v>5304</v>
      </c>
      <c r="B442" s="125" t="s">
        <v>955</v>
      </c>
      <c r="C442" s="138">
        <v>0.32</v>
      </c>
      <c r="D442" s="138">
        <v>19.2</v>
      </c>
      <c r="E442" s="138">
        <v>187.5</v>
      </c>
      <c r="F442" s="139">
        <v>0.32</v>
      </c>
      <c r="H442" t="str">
        <f t="shared" si="9"/>
        <v>15000601500060730</v>
      </c>
    </row>
    <row r="443" spans="1:8" ht="15" customHeight="1" x14ac:dyDescent="0.25">
      <c r="A443" s="110" t="s">
        <v>5304</v>
      </c>
      <c r="B443" s="125" t="s">
        <v>1580</v>
      </c>
      <c r="C443" s="138">
        <v>1.4</v>
      </c>
      <c r="D443" s="138">
        <v>84</v>
      </c>
      <c r="E443" s="138">
        <v>42.857142857142854</v>
      </c>
      <c r="F443" s="139">
        <v>1.4</v>
      </c>
      <c r="H443" t="str">
        <f t="shared" si="9"/>
        <v>15000601500060730</v>
      </c>
    </row>
    <row r="444" spans="1:8" ht="15" customHeight="1" x14ac:dyDescent="0.25">
      <c r="A444" s="110" t="s">
        <v>5305</v>
      </c>
      <c r="B444" s="125" t="s">
        <v>956</v>
      </c>
      <c r="C444" s="138">
        <v>0.32</v>
      </c>
      <c r="D444" s="138">
        <v>19.2</v>
      </c>
      <c r="E444" s="138">
        <v>187.5</v>
      </c>
      <c r="F444" s="139">
        <v>0.32</v>
      </c>
      <c r="H444" t="str">
        <f t="shared" si="9"/>
        <v>15000601500060731</v>
      </c>
    </row>
    <row r="445" spans="1:8" ht="15" customHeight="1" x14ac:dyDescent="0.25">
      <c r="A445" s="110" t="s">
        <v>5305</v>
      </c>
      <c r="B445" s="125" t="s">
        <v>1581</v>
      </c>
      <c r="C445" s="138">
        <v>1.4</v>
      </c>
      <c r="D445" s="138">
        <v>84</v>
      </c>
      <c r="E445" s="138">
        <v>42.857142857142854</v>
      </c>
      <c r="F445" s="139">
        <v>1.4</v>
      </c>
      <c r="H445" t="str">
        <f t="shared" si="9"/>
        <v>15000601500060731</v>
      </c>
    </row>
    <row r="446" spans="1:8" ht="15" customHeight="1" x14ac:dyDescent="0.25">
      <c r="A446" s="110" t="s">
        <v>5306</v>
      </c>
      <c r="B446" s="125" t="s">
        <v>957</v>
      </c>
      <c r="C446" s="138">
        <v>0.4</v>
      </c>
      <c r="D446" s="138">
        <v>24</v>
      </c>
      <c r="E446" s="138">
        <v>150</v>
      </c>
      <c r="F446" s="139">
        <v>0.4</v>
      </c>
      <c r="H446" t="str">
        <f t="shared" si="9"/>
        <v>15000601500060732</v>
      </c>
    </row>
    <row r="447" spans="1:8" ht="15" customHeight="1" x14ac:dyDescent="0.25">
      <c r="A447" s="110" t="s">
        <v>5306</v>
      </c>
      <c r="B447" s="125" t="s">
        <v>1582</v>
      </c>
      <c r="C447" s="138">
        <v>1.35</v>
      </c>
      <c r="D447" s="138">
        <v>81</v>
      </c>
      <c r="E447" s="138">
        <v>44.444444444444443</v>
      </c>
      <c r="F447" s="139">
        <v>1.35</v>
      </c>
      <c r="H447" t="str">
        <f t="shared" si="9"/>
        <v>15000601500060732</v>
      </c>
    </row>
    <row r="448" spans="1:8" ht="15" customHeight="1" x14ac:dyDescent="0.25">
      <c r="A448" s="110" t="s">
        <v>5307</v>
      </c>
      <c r="B448" s="125" t="s">
        <v>958</v>
      </c>
      <c r="C448" s="138">
        <v>0.4</v>
      </c>
      <c r="D448" s="138">
        <v>24</v>
      </c>
      <c r="E448" s="138">
        <v>150</v>
      </c>
      <c r="F448" s="139">
        <v>0.4</v>
      </c>
      <c r="H448" t="str">
        <f t="shared" si="9"/>
        <v>15000601500060733</v>
      </c>
    </row>
    <row r="449" spans="1:8" ht="15" customHeight="1" x14ac:dyDescent="0.25">
      <c r="A449" s="110" t="s">
        <v>5307</v>
      </c>
      <c r="B449" s="125" t="s">
        <v>1583</v>
      </c>
      <c r="C449" s="138">
        <v>1.35</v>
      </c>
      <c r="D449" s="138">
        <v>81</v>
      </c>
      <c r="E449" s="138">
        <v>44.444444444444443</v>
      </c>
      <c r="F449" s="139">
        <v>1.35</v>
      </c>
      <c r="H449" t="str">
        <f t="shared" si="9"/>
        <v>15000601500060733</v>
      </c>
    </row>
    <row r="450" spans="1:8" ht="15" customHeight="1" x14ac:dyDescent="0.25">
      <c r="A450" s="110" t="s">
        <v>5308</v>
      </c>
      <c r="B450" s="125" t="s">
        <v>959</v>
      </c>
      <c r="C450" s="138">
        <v>0.39</v>
      </c>
      <c r="D450" s="138">
        <v>23.400000000000002</v>
      </c>
      <c r="E450" s="138">
        <v>153.84615384615384</v>
      </c>
      <c r="F450" s="139">
        <v>0.39</v>
      </c>
      <c r="H450" t="str">
        <f t="shared" si="9"/>
        <v>15000601500060734</v>
      </c>
    </row>
    <row r="451" spans="1:8" ht="15" customHeight="1" x14ac:dyDescent="0.25">
      <c r="A451" s="110" t="s">
        <v>5308</v>
      </c>
      <c r="B451" s="125" t="s">
        <v>1584</v>
      </c>
      <c r="C451" s="138">
        <v>1.2</v>
      </c>
      <c r="D451" s="138">
        <v>72</v>
      </c>
      <c r="E451" s="138">
        <v>50</v>
      </c>
      <c r="F451" s="139">
        <v>1.2</v>
      </c>
      <c r="H451" t="str">
        <f t="shared" si="9"/>
        <v>15000601500060734</v>
      </c>
    </row>
    <row r="452" spans="1:8" ht="15" customHeight="1" x14ac:dyDescent="0.25">
      <c r="A452" s="110" t="s">
        <v>5309</v>
      </c>
      <c r="B452" s="125" t="s">
        <v>960</v>
      </c>
      <c r="C452" s="138">
        <v>0.39</v>
      </c>
      <c r="D452" s="138">
        <v>23.400000000000002</v>
      </c>
      <c r="E452" s="138">
        <v>153.84615384615384</v>
      </c>
      <c r="F452" s="139">
        <v>0.39</v>
      </c>
      <c r="H452" t="str">
        <f t="shared" si="9"/>
        <v>15000601500060735</v>
      </c>
    </row>
    <row r="453" spans="1:8" ht="15" customHeight="1" x14ac:dyDescent="0.25">
      <c r="A453" s="110" t="s">
        <v>5309</v>
      </c>
      <c r="B453" s="125" t="s">
        <v>1585</v>
      </c>
      <c r="C453" s="138">
        <v>1.2</v>
      </c>
      <c r="D453" s="138">
        <v>72</v>
      </c>
      <c r="E453" s="138">
        <v>50</v>
      </c>
      <c r="F453" s="139">
        <v>1.2</v>
      </c>
      <c r="H453" t="str">
        <f t="shared" si="9"/>
        <v>15000601500060735</v>
      </c>
    </row>
    <row r="454" spans="1:8" ht="15" customHeight="1" x14ac:dyDescent="0.25">
      <c r="A454" s="110" t="s">
        <v>5310</v>
      </c>
      <c r="B454" s="125" t="s">
        <v>961</v>
      </c>
      <c r="C454" s="138">
        <v>0.44</v>
      </c>
      <c r="D454" s="138">
        <v>26.4</v>
      </c>
      <c r="E454" s="138">
        <v>136.36363636363637</v>
      </c>
      <c r="F454" s="139">
        <v>0.44</v>
      </c>
      <c r="H454" t="str">
        <f t="shared" si="9"/>
        <v>15000601500060736</v>
      </c>
    </row>
    <row r="455" spans="1:8" ht="15" customHeight="1" x14ac:dyDescent="0.25">
      <c r="A455" s="110" t="s">
        <v>5310</v>
      </c>
      <c r="B455" s="125" t="s">
        <v>1586</v>
      </c>
      <c r="C455" s="138">
        <v>1.2</v>
      </c>
      <c r="D455" s="138">
        <v>72</v>
      </c>
      <c r="E455" s="138">
        <v>50</v>
      </c>
      <c r="F455" s="139">
        <v>1.2</v>
      </c>
      <c r="H455" t="str">
        <f t="shared" si="9"/>
        <v>15000601500060736</v>
      </c>
    </row>
    <row r="456" spans="1:8" ht="15" customHeight="1" x14ac:dyDescent="0.25">
      <c r="A456" s="110" t="s">
        <v>5311</v>
      </c>
      <c r="B456" s="125" t="s">
        <v>962</v>
      </c>
      <c r="C456" s="138">
        <v>0.44</v>
      </c>
      <c r="D456" s="138">
        <v>26.4</v>
      </c>
      <c r="E456" s="138">
        <v>136.36363636363637</v>
      </c>
      <c r="F456" s="139">
        <v>0.44</v>
      </c>
      <c r="H456" t="str">
        <f t="shared" si="9"/>
        <v>15000601500060737</v>
      </c>
    </row>
    <row r="457" spans="1:8" ht="15" customHeight="1" x14ac:dyDescent="0.25">
      <c r="A457" s="110" t="s">
        <v>5311</v>
      </c>
      <c r="B457" s="125" t="s">
        <v>1587</v>
      </c>
      <c r="C457" s="138">
        <v>1.2</v>
      </c>
      <c r="D457" s="138">
        <v>72</v>
      </c>
      <c r="E457" s="138">
        <v>50</v>
      </c>
      <c r="F457" s="139">
        <v>1.2</v>
      </c>
      <c r="H457" t="str">
        <f t="shared" si="9"/>
        <v>15000601500060737</v>
      </c>
    </row>
    <row r="458" spans="1:8" ht="15" customHeight="1" x14ac:dyDescent="0.25">
      <c r="A458" s="110" t="s">
        <v>5312</v>
      </c>
      <c r="B458" s="125" t="s">
        <v>963</v>
      </c>
      <c r="C458" s="138">
        <v>0.53</v>
      </c>
      <c r="D458" s="138">
        <v>31.8</v>
      </c>
      <c r="E458" s="138">
        <v>113.20754716981132</v>
      </c>
      <c r="F458" s="139">
        <v>0.53</v>
      </c>
      <c r="H458" t="str">
        <f t="shared" si="9"/>
        <v>15000601500060738</v>
      </c>
    </row>
    <row r="459" spans="1:8" ht="15" customHeight="1" x14ac:dyDescent="0.25">
      <c r="A459" s="110" t="s">
        <v>5312</v>
      </c>
      <c r="B459" s="125" t="s">
        <v>1588</v>
      </c>
      <c r="C459" s="138">
        <v>1.48</v>
      </c>
      <c r="D459" s="138">
        <v>88.8</v>
      </c>
      <c r="E459" s="138">
        <v>40.54054054054054</v>
      </c>
      <c r="F459" s="139">
        <v>1.48</v>
      </c>
      <c r="H459" t="str">
        <f t="shared" si="9"/>
        <v>15000601500060738</v>
      </c>
    </row>
    <row r="460" spans="1:8" ht="15" customHeight="1" x14ac:dyDescent="0.25">
      <c r="A460" s="110" t="s">
        <v>5313</v>
      </c>
      <c r="B460" s="125" t="s">
        <v>964</v>
      </c>
      <c r="C460" s="138">
        <v>0.53</v>
      </c>
      <c r="D460" s="138">
        <v>31.8</v>
      </c>
      <c r="E460" s="138">
        <v>113.20754716981132</v>
      </c>
      <c r="F460" s="139">
        <v>0.53</v>
      </c>
      <c r="H460" t="str">
        <f t="shared" si="9"/>
        <v>15000601500060739</v>
      </c>
    </row>
    <row r="461" spans="1:8" ht="15" customHeight="1" x14ac:dyDescent="0.25">
      <c r="A461" s="110" t="s">
        <v>5313</v>
      </c>
      <c r="B461" s="125" t="s">
        <v>1589</v>
      </c>
      <c r="C461" s="138">
        <v>1.48</v>
      </c>
      <c r="D461" s="138">
        <v>88.8</v>
      </c>
      <c r="E461" s="138">
        <v>40.54054054054054</v>
      </c>
      <c r="F461" s="139">
        <v>1.48</v>
      </c>
      <c r="H461" t="str">
        <f t="shared" si="9"/>
        <v>15000601500060739</v>
      </c>
    </row>
    <row r="462" spans="1:8" ht="15" customHeight="1" x14ac:dyDescent="0.25">
      <c r="A462" s="110" t="s">
        <v>5314</v>
      </c>
      <c r="B462" s="125" t="s">
        <v>965</v>
      </c>
      <c r="C462" s="138">
        <v>0.38</v>
      </c>
      <c r="D462" s="138">
        <v>22.8</v>
      </c>
      <c r="E462" s="138">
        <v>157.89473684210526</v>
      </c>
      <c r="F462" s="139">
        <v>0.38</v>
      </c>
      <c r="H462" t="str">
        <f t="shared" si="9"/>
        <v>15000601500060740</v>
      </c>
    </row>
    <row r="463" spans="1:8" ht="15" customHeight="1" x14ac:dyDescent="0.25">
      <c r="A463" s="110" t="s">
        <v>5314</v>
      </c>
      <c r="B463" s="125" t="s">
        <v>1590</v>
      </c>
      <c r="C463" s="138">
        <v>1.48</v>
      </c>
      <c r="D463" s="138">
        <v>88.8</v>
      </c>
      <c r="E463" s="138">
        <v>40.54054054054054</v>
      </c>
      <c r="F463" s="139">
        <v>1.48</v>
      </c>
      <c r="H463" t="str">
        <f t="shared" si="9"/>
        <v>15000601500060740</v>
      </c>
    </row>
    <row r="464" spans="1:8" ht="15" customHeight="1" x14ac:dyDescent="0.25">
      <c r="A464" s="110" t="s">
        <v>5315</v>
      </c>
      <c r="B464" s="125" t="s">
        <v>966</v>
      </c>
      <c r="C464" s="138">
        <v>0.38</v>
      </c>
      <c r="D464" s="138">
        <v>22.8</v>
      </c>
      <c r="E464" s="138">
        <v>157.89473684210526</v>
      </c>
      <c r="F464" s="139">
        <v>0.38</v>
      </c>
      <c r="H464" t="str">
        <f t="shared" si="9"/>
        <v>15000601500060741</v>
      </c>
    </row>
    <row r="465" spans="1:8" ht="15" customHeight="1" x14ac:dyDescent="0.25">
      <c r="A465" s="110" t="s">
        <v>5315</v>
      </c>
      <c r="B465" s="125" t="s">
        <v>1591</v>
      </c>
      <c r="C465" s="138">
        <v>1.48</v>
      </c>
      <c r="D465" s="138">
        <v>88.8</v>
      </c>
      <c r="E465" s="138">
        <v>40.54054054054054</v>
      </c>
      <c r="F465" s="139">
        <v>1.48</v>
      </c>
      <c r="H465" t="str">
        <f t="shared" si="9"/>
        <v>15000601500060741</v>
      </c>
    </row>
    <row r="466" spans="1:8" ht="15" customHeight="1" x14ac:dyDescent="0.25">
      <c r="A466" s="110" t="s">
        <v>5316</v>
      </c>
      <c r="B466" s="125" t="s">
        <v>632</v>
      </c>
      <c r="C466" s="138">
        <v>0.42</v>
      </c>
      <c r="D466" s="138">
        <v>25.2</v>
      </c>
      <c r="E466" s="138">
        <v>142.85714285714286</v>
      </c>
      <c r="F466" s="139">
        <v>0.42</v>
      </c>
      <c r="H466" t="str">
        <f t="shared" si="9"/>
        <v>15000601500060742</v>
      </c>
    </row>
    <row r="467" spans="1:8" ht="15" customHeight="1" x14ac:dyDescent="0.25">
      <c r="A467" s="110" t="s">
        <v>5316</v>
      </c>
      <c r="B467" s="125" t="s">
        <v>1592</v>
      </c>
      <c r="C467" s="138">
        <v>1.18</v>
      </c>
      <c r="D467" s="138">
        <v>70.8</v>
      </c>
      <c r="E467" s="138">
        <v>50.847457627118644</v>
      </c>
      <c r="F467" s="139">
        <v>1.18</v>
      </c>
      <c r="H467" t="str">
        <f t="shared" si="9"/>
        <v>15000601500060742</v>
      </c>
    </row>
    <row r="468" spans="1:8" ht="15" customHeight="1" x14ac:dyDescent="0.25">
      <c r="A468" s="110" t="s">
        <v>5317</v>
      </c>
      <c r="B468" s="125" t="s">
        <v>794</v>
      </c>
      <c r="C468" s="138">
        <v>0.42</v>
      </c>
      <c r="D468" s="138">
        <v>25.2</v>
      </c>
      <c r="E468" s="138">
        <v>142.85714285714286</v>
      </c>
      <c r="F468" s="139">
        <v>0.42</v>
      </c>
      <c r="H468" t="str">
        <f t="shared" si="9"/>
        <v>15000601500060743</v>
      </c>
    </row>
    <row r="469" spans="1:8" ht="15" customHeight="1" x14ac:dyDescent="0.25">
      <c r="A469" s="110" t="s">
        <v>5317</v>
      </c>
      <c r="B469" s="125" t="s">
        <v>1593</v>
      </c>
      <c r="C469" s="138">
        <v>1.18</v>
      </c>
      <c r="D469" s="138">
        <v>70.8</v>
      </c>
      <c r="E469" s="138">
        <v>50.847457627118644</v>
      </c>
      <c r="F469" s="139">
        <v>1.18</v>
      </c>
      <c r="H469" t="str">
        <f t="shared" si="9"/>
        <v>15000601500060743</v>
      </c>
    </row>
    <row r="470" spans="1:8" ht="15" customHeight="1" x14ac:dyDescent="0.25">
      <c r="A470" s="110" t="s">
        <v>5318</v>
      </c>
      <c r="B470" s="125" t="s">
        <v>967</v>
      </c>
      <c r="C470" s="138">
        <v>0.56999999999999995</v>
      </c>
      <c r="D470" s="138">
        <v>34.199999999999996</v>
      </c>
      <c r="E470" s="138">
        <v>105.26315789473685</v>
      </c>
      <c r="F470" s="139">
        <v>0.56999999999999995</v>
      </c>
      <c r="H470" t="str">
        <f t="shared" si="9"/>
        <v>15000601500060744</v>
      </c>
    </row>
    <row r="471" spans="1:8" ht="15" customHeight="1" x14ac:dyDescent="0.25">
      <c r="A471" s="110" t="s">
        <v>5318</v>
      </c>
      <c r="B471" s="125" t="s">
        <v>1594</v>
      </c>
      <c r="C471" s="138">
        <v>1.18</v>
      </c>
      <c r="D471" s="138">
        <v>70.8</v>
      </c>
      <c r="E471" s="138">
        <v>50.847457627118644</v>
      </c>
      <c r="F471" s="139">
        <v>1.18</v>
      </c>
      <c r="H471" t="str">
        <f t="shared" si="9"/>
        <v>15000601500060744</v>
      </c>
    </row>
    <row r="472" spans="1:8" ht="15" customHeight="1" x14ac:dyDescent="0.25">
      <c r="A472" s="110" t="s">
        <v>5319</v>
      </c>
      <c r="B472" s="125" t="s">
        <v>968</v>
      </c>
      <c r="C472" s="138">
        <v>0.56999999999999995</v>
      </c>
      <c r="D472" s="138">
        <v>34.199999999999996</v>
      </c>
      <c r="E472" s="138">
        <v>105.26315789473685</v>
      </c>
      <c r="F472" s="139">
        <v>0.56999999999999995</v>
      </c>
      <c r="H472" t="str">
        <f t="shared" si="9"/>
        <v>15000601500060745</v>
      </c>
    </row>
    <row r="473" spans="1:8" ht="15" customHeight="1" x14ac:dyDescent="0.25">
      <c r="A473" s="110" t="s">
        <v>5319</v>
      </c>
      <c r="B473" s="125" t="s">
        <v>1595</v>
      </c>
      <c r="C473" s="138">
        <v>1.18</v>
      </c>
      <c r="D473" s="138">
        <v>70.8</v>
      </c>
      <c r="E473" s="138">
        <v>50.847457627118644</v>
      </c>
      <c r="F473" s="139">
        <v>1.18</v>
      </c>
      <c r="H473" t="str">
        <f t="shared" si="9"/>
        <v>15000601500060745</v>
      </c>
    </row>
    <row r="474" spans="1:8" ht="15" customHeight="1" x14ac:dyDescent="0.25">
      <c r="A474" s="110" t="s">
        <v>5320</v>
      </c>
      <c r="B474" s="125" t="s">
        <v>969</v>
      </c>
      <c r="C474" s="138">
        <v>0.46</v>
      </c>
      <c r="D474" s="138">
        <v>27.6</v>
      </c>
      <c r="E474" s="138">
        <v>130.43478260869566</v>
      </c>
      <c r="F474" s="139">
        <v>0.46</v>
      </c>
      <c r="H474" t="str">
        <f t="shared" si="9"/>
        <v>15000601500060746</v>
      </c>
    </row>
    <row r="475" spans="1:8" ht="15" customHeight="1" x14ac:dyDescent="0.25">
      <c r="A475" s="110" t="s">
        <v>5320</v>
      </c>
      <c r="B475" s="125" t="s">
        <v>1596</v>
      </c>
      <c r="C475" s="138">
        <v>1.4</v>
      </c>
      <c r="D475" s="138">
        <v>84</v>
      </c>
      <c r="E475" s="138">
        <v>42.857142857142854</v>
      </c>
      <c r="F475" s="139">
        <v>1.4</v>
      </c>
      <c r="H475" t="str">
        <f t="shared" si="9"/>
        <v>15000601500060746</v>
      </c>
    </row>
    <row r="476" spans="1:8" ht="15" customHeight="1" x14ac:dyDescent="0.25">
      <c r="A476" s="110" t="s">
        <v>5321</v>
      </c>
      <c r="B476" s="125" t="s">
        <v>970</v>
      </c>
      <c r="C476" s="138">
        <v>0.46</v>
      </c>
      <c r="D476" s="138">
        <v>27.6</v>
      </c>
      <c r="E476" s="138">
        <v>130.43478260869566</v>
      </c>
      <c r="F476" s="139">
        <v>0.46</v>
      </c>
      <c r="H476" t="str">
        <f t="shared" si="9"/>
        <v>15000601500060747</v>
      </c>
    </row>
    <row r="477" spans="1:8" ht="15" customHeight="1" x14ac:dyDescent="0.25">
      <c r="A477" s="110" t="s">
        <v>5321</v>
      </c>
      <c r="B477" s="125" t="s">
        <v>1597</v>
      </c>
      <c r="C477" s="138">
        <v>1.4</v>
      </c>
      <c r="D477" s="138">
        <v>84</v>
      </c>
      <c r="E477" s="138">
        <v>42.857142857142854</v>
      </c>
      <c r="F477" s="139">
        <v>1.4</v>
      </c>
      <c r="H477" t="str">
        <f t="shared" si="9"/>
        <v>15000601500060747</v>
      </c>
    </row>
    <row r="478" spans="1:8" ht="15" customHeight="1" x14ac:dyDescent="0.25">
      <c r="A478" s="110" t="s">
        <v>5322</v>
      </c>
      <c r="B478" s="125" t="s">
        <v>971</v>
      </c>
      <c r="C478" s="138">
        <v>0.46</v>
      </c>
      <c r="D478" s="138">
        <v>27.6</v>
      </c>
      <c r="E478" s="138">
        <v>130.43478260869566</v>
      </c>
      <c r="F478" s="139">
        <v>0.46</v>
      </c>
      <c r="H478" t="str">
        <f t="shared" si="9"/>
        <v>15000601500060748</v>
      </c>
    </row>
    <row r="479" spans="1:8" ht="15" customHeight="1" x14ac:dyDescent="0.25">
      <c r="A479" s="110" t="s">
        <v>5322</v>
      </c>
      <c r="B479" s="125" t="s">
        <v>1598</v>
      </c>
      <c r="C479" s="138">
        <v>1.4</v>
      </c>
      <c r="D479" s="138">
        <v>84</v>
      </c>
      <c r="E479" s="138">
        <v>42.857142857142854</v>
      </c>
      <c r="F479" s="139">
        <v>1.4</v>
      </c>
      <c r="H479" t="str">
        <f t="shared" si="9"/>
        <v>15000601500060748</v>
      </c>
    </row>
    <row r="480" spans="1:8" ht="15" customHeight="1" x14ac:dyDescent="0.25">
      <c r="A480" s="110" t="s">
        <v>5323</v>
      </c>
      <c r="B480" s="125" t="s">
        <v>972</v>
      </c>
      <c r="C480" s="138">
        <v>0.46</v>
      </c>
      <c r="D480" s="138">
        <v>27.6</v>
      </c>
      <c r="E480" s="138">
        <v>130.43478260869566</v>
      </c>
      <c r="F480" s="139">
        <v>0.46</v>
      </c>
      <c r="H480" t="str">
        <f t="shared" si="9"/>
        <v>15000601500060749</v>
      </c>
    </row>
    <row r="481" spans="1:8" ht="15" customHeight="1" x14ac:dyDescent="0.25">
      <c r="A481" s="110" t="s">
        <v>5323</v>
      </c>
      <c r="B481" s="125" t="s">
        <v>1599</v>
      </c>
      <c r="C481" s="138">
        <v>1.4</v>
      </c>
      <c r="D481" s="138">
        <v>84</v>
      </c>
      <c r="E481" s="138">
        <v>42.857142857142854</v>
      </c>
      <c r="F481" s="139">
        <v>1.4</v>
      </c>
      <c r="H481" t="str">
        <f t="shared" si="9"/>
        <v>15000601500060749</v>
      </c>
    </row>
    <row r="482" spans="1:8" ht="15" customHeight="1" x14ac:dyDescent="0.25">
      <c r="A482" s="110" t="s">
        <v>5324</v>
      </c>
      <c r="B482" s="125" t="s">
        <v>973</v>
      </c>
      <c r="C482" s="138">
        <v>0.39</v>
      </c>
      <c r="D482" s="138">
        <v>23.400000000000002</v>
      </c>
      <c r="E482" s="138">
        <v>153.84615384615384</v>
      </c>
      <c r="F482" s="139">
        <v>0.39</v>
      </c>
      <c r="H482" t="str">
        <f t="shared" si="9"/>
        <v>15000601500060750</v>
      </c>
    </row>
    <row r="483" spans="1:8" ht="15" customHeight="1" x14ac:dyDescent="0.25">
      <c r="A483" s="110" t="s">
        <v>5324</v>
      </c>
      <c r="B483" s="125" t="s">
        <v>1600</v>
      </c>
      <c r="C483" s="138">
        <v>1.4</v>
      </c>
      <c r="D483" s="138">
        <v>84</v>
      </c>
      <c r="E483" s="138">
        <v>42.857142857142854</v>
      </c>
      <c r="F483" s="139">
        <v>1.4</v>
      </c>
      <c r="H483" t="str">
        <f t="shared" si="9"/>
        <v>15000601500060750</v>
      </c>
    </row>
    <row r="484" spans="1:8" ht="15" customHeight="1" x14ac:dyDescent="0.25">
      <c r="A484" s="110" t="s">
        <v>5325</v>
      </c>
      <c r="B484" s="125" t="s">
        <v>974</v>
      </c>
      <c r="C484" s="138">
        <v>0.39</v>
      </c>
      <c r="D484" s="138">
        <v>23.400000000000002</v>
      </c>
      <c r="E484" s="138">
        <v>153.84615384615384</v>
      </c>
      <c r="F484" s="139">
        <v>0.39</v>
      </c>
      <c r="H484" t="str">
        <f t="shared" si="9"/>
        <v>15000601500060751</v>
      </c>
    </row>
    <row r="485" spans="1:8" ht="15" customHeight="1" x14ac:dyDescent="0.25">
      <c r="A485" s="110" t="s">
        <v>5325</v>
      </c>
      <c r="B485" s="125" t="s">
        <v>1601</v>
      </c>
      <c r="C485" s="138">
        <v>1.4</v>
      </c>
      <c r="D485" s="138">
        <v>84</v>
      </c>
      <c r="E485" s="138">
        <v>42.857142857142854</v>
      </c>
      <c r="F485" s="139">
        <v>1.4</v>
      </c>
      <c r="H485" t="str">
        <f t="shared" si="9"/>
        <v>15000601500060751</v>
      </c>
    </row>
    <row r="486" spans="1:8" ht="15" customHeight="1" x14ac:dyDescent="0.25">
      <c r="A486" s="110" t="s">
        <v>5326</v>
      </c>
      <c r="B486" s="125" t="s">
        <v>975</v>
      </c>
      <c r="C486" s="138">
        <v>0.37</v>
      </c>
      <c r="D486" s="138">
        <v>22.2</v>
      </c>
      <c r="E486" s="138">
        <v>162.16216216216216</v>
      </c>
      <c r="F486" s="139">
        <v>0.37</v>
      </c>
      <c r="H486" t="str">
        <f t="shared" si="9"/>
        <v>15000601500060752</v>
      </c>
    </row>
    <row r="487" spans="1:8" ht="15" customHeight="1" x14ac:dyDescent="0.25">
      <c r="A487" s="110" t="s">
        <v>5326</v>
      </c>
      <c r="B487" s="125" t="s">
        <v>1602</v>
      </c>
      <c r="C487" s="138">
        <v>1.4</v>
      </c>
      <c r="D487" s="138">
        <v>84</v>
      </c>
      <c r="E487" s="138">
        <v>42.857142857142854</v>
      </c>
      <c r="F487" s="139">
        <v>1.4</v>
      </c>
      <c r="H487" t="str">
        <f t="shared" si="9"/>
        <v>15000601500060752</v>
      </c>
    </row>
    <row r="488" spans="1:8" ht="15" customHeight="1" x14ac:dyDescent="0.25">
      <c r="A488" s="110" t="s">
        <v>5327</v>
      </c>
      <c r="B488" s="125" t="s">
        <v>976</v>
      </c>
      <c r="C488" s="138">
        <v>0.37</v>
      </c>
      <c r="D488" s="138">
        <v>22.2</v>
      </c>
      <c r="E488" s="138">
        <v>162.16216216216216</v>
      </c>
      <c r="F488" s="139">
        <v>0.37</v>
      </c>
      <c r="H488" t="str">
        <f t="shared" si="9"/>
        <v>15000601500060753</v>
      </c>
    </row>
    <row r="489" spans="1:8" ht="15" customHeight="1" x14ac:dyDescent="0.25">
      <c r="A489" s="110" t="s">
        <v>5327</v>
      </c>
      <c r="B489" s="125" t="s">
        <v>1603</v>
      </c>
      <c r="C489" s="138">
        <v>1.4</v>
      </c>
      <c r="D489" s="138">
        <v>84</v>
      </c>
      <c r="E489" s="138">
        <v>42.857142857142854</v>
      </c>
      <c r="F489" s="139">
        <v>1.4</v>
      </c>
      <c r="H489" t="str">
        <f t="shared" si="9"/>
        <v>15000601500060753</v>
      </c>
    </row>
    <row r="490" spans="1:8" ht="15" customHeight="1" x14ac:dyDescent="0.25">
      <c r="A490" s="110" t="s">
        <v>5328</v>
      </c>
      <c r="B490" s="125" t="s">
        <v>977</v>
      </c>
      <c r="C490" s="138">
        <v>0.39</v>
      </c>
      <c r="D490" s="138">
        <v>23.400000000000002</v>
      </c>
      <c r="E490" s="138">
        <v>153.84615384615384</v>
      </c>
      <c r="F490" s="139">
        <v>0.39</v>
      </c>
      <c r="H490" t="str">
        <f t="shared" si="9"/>
        <v>15000601500060754</v>
      </c>
    </row>
    <row r="491" spans="1:8" ht="15" customHeight="1" x14ac:dyDescent="0.25">
      <c r="A491" s="110" t="s">
        <v>5328</v>
      </c>
      <c r="B491" s="125" t="s">
        <v>1604</v>
      </c>
      <c r="C491" s="138">
        <v>0</v>
      </c>
      <c r="D491" s="138">
        <v>0</v>
      </c>
      <c r="E491" s="138" t="e">
        <v>#DIV/0!</v>
      </c>
      <c r="F491" s="139">
        <v>0</v>
      </c>
      <c r="H491" t="str">
        <f t="shared" si="9"/>
        <v>15000601500060754</v>
      </c>
    </row>
    <row r="492" spans="1:8" ht="15" customHeight="1" x14ac:dyDescent="0.25">
      <c r="A492" s="110" t="s">
        <v>5329</v>
      </c>
      <c r="B492" s="125" t="s">
        <v>978</v>
      </c>
      <c r="C492" s="138">
        <v>0.39</v>
      </c>
      <c r="D492" s="138">
        <v>23.400000000000002</v>
      </c>
      <c r="E492" s="138">
        <v>153.84615384615384</v>
      </c>
      <c r="F492" s="139">
        <v>0.39</v>
      </c>
      <c r="H492" t="str">
        <f t="shared" si="9"/>
        <v>15000601500060755</v>
      </c>
    </row>
    <row r="493" spans="1:8" ht="15" customHeight="1" x14ac:dyDescent="0.25">
      <c r="A493" s="110" t="s">
        <v>5329</v>
      </c>
      <c r="B493" s="125" t="s">
        <v>1605</v>
      </c>
      <c r="C493" s="138">
        <v>0</v>
      </c>
      <c r="D493" s="138">
        <v>0</v>
      </c>
      <c r="E493" s="138" t="e">
        <v>#DIV/0!</v>
      </c>
      <c r="F493" s="139">
        <v>0</v>
      </c>
      <c r="H493" t="str">
        <f t="shared" si="9"/>
        <v>15000601500060755</v>
      </c>
    </row>
    <row r="494" spans="1:8" ht="15" customHeight="1" x14ac:dyDescent="0.25">
      <c r="A494" s="110" t="s">
        <v>5330</v>
      </c>
      <c r="B494" s="125" t="s">
        <v>516</v>
      </c>
      <c r="C494" s="138">
        <v>0.42</v>
      </c>
      <c r="D494" s="138">
        <v>25.2</v>
      </c>
      <c r="E494" s="138">
        <v>142.85714285714286</v>
      </c>
      <c r="F494" s="139">
        <v>0.42</v>
      </c>
      <c r="H494" t="str">
        <f t="shared" ref="H494:H557" si="10">CONCATENATE($G$45,A494)</f>
        <v>15000601500060756</v>
      </c>
    </row>
    <row r="495" spans="1:8" ht="15" customHeight="1" x14ac:dyDescent="0.25">
      <c r="A495" s="110" t="s">
        <v>5330</v>
      </c>
      <c r="B495" s="125" t="s">
        <v>1606</v>
      </c>
      <c r="C495" s="138">
        <v>0</v>
      </c>
      <c r="D495" s="138">
        <v>0</v>
      </c>
      <c r="E495" s="138" t="e">
        <v>#DIV/0!</v>
      </c>
      <c r="F495" s="139">
        <v>0</v>
      </c>
      <c r="H495" t="str">
        <f t="shared" si="10"/>
        <v>15000601500060756</v>
      </c>
    </row>
    <row r="496" spans="1:8" ht="15" customHeight="1" x14ac:dyDescent="0.25">
      <c r="A496" s="110" t="s">
        <v>5331</v>
      </c>
      <c r="B496" s="125" t="s">
        <v>516</v>
      </c>
      <c r="C496" s="138">
        <v>0.42</v>
      </c>
      <c r="D496" s="138">
        <v>25.2</v>
      </c>
      <c r="E496" s="138">
        <v>142.85714285714286</v>
      </c>
      <c r="F496" s="139">
        <v>0.42</v>
      </c>
      <c r="H496" t="str">
        <f t="shared" si="10"/>
        <v>15000601500060757</v>
      </c>
    </row>
    <row r="497" spans="1:8" ht="15" customHeight="1" x14ac:dyDescent="0.25">
      <c r="A497" s="110" t="s">
        <v>5331</v>
      </c>
      <c r="B497" s="125" t="s">
        <v>1607</v>
      </c>
      <c r="C497" s="138">
        <v>0</v>
      </c>
      <c r="D497" s="138">
        <v>0</v>
      </c>
      <c r="E497" s="138" t="e">
        <v>#DIV/0!</v>
      </c>
      <c r="F497" s="139">
        <v>0</v>
      </c>
      <c r="H497" t="str">
        <f t="shared" si="10"/>
        <v>15000601500060757</v>
      </c>
    </row>
    <row r="498" spans="1:8" ht="15" customHeight="1" x14ac:dyDescent="0.25">
      <c r="A498" s="110" t="s">
        <v>5332</v>
      </c>
      <c r="B498" s="125" t="s">
        <v>517</v>
      </c>
      <c r="C498" s="138">
        <v>0.55000000000000004</v>
      </c>
      <c r="D498" s="138">
        <v>33</v>
      </c>
      <c r="E498" s="138">
        <v>109.09090909090909</v>
      </c>
      <c r="F498" s="139">
        <v>0.55000000000000004</v>
      </c>
      <c r="H498" t="str">
        <f t="shared" si="10"/>
        <v>15000601500060758</v>
      </c>
    </row>
    <row r="499" spans="1:8" ht="15" customHeight="1" x14ac:dyDescent="0.25">
      <c r="A499" s="110" t="s">
        <v>5332</v>
      </c>
      <c r="B499" s="125" t="s">
        <v>1608</v>
      </c>
      <c r="C499" s="138">
        <v>0</v>
      </c>
      <c r="D499" s="138">
        <v>0</v>
      </c>
      <c r="E499" s="138" t="e">
        <v>#DIV/0!</v>
      </c>
      <c r="F499" s="139">
        <v>0</v>
      </c>
      <c r="H499" t="str">
        <f t="shared" si="10"/>
        <v>15000601500060758</v>
      </c>
    </row>
    <row r="500" spans="1:8" ht="15" customHeight="1" x14ac:dyDescent="0.25">
      <c r="A500" s="110" t="s">
        <v>5333</v>
      </c>
      <c r="B500" s="125" t="s">
        <v>518</v>
      </c>
      <c r="C500" s="138">
        <v>0.55000000000000004</v>
      </c>
      <c r="D500" s="138">
        <v>33</v>
      </c>
      <c r="E500" s="138">
        <v>109.09090909090909</v>
      </c>
      <c r="F500" s="139">
        <v>0.55000000000000004</v>
      </c>
      <c r="H500" t="str">
        <f t="shared" si="10"/>
        <v>15000601500060759</v>
      </c>
    </row>
    <row r="501" spans="1:8" ht="15" customHeight="1" x14ac:dyDescent="0.25">
      <c r="A501" s="110" t="s">
        <v>5333</v>
      </c>
      <c r="B501" s="125" t="s">
        <v>1609</v>
      </c>
      <c r="C501" s="138">
        <v>0</v>
      </c>
      <c r="D501" s="138">
        <v>0</v>
      </c>
      <c r="E501" s="138" t="e">
        <v>#DIV/0!</v>
      </c>
      <c r="F501" s="139">
        <v>0</v>
      </c>
      <c r="H501" t="str">
        <f t="shared" si="10"/>
        <v>15000601500060759</v>
      </c>
    </row>
    <row r="502" spans="1:8" ht="15" customHeight="1" x14ac:dyDescent="0.25">
      <c r="A502" s="110" t="s">
        <v>5334</v>
      </c>
      <c r="B502" s="125" t="s">
        <v>519</v>
      </c>
      <c r="C502" s="138">
        <v>0.42</v>
      </c>
      <c r="D502" s="138">
        <v>25.2</v>
      </c>
      <c r="E502" s="138">
        <v>142.85714285714286</v>
      </c>
      <c r="F502" s="139">
        <v>0.42</v>
      </c>
      <c r="H502" t="str">
        <f t="shared" si="10"/>
        <v>15000601500060760</v>
      </c>
    </row>
    <row r="503" spans="1:8" ht="15" customHeight="1" x14ac:dyDescent="0.25">
      <c r="A503" s="110" t="s">
        <v>5334</v>
      </c>
      <c r="B503" s="125" t="s">
        <v>1610</v>
      </c>
      <c r="C503" s="138">
        <v>0.8</v>
      </c>
      <c r="D503" s="138">
        <v>48</v>
      </c>
      <c r="E503" s="138">
        <v>75</v>
      </c>
      <c r="F503" s="139">
        <v>0.8</v>
      </c>
      <c r="H503" t="str">
        <f t="shared" si="10"/>
        <v>15000601500060760</v>
      </c>
    </row>
    <row r="504" spans="1:8" ht="15" customHeight="1" x14ac:dyDescent="0.25">
      <c r="A504" s="110" t="s">
        <v>5335</v>
      </c>
      <c r="B504" s="125" t="s">
        <v>520</v>
      </c>
      <c r="C504" s="138">
        <v>0.42</v>
      </c>
      <c r="D504" s="138">
        <v>25.2</v>
      </c>
      <c r="E504" s="138">
        <v>142.85714285714286</v>
      </c>
      <c r="F504" s="139">
        <v>0.42</v>
      </c>
      <c r="H504" t="str">
        <f t="shared" si="10"/>
        <v>15000601500060761</v>
      </c>
    </row>
    <row r="505" spans="1:8" ht="15" customHeight="1" x14ac:dyDescent="0.25">
      <c r="A505" s="110" t="s">
        <v>5335</v>
      </c>
      <c r="B505" s="125" t="s">
        <v>1611</v>
      </c>
      <c r="C505" s="138">
        <v>0.8</v>
      </c>
      <c r="D505" s="138">
        <v>48</v>
      </c>
      <c r="E505" s="138">
        <v>75</v>
      </c>
      <c r="F505" s="139">
        <v>0.8</v>
      </c>
      <c r="H505" t="str">
        <f t="shared" si="10"/>
        <v>15000601500060761</v>
      </c>
    </row>
    <row r="506" spans="1:8" ht="15" customHeight="1" x14ac:dyDescent="0.25">
      <c r="A506" s="110" t="s">
        <v>5336</v>
      </c>
      <c r="B506" s="125" t="s">
        <v>521</v>
      </c>
      <c r="C506" s="138">
        <v>0.42</v>
      </c>
      <c r="D506" s="138">
        <v>25.2</v>
      </c>
      <c r="E506" s="138">
        <v>142.85714285714286</v>
      </c>
      <c r="F506" s="139">
        <v>0.42</v>
      </c>
      <c r="H506" t="str">
        <f t="shared" si="10"/>
        <v>15000601500060762</v>
      </c>
    </row>
    <row r="507" spans="1:8" ht="15" customHeight="1" x14ac:dyDescent="0.25">
      <c r="A507" s="110" t="s">
        <v>5336</v>
      </c>
      <c r="B507" s="125" t="s">
        <v>1612</v>
      </c>
      <c r="C507" s="138">
        <v>0.8</v>
      </c>
      <c r="D507" s="138">
        <v>48</v>
      </c>
      <c r="E507" s="138">
        <v>75</v>
      </c>
      <c r="F507" s="139">
        <v>0.8</v>
      </c>
      <c r="H507" t="str">
        <f t="shared" si="10"/>
        <v>15000601500060762</v>
      </c>
    </row>
    <row r="508" spans="1:8" ht="15" customHeight="1" x14ac:dyDescent="0.25">
      <c r="A508" s="110" t="s">
        <v>5337</v>
      </c>
      <c r="B508" s="125" t="s">
        <v>522</v>
      </c>
      <c r="C508" s="138">
        <v>0.42</v>
      </c>
      <c r="D508" s="138">
        <v>25.2</v>
      </c>
      <c r="E508" s="138">
        <v>142.85714285714286</v>
      </c>
      <c r="F508" s="139">
        <v>0.42</v>
      </c>
      <c r="H508" t="str">
        <f t="shared" si="10"/>
        <v>15000601500060763</v>
      </c>
    </row>
    <row r="509" spans="1:8" ht="15" customHeight="1" x14ac:dyDescent="0.25">
      <c r="A509" s="110" t="s">
        <v>5337</v>
      </c>
      <c r="B509" s="125" t="s">
        <v>1613</v>
      </c>
      <c r="C509" s="138">
        <v>0.8</v>
      </c>
      <c r="D509" s="138">
        <v>48</v>
      </c>
      <c r="E509" s="138">
        <v>75</v>
      </c>
      <c r="F509" s="139">
        <v>0.8</v>
      </c>
      <c r="H509" t="str">
        <f t="shared" si="10"/>
        <v>15000601500060763</v>
      </c>
    </row>
    <row r="510" spans="1:8" ht="15" customHeight="1" x14ac:dyDescent="0.25">
      <c r="A510" s="110" t="s">
        <v>5338</v>
      </c>
      <c r="B510" s="125" t="s">
        <v>523</v>
      </c>
      <c r="C510" s="138">
        <v>0.42</v>
      </c>
      <c r="D510" s="138">
        <v>25.2</v>
      </c>
      <c r="E510" s="138">
        <v>142.85714285714286</v>
      </c>
      <c r="F510" s="139">
        <v>0.42</v>
      </c>
      <c r="H510" t="str">
        <f t="shared" si="10"/>
        <v>15000601500060764</v>
      </c>
    </row>
    <row r="511" spans="1:8" ht="15" customHeight="1" x14ac:dyDescent="0.25">
      <c r="A511" s="110" t="s">
        <v>5338</v>
      </c>
      <c r="B511" s="125" t="s">
        <v>1614</v>
      </c>
      <c r="C511" s="138">
        <v>0.8</v>
      </c>
      <c r="D511" s="138">
        <v>48</v>
      </c>
      <c r="E511" s="138">
        <v>75</v>
      </c>
      <c r="F511" s="139">
        <v>0.8</v>
      </c>
      <c r="H511" t="str">
        <f t="shared" si="10"/>
        <v>15000601500060764</v>
      </c>
    </row>
    <row r="512" spans="1:8" ht="15" customHeight="1" x14ac:dyDescent="0.25">
      <c r="A512" s="110" t="s">
        <v>5339</v>
      </c>
      <c r="B512" s="125" t="s">
        <v>524</v>
      </c>
      <c r="C512" s="138">
        <v>0.42</v>
      </c>
      <c r="D512" s="138">
        <v>25.2</v>
      </c>
      <c r="E512" s="138">
        <v>142.85714285714286</v>
      </c>
      <c r="F512" s="139">
        <v>0.42</v>
      </c>
      <c r="H512" t="str">
        <f t="shared" si="10"/>
        <v>15000601500060765</v>
      </c>
    </row>
    <row r="513" spans="1:8" ht="15" customHeight="1" x14ac:dyDescent="0.25">
      <c r="A513" s="110" t="s">
        <v>5339</v>
      </c>
      <c r="B513" s="125" t="s">
        <v>1615</v>
      </c>
      <c r="C513" s="138">
        <v>0.8</v>
      </c>
      <c r="D513" s="138">
        <v>48</v>
      </c>
      <c r="E513" s="138">
        <v>75</v>
      </c>
      <c r="F513" s="139">
        <v>0.8</v>
      </c>
      <c r="H513" t="str">
        <f t="shared" si="10"/>
        <v>15000601500060765</v>
      </c>
    </row>
    <row r="514" spans="1:8" ht="15" customHeight="1" x14ac:dyDescent="0.25">
      <c r="A514" s="110" t="s">
        <v>5340</v>
      </c>
      <c r="B514" s="125" t="s">
        <v>525</v>
      </c>
      <c r="C514" s="138">
        <v>0.42</v>
      </c>
      <c r="D514" s="138">
        <v>25.2</v>
      </c>
      <c r="E514" s="138">
        <v>142.85714285714286</v>
      </c>
      <c r="F514" s="139">
        <v>0.42</v>
      </c>
      <c r="H514" t="str">
        <f t="shared" si="10"/>
        <v>15000601500060766</v>
      </c>
    </row>
    <row r="515" spans="1:8" ht="15" customHeight="1" x14ac:dyDescent="0.25">
      <c r="A515" s="110" t="s">
        <v>5340</v>
      </c>
      <c r="B515" s="125" t="s">
        <v>1616</v>
      </c>
      <c r="C515" s="138">
        <v>0.45</v>
      </c>
      <c r="D515" s="138">
        <v>27</v>
      </c>
      <c r="E515" s="138">
        <v>133.33333333333334</v>
      </c>
      <c r="F515" s="139">
        <v>0.45</v>
      </c>
      <c r="H515" t="str">
        <f t="shared" si="10"/>
        <v>15000601500060766</v>
      </c>
    </row>
    <row r="516" spans="1:8" ht="15" customHeight="1" x14ac:dyDescent="0.25">
      <c r="A516" s="110" t="s">
        <v>5341</v>
      </c>
      <c r="B516" s="125" t="s">
        <v>526</v>
      </c>
      <c r="C516" s="138">
        <v>0.42</v>
      </c>
      <c r="D516" s="138">
        <v>25.2</v>
      </c>
      <c r="E516" s="138">
        <v>142.85714285714286</v>
      </c>
      <c r="F516" s="139">
        <v>0.42</v>
      </c>
      <c r="H516" t="str">
        <f t="shared" si="10"/>
        <v>15000601500060767</v>
      </c>
    </row>
    <row r="517" spans="1:8" ht="15" customHeight="1" x14ac:dyDescent="0.25">
      <c r="A517" s="110" t="s">
        <v>5341</v>
      </c>
      <c r="B517" s="125" t="s">
        <v>1617</v>
      </c>
      <c r="C517" s="138">
        <v>1.1000000000000001</v>
      </c>
      <c r="D517" s="138">
        <v>66</v>
      </c>
      <c r="E517" s="138">
        <v>54.545454545454547</v>
      </c>
      <c r="F517" s="139">
        <v>1.1000000000000001</v>
      </c>
      <c r="H517" t="str">
        <f t="shared" si="10"/>
        <v>15000601500060767</v>
      </c>
    </row>
    <row r="518" spans="1:8" ht="15" customHeight="1" x14ac:dyDescent="0.25">
      <c r="A518" s="110" t="s">
        <v>5342</v>
      </c>
      <c r="B518" s="125" t="s">
        <v>527</v>
      </c>
      <c r="C518" s="138">
        <v>0.47</v>
      </c>
      <c r="D518" s="138">
        <v>28.2</v>
      </c>
      <c r="E518" s="138">
        <v>127.65957446808511</v>
      </c>
      <c r="F518" s="139">
        <v>0.47</v>
      </c>
      <c r="H518" t="str">
        <f t="shared" si="10"/>
        <v>15000601500060768</v>
      </c>
    </row>
    <row r="519" spans="1:8" ht="15" customHeight="1" x14ac:dyDescent="0.25">
      <c r="A519" s="110" t="s">
        <v>5342</v>
      </c>
      <c r="B519" s="125" t="s">
        <v>1618</v>
      </c>
      <c r="C519" s="138">
        <v>1.1000000000000001</v>
      </c>
      <c r="D519" s="138">
        <v>66</v>
      </c>
      <c r="E519" s="138">
        <v>54.545454545454547</v>
      </c>
      <c r="F519" s="139">
        <v>1.1000000000000001</v>
      </c>
      <c r="H519" t="str">
        <f t="shared" si="10"/>
        <v>15000601500060768</v>
      </c>
    </row>
    <row r="520" spans="1:8" ht="15" customHeight="1" x14ac:dyDescent="0.25">
      <c r="A520" s="110" t="s">
        <v>5343</v>
      </c>
      <c r="B520" s="125" t="s">
        <v>528</v>
      </c>
      <c r="C520" s="138">
        <v>0.46</v>
      </c>
      <c r="D520" s="138">
        <v>27.6</v>
      </c>
      <c r="E520" s="138">
        <v>130.43478260869566</v>
      </c>
      <c r="F520" s="139">
        <v>0.46</v>
      </c>
      <c r="H520" t="str">
        <f t="shared" si="10"/>
        <v>15000601500060769</v>
      </c>
    </row>
    <row r="521" spans="1:8" ht="15" customHeight="1" x14ac:dyDescent="0.25">
      <c r="A521" s="110" t="s">
        <v>5343</v>
      </c>
      <c r="B521" s="125" t="s">
        <v>1619</v>
      </c>
      <c r="C521" s="138">
        <v>1.1000000000000001</v>
      </c>
      <c r="D521" s="138">
        <v>66</v>
      </c>
      <c r="E521" s="138">
        <v>54.545454545454547</v>
      </c>
      <c r="F521" s="139">
        <v>1.1000000000000001</v>
      </c>
      <c r="H521" t="str">
        <f t="shared" si="10"/>
        <v>15000601500060769</v>
      </c>
    </row>
    <row r="522" spans="1:8" ht="15" customHeight="1" x14ac:dyDescent="0.25">
      <c r="A522" s="110" t="s">
        <v>5344</v>
      </c>
      <c r="B522" s="125" t="s">
        <v>979</v>
      </c>
      <c r="C522" s="138">
        <v>0.38</v>
      </c>
      <c r="D522" s="138">
        <v>22.8</v>
      </c>
      <c r="E522" s="138">
        <v>157.89473684210526</v>
      </c>
      <c r="F522" s="139">
        <v>0.38</v>
      </c>
      <c r="H522" t="str">
        <f t="shared" si="10"/>
        <v>15000601500060770</v>
      </c>
    </row>
    <row r="523" spans="1:8" ht="15" customHeight="1" x14ac:dyDescent="0.25">
      <c r="A523" s="110" t="s">
        <v>5344</v>
      </c>
      <c r="B523" s="125" t="s">
        <v>1620</v>
      </c>
      <c r="C523" s="138">
        <v>1.1000000000000001</v>
      </c>
      <c r="D523" s="138">
        <v>66</v>
      </c>
      <c r="E523" s="138">
        <v>54.545454545454547</v>
      </c>
      <c r="F523" s="139">
        <v>1.1000000000000001</v>
      </c>
      <c r="H523" t="str">
        <f t="shared" si="10"/>
        <v>15000601500060770</v>
      </c>
    </row>
    <row r="524" spans="1:8" ht="15" customHeight="1" x14ac:dyDescent="0.25">
      <c r="A524" s="110" t="s">
        <v>5345</v>
      </c>
      <c r="B524" s="125" t="s">
        <v>980</v>
      </c>
      <c r="C524" s="138">
        <v>0.38</v>
      </c>
      <c r="D524" s="138">
        <v>22.8</v>
      </c>
      <c r="E524" s="138">
        <v>157.89473684210526</v>
      </c>
      <c r="F524" s="139">
        <v>0.38</v>
      </c>
      <c r="H524" t="str">
        <f t="shared" si="10"/>
        <v>15000601500060771</v>
      </c>
    </row>
    <row r="525" spans="1:8" ht="15" customHeight="1" x14ac:dyDescent="0.25">
      <c r="A525" s="110" t="s">
        <v>5345</v>
      </c>
      <c r="B525" s="125" t="s">
        <v>1621</v>
      </c>
      <c r="C525" s="138">
        <v>1.1000000000000001</v>
      </c>
      <c r="D525" s="138">
        <v>66</v>
      </c>
      <c r="E525" s="138">
        <v>54.545454545454547</v>
      </c>
      <c r="F525" s="139">
        <v>1.1000000000000001</v>
      </c>
      <c r="H525" t="str">
        <f t="shared" si="10"/>
        <v>15000601500060771</v>
      </c>
    </row>
    <row r="526" spans="1:8" ht="15" customHeight="1" x14ac:dyDescent="0.25">
      <c r="A526" s="110" t="s">
        <v>5346</v>
      </c>
      <c r="B526" s="125" t="s">
        <v>981</v>
      </c>
      <c r="C526" s="138">
        <v>0.43</v>
      </c>
      <c r="D526" s="138">
        <v>25.8</v>
      </c>
      <c r="E526" s="138">
        <v>139.53488372093022</v>
      </c>
      <c r="F526" s="139">
        <v>0.43</v>
      </c>
      <c r="H526" t="str">
        <f t="shared" si="10"/>
        <v>15000601500060772</v>
      </c>
    </row>
    <row r="527" spans="1:8" ht="15" customHeight="1" x14ac:dyDescent="0.25">
      <c r="A527" s="110" t="s">
        <v>5346</v>
      </c>
      <c r="B527" s="125" t="s">
        <v>1622</v>
      </c>
      <c r="C527" s="138">
        <v>1.9</v>
      </c>
      <c r="D527" s="138">
        <v>114</v>
      </c>
      <c r="E527" s="138">
        <v>31.578947368421051</v>
      </c>
      <c r="F527" s="139">
        <v>1.9</v>
      </c>
      <c r="H527" t="str">
        <f t="shared" si="10"/>
        <v>15000601500060772</v>
      </c>
    </row>
    <row r="528" spans="1:8" ht="15" customHeight="1" x14ac:dyDescent="0.25">
      <c r="A528" s="110" t="s">
        <v>5347</v>
      </c>
      <c r="B528" s="125" t="s">
        <v>982</v>
      </c>
      <c r="C528" s="138">
        <v>0.43</v>
      </c>
      <c r="D528" s="138">
        <v>25.8</v>
      </c>
      <c r="E528" s="138">
        <v>139.53488372093022</v>
      </c>
      <c r="F528" s="139">
        <v>0.43</v>
      </c>
      <c r="H528" t="str">
        <f t="shared" si="10"/>
        <v>15000601500060773</v>
      </c>
    </row>
    <row r="529" spans="1:8" ht="15" customHeight="1" x14ac:dyDescent="0.25">
      <c r="A529" s="110" t="s">
        <v>5347</v>
      </c>
      <c r="B529" s="125" t="s">
        <v>1623</v>
      </c>
      <c r="C529" s="138">
        <v>1.9</v>
      </c>
      <c r="D529" s="138">
        <v>114</v>
      </c>
      <c r="E529" s="138">
        <v>31.578947368421051</v>
      </c>
      <c r="F529" s="139">
        <v>1.9</v>
      </c>
      <c r="H529" t="str">
        <f t="shared" si="10"/>
        <v>15000601500060773</v>
      </c>
    </row>
    <row r="530" spans="1:8" ht="15" customHeight="1" x14ac:dyDescent="0.25">
      <c r="A530" s="110" t="s">
        <v>5348</v>
      </c>
      <c r="B530" s="125" t="s">
        <v>983</v>
      </c>
      <c r="C530" s="138">
        <v>0.36</v>
      </c>
      <c r="D530" s="138">
        <v>21.599999999999998</v>
      </c>
      <c r="E530" s="138">
        <v>166.66666666666669</v>
      </c>
      <c r="F530" s="139">
        <v>0.36</v>
      </c>
      <c r="H530" t="str">
        <f t="shared" si="10"/>
        <v>15000601500060774</v>
      </c>
    </row>
    <row r="531" spans="1:8" ht="15" customHeight="1" x14ac:dyDescent="0.25">
      <c r="A531" s="110" t="s">
        <v>5348</v>
      </c>
      <c r="B531" s="125" t="s">
        <v>1624</v>
      </c>
      <c r="C531" s="138">
        <v>1.9</v>
      </c>
      <c r="D531" s="138">
        <v>114</v>
      </c>
      <c r="E531" s="138">
        <v>31.578947368421051</v>
      </c>
      <c r="F531" s="139">
        <v>1.9</v>
      </c>
      <c r="H531" t="str">
        <f t="shared" si="10"/>
        <v>15000601500060774</v>
      </c>
    </row>
    <row r="532" spans="1:8" ht="15" customHeight="1" x14ac:dyDescent="0.25">
      <c r="A532" s="110" t="s">
        <v>5349</v>
      </c>
      <c r="B532" s="125" t="s">
        <v>984</v>
      </c>
      <c r="C532" s="138">
        <v>0.36</v>
      </c>
      <c r="D532" s="138">
        <v>21.599999999999998</v>
      </c>
      <c r="E532" s="138">
        <v>166.66666666666669</v>
      </c>
      <c r="F532" s="139">
        <v>0.36</v>
      </c>
      <c r="H532" t="str">
        <f t="shared" si="10"/>
        <v>15000601500060775</v>
      </c>
    </row>
    <row r="533" spans="1:8" ht="15" customHeight="1" x14ac:dyDescent="0.25">
      <c r="A533" s="110" t="s">
        <v>5349</v>
      </c>
      <c r="B533" s="125" t="s">
        <v>1625</v>
      </c>
      <c r="C533" s="138">
        <v>1.9</v>
      </c>
      <c r="D533" s="138">
        <v>114</v>
      </c>
      <c r="E533" s="138">
        <v>31.578947368421051</v>
      </c>
      <c r="F533" s="139">
        <v>1.9</v>
      </c>
      <c r="H533" t="str">
        <f t="shared" si="10"/>
        <v>15000601500060775</v>
      </c>
    </row>
    <row r="534" spans="1:8" ht="15" customHeight="1" x14ac:dyDescent="0.25">
      <c r="A534" s="110" t="s">
        <v>5350</v>
      </c>
      <c r="B534" s="125" t="s">
        <v>985</v>
      </c>
      <c r="C534" s="138">
        <v>0.46</v>
      </c>
      <c r="D534" s="138">
        <v>27.6</v>
      </c>
      <c r="E534" s="138">
        <v>130.43478260869566</v>
      </c>
      <c r="F534" s="139">
        <v>0.46</v>
      </c>
      <c r="H534" t="str">
        <f t="shared" si="10"/>
        <v>15000601500060776</v>
      </c>
    </row>
    <row r="535" spans="1:8" ht="15" customHeight="1" x14ac:dyDescent="0.25">
      <c r="A535" s="110" t="s">
        <v>5350</v>
      </c>
      <c r="B535" s="125" t="s">
        <v>1626</v>
      </c>
      <c r="C535" s="138">
        <v>1.9</v>
      </c>
      <c r="D535" s="138">
        <v>114</v>
      </c>
      <c r="E535" s="138">
        <v>31.578947368421051</v>
      </c>
      <c r="F535" s="139">
        <v>1.9</v>
      </c>
      <c r="H535" t="str">
        <f t="shared" si="10"/>
        <v>15000601500060776</v>
      </c>
    </row>
    <row r="536" spans="1:8" ht="15" customHeight="1" x14ac:dyDescent="0.25">
      <c r="A536" s="110" t="s">
        <v>5351</v>
      </c>
      <c r="B536" s="125" t="s">
        <v>1627</v>
      </c>
      <c r="C536" s="138">
        <v>1.9</v>
      </c>
      <c r="D536" s="138">
        <v>114</v>
      </c>
      <c r="E536" s="138">
        <v>31.578947368421051</v>
      </c>
      <c r="F536" s="139">
        <v>1.9</v>
      </c>
      <c r="H536" t="str">
        <f t="shared" si="10"/>
        <v>15000601500060777</v>
      </c>
    </row>
    <row r="537" spans="1:8" ht="15" customHeight="1" x14ac:dyDescent="0.25">
      <c r="A537" s="110" t="s">
        <v>5352</v>
      </c>
      <c r="B537" s="125" t="s">
        <v>1628</v>
      </c>
      <c r="C537" s="138">
        <v>1.9</v>
      </c>
      <c r="D537" s="138">
        <v>114</v>
      </c>
      <c r="E537" s="138">
        <v>31.578947368421051</v>
      </c>
      <c r="F537" s="139">
        <v>1.9</v>
      </c>
      <c r="H537" t="str">
        <f t="shared" si="10"/>
        <v>15000601500060778</v>
      </c>
    </row>
    <row r="538" spans="1:8" ht="15" customHeight="1" x14ac:dyDescent="0.25">
      <c r="A538" s="110" t="s">
        <v>5353</v>
      </c>
      <c r="B538" s="125" t="s">
        <v>1629</v>
      </c>
      <c r="C538" s="138">
        <v>1.9</v>
      </c>
      <c r="D538" s="138">
        <v>114</v>
      </c>
      <c r="E538" s="138">
        <v>31.578947368421051</v>
      </c>
      <c r="F538" s="139">
        <v>1.9</v>
      </c>
      <c r="H538" t="str">
        <f t="shared" si="10"/>
        <v>15000601500060779</v>
      </c>
    </row>
    <row r="539" spans="1:8" ht="15" customHeight="1" x14ac:dyDescent="0.25">
      <c r="A539" s="110" t="s">
        <v>5354</v>
      </c>
      <c r="B539" s="125" t="s">
        <v>1630</v>
      </c>
      <c r="C539" s="138">
        <v>0.8</v>
      </c>
      <c r="D539" s="138">
        <v>48</v>
      </c>
      <c r="E539" s="138">
        <v>75</v>
      </c>
      <c r="F539" s="139">
        <v>0.8</v>
      </c>
      <c r="H539" t="str">
        <f t="shared" si="10"/>
        <v>15000601500060780</v>
      </c>
    </row>
    <row r="540" spans="1:8" ht="15" customHeight="1" x14ac:dyDescent="0.25">
      <c r="A540" s="110" t="s">
        <v>5355</v>
      </c>
      <c r="B540" s="125" t="s">
        <v>1631</v>
      </c>
      <c r="C540" s="138">
        <v>1.9</v>
      </c>
      <c r="D540" s="138">
        <v>114</v>
      </c>
      <c r="E540" s="138">
        <v>31.578947368421051</v>
      </c>
      <c r="F540" s="139">
        <v>1.9</v>
      </c>
      <c r="H540" t="str">
        <f t="shared" si="10"/>
        <v>15000601500060781</v>
      </c>
    </row>
    <row r="541" spans="1:8" ht="15" customHeight="1" x14ac:dyDescent="0.25">
      <c r="A541" s="110" t="s">
        <v>5356</v>
      </c>
      <c r="B541" s="125" t="s">
        <v>1623</v>
      </c>
      <c r="C541" s="138">
        <v>1.9</v>
      </c>
      <c r="D541" s="138">
        <v>114</v>
      </c>
      <c r="E541" s="138">
        <v>31.578947368421051</v>
      </c>
      <c r="F541" s="139">
        <v>1.9</v>
      </c>
      <c r="H541" t="str">
        <f t="shared" si="10"/>
        <v>15000601500060782</v>
      </c>
    </row>
    <row r="542" spans="1:8" ht="15" customHeight="1" x14ac:dyDescent="0.25">
      <c r="A542" s="110" t="s">
        <v>5357</v>
      </c>
      <c r="B542" s="125" t="s">
        <v>1627</v>
      </c>
      <c r="C542" s="138">
        <v>1.9</v>
      </c>
      <c r="D542" s="138">
        <v>114</v>
      </c>
      <c r="E542" s="138">
        <v>31.578947368421051</v>
      </c>
      <c r="F542" s="139">
        <v>1.9</v>
      </c>
      <c r="H542" t="str">
        <f t="shared" si="10"/>
        <v>15000601500060783</v>
      </c>
    </row>
    <row r="543" spans="1:8" ht="15" customHeight="1" x14ac:dyDescent="0.25">
      <c r="A543" s="110" t="s">
        <v>5358</v>
      </c>
      <c r="B543" s="125" t="s">
        <v>1632</v>
      </c>
      <c r="C543" s="138">
        <v>1.9</v>
      </c>
      <c r="D543" s="138">
        <v>114</v>
      </c>
      <c r="E543" s="138">
        <v>31.578947368421051</v>
      </c>
      <c r="F543" s="139">
        <v>1.9</v>
      </c>
      <c r="H543" t="str">
        <f t="shared" si="10"/>
        <v>15000601500060784</v>
      </c>
    </row>
    <row r="544" spans="1:8" ht="15" customHeight="1" x14ac:dyDescent="0.25">
      <c r="A544" s="110" t="s">
        <v>5359</v>
      </c>
      <c r="B544" s="125" t="s">
        <v>1633</v>
      </c>
      <c r="C544" s="138">
        <v>1.9</v>
      </c>
      <c r="D544" s="138">
        <v>114</v>
      </c>
      <c r="E544" s="138">
        <v>31.578947368421051</v>
      </c>
      <c r="F544" s="139">
        <v>1.9</v>
      </c>
      <c r="H544" t="str">
        <f t="shared" si="10"/>
        <v>15000601500060785</v>
      </c>
    </row>
    <row r="545" spans="1:8" ht="15" customHeight="1" x14ac:dyDescent="0.25">
      <c r="A545" s="110" t="s">
        <v>5360</v>
      </c>
      <c r="B545" s="125" t="s">
        <v>1634</v>
      </c>
      <c r="C545" s="138">
        <v>1</v>
      </c>
      <c r="D545" s="138">
        <v>60</v>
      </c>
      <c r="E545" s="138">
        <v>60</v>
      </c>
      <c r="F545" s="139">
        <v>1</v>
      </c>
      <c r="H545" t="str">
        <f t="shared" si="10"/>
        <v>15000601500060786</v>
      </c>
    </row>
    <row r="546" spans="1:8" ht="15" customHeight="1" x14ac:dyDescent="0.25">
      <c r="A546" s="110" t="s">
        <v>5361</v>
      </c>
      <c r="B546" s="125" t="s">
        <v>1635</v>
      </c>
      <c r="C546" s="138">
        <v>1.33</v>
      </c>
      <c r="D546" s="138">
        <v>79.800000000000011</v>
      </c>
      <c r="E546" s="138">
        <v>45.112781954887211</v>
      </c>
      <c r="F546" s="139">
        <v>1.33</v>
      </c>
      <c r="H546" t="str">
        <f t="shared" si="10"/>
        <v>15000601500060787</v>
      </c>
    </row>
    <row r="547" spans="1:8" ht="15" customHeight="1" x14ac:dyDescent="0.25">
      <c r="A547" s="110" t="s">
        <v>5362</v>
      </c>
      <c r="B547" s="125" t="s">
        <v>1636</v>
      </c>
      <c r="C547" s="138">
        <v>1.33</v>
      </c>
      <c r="D547" s="138">
        <v>79.800000000000011</v>
      </c>
      <c r="E547" s="138">
        <v>45.112781954887211</v>
      </c>
      <c r="F547" s="139">
        <v>1.33</v>
      </c>
      <c r="H547" t="str">
        <f t="shared" si="10"/>
        <v>15000601500060788</v>
      </c>
    </row>
    <row r="548" spans="1:8" ht="15" customHeight="1" x14ac:dyDescent="0.25">
      <c r="A548" s="110" t="s">
        <v>5363</v>
      </c>
      <c r="B548" s="125" t="s">
        <v>1637</v>
      </c>
      <c r="C548" s="138">
        <v>1.33</v>
      </c>
      <c r="D548" s="138">
        <v>79.800000000000011</v>
      </c>
      <c r="E548" s="138">
        <v>45.112781954887211</v>
      </c>
      <c r="F548" s="139">
        <v>1.33</v>
      </c>
      <c r="H548" t="str">
        <f t="shared" si="10"/>
        <v>15000601500060789</v>
      </c>
    </row>
    <row r="549" spans="1:8" ht="15" customHeight="1" x14ac:dyDescent="0.25">
      <c r="A549" s="110" t="s">
        <v>5364</v>
      </c>
      <c r="B549" s="125" t="s">
        <v>1638</v>
      </c>
      <c r="C549" s="138">
        <v>1</v>
      </c>
      <c r="D549" s="138">
        <v>60</v>
      </c>
      <c r="E549" s="138">
        <v>60</v>
      </c>
      <c r="F549" s="139">
        <v>1</v>
      </c>
      <c r="H549" t="str">
        <f t="shared" si="10"/>
        <v>15000601500060790</v>
      </c>
    </row>
    <row r="550" spans="1:8" ht="15" customHeight="1" x14ac:dyDescent="0.25">
      <c r="A550" s="110" t="s">
        <v>5365</v>
      </c>
      <c r="B550" s="125" t="s">
        <v>1639</v>
      </c>
      <c r="C550" s="138">
        <v>1</v>
      </c>
      <c r="D550" s="138">
        <v>60</v>
      </c>
      <c r="E550" s="138">
        <v>60</v>
      </c>
      <c r="F550" s="139">
        <v>1</v>
      </c>
      <c r="H550" t="str">
        <f t="shared" si="10"/>
        <v>15000601500060791</v>
      </c>
    </row>
    <row r="551" spans="1:8" ht="15" customHeight="1" x14ac:dyDescent="0.25">
      <c r="A551" s="110" t="s">
        <v>5366</v>
      </c>
      <c r="B551" s="125" t="s">
        <v>1640</v>
      </c>
      <c r="C551" s="138">
        <v>1</v>
      </c>
      <c r="D551" s="138">
        <v>60</v>
      </c>
      <c r="E551" s="138">
        <v>60</v>
      </c>
      <c r="F551" s="139">
        <v>1</v>
      </c>
      <c r="H551" t="str">
        <f t="shared" si="10"/>
        <v>15000601500060792</v>
      </c>
    </row>
    <row r="552" spans="1:8" ht="15" customHeight="1" x14ac:dyDescent="0.25">
      <c r="A552" s="110" t="s">
        <v>5367</v>
      </c>
      <c r="B552" s="125" t="s">
        <v>1641</v>
      </c>
      <c r="C552" s="138">
        <v>1</v>
      </c>
      <c r="D552" s="138">
        <v>60</v>
      </c>
      <c r="E552" s="138">
        <v>60</v>
      </c>
      <c r="F552" s="139">
        <v>1</v>
      </c>
      <c r="H552" t="str">
        <f t="shared" si="10"/>
        <v>15000601500060793</v>
      </c>
    </row>
    <row r="553" spans="1:8" ht="15" customHeight="1" x14ac:dyDescent="0.25">
      <c r="A553" s="110" t="s">
        <v>5368</v>
      </c>
      <c r="B553" s="125" t="s">
        <v>1642</v>
      </c>
      <c r="C553" s="138">
        <v>0.5</v>
      </c>
      <c r="D553" s="138">
        <v>30</v>
      </c>
      <c r="E553" s="138">
        <v>120</v>
      </c>
      <c r="F553" s="139">
        <v>0.5</v>
      </c>
      <c r="H553" t="str">
        <f t="shared" si="10"/>
        <v>15000601500060794</v>
      </c>
    </row>
    <row r="554" spans="1:8" ht="15" customHeight="1" x14ac:dyDescent="0.25">
      <c r="A554" s="110" t="s">
        <v>5369</v>
      </c>
      <c r="B554" s="125" t="s">
        <v>1643</v>
      </c>
      <c r="C554" s="138">
        <v>0.5</v>
      </c>
      <c r="D554" s="138">
        <v>30</v>
      </c>
      <c r="E554" s="138">
        <v>120</v>
      </c>
      <c r="F554" s="139">
        <v>0.5</v>
      </c>
      <c r="H554" t="str">
        <f t="shared" si="10"/>
        <v>15000601500060795</v>
      </c>
    </row>
    <row r="555" spans="1:8" ht="15" customHeight="1" x14ac:dyDescent="0.25">
      <c r="A555" s="110" t="s">
        <v>5370</v>
      </c>
      <c r="B555" s="125" t="s">
        <v>1644</v>
      </c>
      <c r="C555" s="138">
        <v>0.5</v>
      </c>
      <c r="D555" s="138">
        <v>30</v>
      </c>
      <c r="E555" s="138">
        <v>120</v>
      </c>
      <c r="F555" s="139">
        <v>0.5</v>
      </c>
      <c r="H555" t="str">
        <f t="shared" si="10"/>
        <v>15000601500060796</v>
      </c>
    </row>
    <row r="556" spans="1:8" ht="15" customHeight="1" x14ac:dyDescent="0.25">
      <c r="A556" s="110" t="s">
        <v>5371</v>
      </c>
      <c r="B556" s="125" t="s">
        <v>1645</v>
      </c>
      <c r="C556" s="138">
        <v>0.5</v>
      </c>
      <c r="D556" s="138">
        <v>30</v>
      </c>
      <c r="E556" s="138">
        <v>120</v>
      </c>
      <c r="F556" s="139">
        <v>0.5</v>
      </c>
      <c r="H556" t="str">
        <f t="shared" si="10"/>
        <v>15000601500060797</v>
      </c>
    </row>
    <row r="557" spans="1:8" ht="15" customHeight="1" x14ac:dyDescent="0.25">
      <c r="A557" s="110" t="s">
        <v>5372</v>
      </c>
      <c r="B557" s="125" t="s">
        <v>1646</v>
      </c>
      <c r="C557" s="138">
        <v>1.2</v>
      </c>
      <c r="D557" s="138">
        <v>72</v>
      </c>
      <c r="E557" s="138">
        <v>50</v>
      </c>
      <c r="F557" s="139">
        <v>1.2</v>
      </c>
      <c r="H557" t="str">
        <f t="shared" si="10"/>
        <v>15000601500060798</v>
      </c>
    </row>
    <row r="558" spans="1:8" ht="15" customHeight="1" x14ac:dyDescent="0.25">
      <c r="A558" s="110" t="s">
        <v>5373</v>
      </c>
      <c r="B558" s="125" t="s">
        <v>1647</v>
      </c>
      <c r="C558" s="138">
        <v>1.2</v>
      </c>
      <c r="D558" s="138">
        <v>72</v>
      </c>
      <c r="E558" s="138">
        <v>50</v>
      </c>
      <c r="F558" s="139">
        <v>1.2</v>
      </c>
      <c r="H558" t="str">
        <f t="shared" ref="H558:H621" si="11">CONCATENATE($G$45,A558)</f>
        <v>15000601500060799</v>
      </c>
    </row>
    <row r="559" spans="1:8" ht="15" customHeight="1" x14ac:dyDescent="0.25">
      <c r="A559" s="110" t="s">
        <v>5374</v>
      </c>
      <c r="B559" s="125" t="s">
        <v>986</v>
      </c>
      <c r="C559" s="138">
        <v>0.55000000000000004</v>
      </c>
      <c r="D559" s="138">
        <v>33</v>
      </c>
      <c r="E559" s="138">
        <v>109.09090909090909</v>
      </c>
      <c r="F559" s="139">
        <v>0.55000000000000004</v>
      </c>
      <c r="H559" t="str">
        <f t="shared" si="11"/>
        <v>15000601500060800</v>
      </c>
    </row>
    <row r="560" spans="1:8" ht="15" customHeight="1" x14ac:dyDescent="0.25">
      <c r="A560" s="110" t="s">
        <v>5374</v>
      </c>
      <c r="B560" s="125" t="s">
        <v>1648</v>
      </c>
      <c r="C560" s="138">
        <v>1.2</v>
      </c>
      <c r="D560" s="138">
        <v>72</v>
      </c>
      <c r="E560" s="138">
        <v>50</v>
      </c>
      <c r="F560" s="139">
        <v>1.2</v>
      </c>
      <c r="H560" t="str">
        <f t="shared" si="11"/>
        <v>15000601500060800</v>
      </c>
    </row>
    <row r="561" spans="1:8" ht="15" customHeight="1" x14ac:dyDescent="0.25">
      <c r="A561" s="110" t="s">
        <v>5375</v>
      </c>
      <c r="B561" s="125" t="s">
        <v>987</v>
      </c>
      <c r="C561" s="138">
        <v>0.55000000000000004</v>
      </c>
      <c r="D561" s="138">
        <v>33</v>
      </c>
      <c r="E561" s="138">
        <v>109.09090909090909</v>
      </c>
      <c r="F561" s="139">
        <v>0.55000000000000004</v>
      </c>
      <c r="H561" t="str">
        <f t="shared" si="11"/>
        <v>15000601500060801</v>
      </c>
    </row>
    <row r="562" spans="1:8" ht="15" customHeight="1" x14ac:dyDescent="0.25">
      <c r="A562" s="110" t="s">
        <v>5375</v>
      </c>
      <c r="B562" s="125" t="s">
        <v>1649</v>
      </c>
      <c r="C562" s="138">
        <v>1.2</v>
      </c>
      <c r="D562" s="138">
        <v>72</v>
      </c>
      <c r="E562" s="138">
        <v>50</v>
      </c>
      <c r="F562" s="139">
        <v>1.2</v>
      </c>
      <c r="H562" t="str">
        <f t="shared" si="11"/>
        <v>15000601500060801</v>
      </c>
    </row>
    <row r="563" spans="1:8" ht="15" customHeight="1" x14ac:dyDescent="0.25">
      <c r="A563" s="110" t="s">
        <v>5376</v>
      </c>
      <c r="B563" s="125" t="s">
        <v>99</v>
      </c>
      <c r="C563" s="138">
        <v>0.88</v>
      </c>
      <c r="D563" s="138">
        <v>52.8</v>
      </c>
      <c r="E563" s="138">
        <v>68.181818181818187</v>
      </c>
      <c r="F563" s="139">
        <v>0.88</v>
      </c>
      <c r="H563" t="str">
        <f t="shared" si="11"/>
        <v>15000601500060802</v>
      </c>
    </row>
    <row r="564" spans="1:8" ht="15" customHeight="1" x14ac:dyDescent="0.25">
      <c r="A564" s="110" t="s">
        <v>5376</v>
      </c>
      <c r="B564" s="125" t="s">
        <v>1650</v>
      </c>
      <c r="C564" s="138">
        <v>1.2</v>
      </c>
      <c r="D564" s="138">
        <v>72</v>
      </c>
      <c r="E564" s="138">
        <v>50</v>
      </c>
      <c r="F564" s="139">
        <v>1.2</v>
      </c>
      <c r="H564" t="str">
        <f t="shared" si="11"/>
        <v>15000601500060802</v>
      </c>
    </row>
    <row r="565" spans="1:8" ht="15" customHeight="1" x14ac:dyDescent="0.25">
      <c r="A565" s="110" t="s">
        <v>5377</v>
      </c>
      <c r="B565" s="125" t="s">
        <v>100</v>
      </c>
      <c r="C565" s="138">
        <v>0.88</v>
      </c>
      <c r="D565" s="138">
        <v>52.8</v>
      </c>
      <c r="E565" s="138">
        <v>68.181818181818187</v>
      </c>
      <c r="F565" s="139">
        <v>0.88</v>
      </c>
      <c r="H565" t="str">
        <f t="shared" si="11"/>
        <v>15000601500060803</v>
      </c>
    </row>
    <row r="566" spans="1:8" ht="15" customHeight="1" x14ac:dyDescent="0.25">
      <c r="A566" s="110" t="s">
        <v>5377</v>
      </c>
      <c r="B566" s="125" t="s">
        <v>1651</v>
      </c>
      <c r="C566" s="138">
        <v>0.8</v>
      </c>
      <c r="D566" s="138">
        <v>48</v>
      </c>
      <c r="E566" s="138">
        <v>75</v>
      </c>
      <c r="F566" s="139">
        <v>0.8</v>
      </c>
      <c r="H566" t="str">
        <f t="shared" si="11"/>
        <v>15000601500060803</v>
      </c>
    </row>
    <row r="567" spans="1:8" ht="15" customHeight="1" x14ac:dyDescent="0.25">
      <c r="A567" s="110" t="s">
        <v>5378</v>
      </c>
      <c r="B567" s="125" t="s">
        <v>101</v>
      </c>
      <c r="C567" s="138">
        <v>0.52</v>
      </c>
      <c r="D567" s="138">
        <v>31.200000000000003</v>
      </c>
      <c r="E567" s="138">
        <v>115.38461538461537</v>
      </c>
      <c r="F567" s="139">
        <v>0.52</v>
      </c>
      <c r="H567" t="str">
        <f t="shared" si="11"/>
        <v>15000601500060804</v>
      </c>
    </row>
    <row r="568" spans="1:8" ht="15" customHeight="1" x14ac:dyDescent="0.25">
      <c r="A568" s="110" t="s">
        <v>5378</v>
      </c>
      <c r="B568" s="125" t="s">
        <v>1652</v>
      </c>
      <c r="C568" s="138">
        <v>0.73</v>
      </c>
      <c r="D568" s="138">
        <v>43.8</v>
      </c>
      <c r="E568" s="138">
        <v>82.191780821917817</v>
      </c>
      <c r="F568" s="139">
        <v>0.73</v>
      </c>
      <c r="H568" t="str">
        <f t="shared" si="11"/>
        <v>15000601500060804</v>
      </c>
    </row>
    <row r="569" spans="1:8" ht="15" customHeight="1" x14ac:dyDescent="0.25">
      <c r="A569" s="110" t="s">
        <v>5379</v>
      </c>
      <c r="B569" s="125" t="s">
        <v>102</v>
      </c>
      <c r="C569" s="138">
        <v>0.52</v>
      </c>
      <c r="D569" s="138">
        <v>31.200000000000003</v>
      </c>
      <c r="E569" s="138">
        <v>115.38461538461537</v>
      </c>
      <c r="F569" s="139">
        <v>0.52</v>
      </c>
      <c r="H569" t="str">
        <f t="shared" si="11"/>
        <v>15000601500060805</v>
      </c>
    </row>
    <row r="570" spans="1:8" ht="15" customHeight="1" x14ac:dyDescent="0.25">
      <c r="A570" s="110" t="s">
        <v>5379</v>
      </c>
      <c r="B570" s="125" t="s">
        <v>1652</v>
      </c>
      <c r="C570" s="138">
        <v>0.73</v>
      </c>
      <c r="D570" s="138">
        <v>43.8</v>
      </c>
      <c r="E570" s="138">
        <v>82.191780821917817</v>
      </c>
      <c r="F570" s="139">
        <v>0.73</v>
      </c>
      <c r="H570" t="str">
        <f t="shared" si="11"/>
        <v>15000601500060805</v>
      </c>
    </row>
    <row r="571" spans="1:8" ht="15" customHeight="1" x14ac:dyDescent="0.25">
      <c r="A571" s="110" t="s">
        <v>5380</v>
      </c>
      <c r="B571" s="125" t="s">
        <v>215</v>
      </c>
      <c r="C571" s="138">
        <v>0.78</v>
      </c>
      <c r="D571" s="138">
        <v>46.800000000000004</v>
      </c>
      <c r="E571" s="138">
        <v>76.92307692307692</v>
      </c>
      <c r="F571" s="139">
        <v>0.78</v>
      </c>
      <c r="H571" t="str">
        <f t="shared" si="11"/>
        <v>15000601500060806</v>
      </c>
    </row>
    <row r="572" spans="1:8" ht="15" customHeight="1" x14ac:dyDescent="0.25">
      <c r="A572" s="110" t="s">
        <v>5380</v>
      </c>
      <c r="B572" s="125" t="s">
        <v>1653</v>
      </c>
      <c r="C572" s="138">
        <v>1.1000000000000001</v>
      </c>
      <c r="D572" s="138">
        <v>66</v>
      </c>
      <c r="E572" s="138">
        <v>54.545454545454547</v>
      </c>
      <c r="F572" s="139">
        <v>1.1000000000000001</v>
      </c>
      <c r="H572" t="str">
        <f t="shared" si="11"/>
        <v>15000601500060806</v>
      </c>
    </row>
    <row r="573" spans="1:8" ht="15" customHeight="1" x14ac:dyDescent="0.25">
      <c r="A573" s="110" t="s">
        <v>5381</v>
      </c>
      <c r="B573" s="125" t="s">
        <v>103</v>
      </c>
      <c r="C573" s="138">
        <v>0.78</v>
      </c>
      <c r="D573" s="138">
        <v>46.800000000000004</v>
      </c>
      <c r="E573" s="138">
        <v>76.92307692307692</v>
      </c>
      <c r="F573" s="139">
        <v>0.78</v>
      </c>
      <c r="H573" t="str">
        <f t="shared" si="11"/>
        <v>15000601500060807</v>
      </c>
    </row>
    <row r="574" spans="1:8" ht="15" customHeight="1" x14ac:dyDescent="0.25">
      <c r="A574" s="110" t="s">
        <v>5382</v>
      </c>
      <c r="B574" s="125" t="s">
        <v>104</v>
      </c>
      <c r="C574" s="138">
        <v>0.76</v>
      </c>
      <c r="D574" s="138">
        <v>45.6</v>
      </c>
      <c r="E574" s="138">
        <v>78.94736842105263</v>
      </c>
      <c r="F574" s="139">
        <v>0.76</v>
      </c>
      <c r="H574" t="str">
        <f t="shared" si="11"/>
        <v>15000601500060808</v>
      </c>
    </row>
    <row r="575" spans="1:8" ht="15" customHeight="1" x14ac:dyDescent="0.25">
      <c r="A575" s="110" t="s">
        <v>5382</v>
      </c>
      <c r="B575" s="125" t="s">
        <v>1654</v>
      </c>
      <c r="C575" s="138">
        <v>1.1399999999999999</v>
      </c>
      <c r="D575" s="138">
        <v>68.399999999999991</v>
      </c>
      <c r="E575" s="138">
        <v>52.631578947368425</v>
      </c>
      <c r="F575" s="139">
        <v>1.1399999999999999</v>
      </c>
      <c r="H575" t="str">
        <f t="shared" si="11"/>
        <v>15000601500060808</v>
      </c>
    </row>
    <row r="576" spans="1:8" ht="15" customHeight="1" x14ac:dyDescent="0.25">
      <c r="A576" s="110" t="s">
        <v>5383</v>
      </c>
      <c r="B576" s="125" t="s">
        <v>105</v>
      </c>
      <c r="C576" s="138">
        <v>0.76</v>
      </c>
      <c r="D576" s="138">
        <v>45.6</v>
      </c>
      <c r="E576" s="138">
        <v>78.94736842105263</v>
      </c>
      <c r="F576" s="139">
        <v>0.76</v>
      </c>
      <c r="H576" t="str">
        <f t="shared" si="11"/>
        <v>15000601500060809</v>
      </c>
    </row>
    <row r="577" spans="1:8" ht="15" customHeight="1" x14ac:dyDescent="0.25">
      <c r="A577" s="110" t="s">
        <v>5383</v>
      </c>
      <c r="B577" s="125" t="s">
        <v>1655</v>
      </c>
      <c r="C577" s="138">
        <v>1.1399999999999999</v>
      </c>
      <c r="D577" s="138">
        <v>68.399999999999991</v>
      </c>
      <c r="E577" s="138">
        <v>52.631578947368425</v>
      </c>
      <c r="F577" s="139">
        <v>1.1399999999999999</v>
      </c>
      <c r="H577" t="str">
        <f t="shared" si="11"/>
        <v>15000601500060809</v>
      </c>
    </row>
    <row r="578" spans="1:8" ht="15" customHeight="1" x14ac:dyDescent="0.25">
      <c r="A578" s="110" t="s">
        <v>5384</v>
      </c>
      <c r="B578" s="125" t="s">
        <v>988</v>
      </c>
      <c r="C578" s="138">
        <v>0.75</v>
      </c>
      <c r="D578" s="138">
        <v>45</v>
      </c>
      <c r="E578" s="138">
        <v>80</v>
      </c>
      <c r="F578" s="139">
        <v>0.75</v>
      </c>
      <c r="H578" t="str">
        <f t="shared" si="11"/>
        <v>15000601500060810</v>
      </c>
    </row>
    <row r="579" spans="1:8" ht="15" customHeight="1" x14ac:dyDescent="0.25">
      <c r="A579" s="110" t="s">
        <v>5384</v>
      </c>
      <c r="B579" s="125" t="s">
        <v>1656</v>
      </c>
      <c r="C579" s="138">
        <v>1.88</v>
      </c>
      <c r="D579" s="138">
        <v>112.8</v>
      </c>
      <c r="E579" s="138">
        <v>31.914893617021278</v>
      </c>
      <c r="F579" s="139">
        <v>1.88</v>
      </c>
      <c r="H579" t="str">
        <f t="shared" si="11"/>
        <v>15000601500060810</v>
      </c>
    </row>
    <row r="580" spans="1:8" ht="15" customHeight="1" x14ac:dyDescent="0.25">
      <c r="A580" s="110" t="s">
        <v>5385</v>
      </c>
      <c r="B580" s="125" t="s">
        <v>989</v>
      </c>
      <c r="C580" s="138">
        <v>0.75</v>
      </c>
      <c r="D580" s="138">
        <v>45</v>
      </c>
      <c r="E580" s="138">
        <v>80</v>
      </c>
      <c r="F580" s="139">
        <v>0.75</v>
      </c>
      <c r="H580" t="str">
        <f t="shared" si="11"/>
        <v>15000601500060811</v>
      </c>
    </row>
    <row r="581" spans="1:8" ht="15" customHeight="1" x14ac:dyDescent="0.25">
      <c r="A581" s="110" t="s">
        <v>5385</v>
      </c>
      <c r="B581" s="125" t="s">
        <v>1657</v>
      </c>
      <c r="C581" s="138">
        <v>1.88</v>
      </c>
      <c r="D581" s="138">
        <v>112.8</v>
      </c>
      <c r="E581" s="138">
        <v>31.914893617021278</v>
      </c>
      <c r="F581" s="139">
        <v>1.88</v>
      </c>
      <c r="H581" t="str">
        <f t="shared" si="11"/>
        <v>15000601500060811</v>
      </c>
    </row>
    <row r="582" spans="1:8" ht="15" customHeight="1" x14ac:dyDescent="0.25">
      <c r="A582" s="110" t="s">
        <v>5386</v>
      </c>
      <c r="B582" s="125" t="s">
        <v>990</v>
      </c>
      <c r="C582" s="138">
        <v>0.65</v>
      </c>
      <c r="D582" s="138">
        <v>39</v>
      </c>
      <c r="E582" s="138">
        <v>92.307692307692307</v>
      </c>
      <c r="F582" s="139">
        <v>0.65</v>
      </c>
      <c r="H582" t="str">
        <f t="shared" si="11"/>
        <v>15000601500060812</v>
      </c>
    </row>
    <row r="583" spans="1:8" ht="15" customHeight="1" x14ac:dyDescent="0.25">
      <c r="A583" s="110" t="s">
        <v>5386</v>
      </c>
      <c r="B583" s="125" t="s">
        <v>1658</v>
      </c>
      <c r="C583" s="138">
        <v>1.1000000000000001</v>
      </c>
      <c r="D583" s="138">
        <v>66</v>
      </c>
      <c r="E583" s="138">
        <v>54.545454545454547</v>
      </c>
      <c r="F583" s="139">
        <v>1.1000000000000001</v>
      </c>
      <c r="H583" t="str">
        <f t="shared" si="11"/>
        <v>15000601500060812</v>
      </c>
    </row>
    <row r="584" spans="1:8" ht="15" customHeight="1" x14ac:dyDescent="0.25">
      <c r="A584" s="110" t="s">
        <v>5387</v>
      </c>
      <c r="B584" s="125" t="s">
        <v>991</v>
      </c>
      <c r="C584" s="138">
        <v>0.65</v>
      </c>
      <c r="D584" s="138">
        <v>39</v>
      </c>
      <c r="E584" s="138">
        <v>92.307692307692307</v>
      </c>
      <c r="F584" s="139">
        <v>0.65</v>
      </c>
      <c r="H584" t="str">
        <f t="shared" si="11"/>
        <v>15000601500060813</v>
      </c>
    </row>
    <row r="585" spans="1:8" ht="15" customHeight="1" x14ac:dyDescent="0.25">
      <c r="A585" s="110" t="s">
        <v>5387</v>
      </c>
      <c r="B585" s="125" t="s">
        <v>1659</v>
      </c>
      <c r="C585" s="138">
        <v>1.1000000000000001</v>
      </c>
      <c r="D585" s="138">
        <v>66</v>
      </c>
      <c r="E585" s="138">
        <v>54.545454545454547</v>
      </c>
      <c r="F585" s="139">
        <v>1.1000000000000001</v>
      </c>
      <c r="H585" t="str">
        <f t="shared" si="11"/>
        <v>15000601500060813</v>
      </c>
    </row>
    <row r="586" spans="1:8" ht="15" customHeight="1" x14ac:dyDescent="0.25">
      <c r="A586" s="110" t="s">
        <v>5388</v>
      </c>
      <c r="B586" s="125" t="s">
        <v>216</v>
      </c>
      <c r="C586" s="138">
        <v>0.77</v>
      </c>
      <c r="D586" s="138">
        <v>46.2</v>
      </c>
      <c r="E586" s="138">
        <v>77.922077922077918</v>
      </c>
      <c r="F586" s="139">
        <v>0.77</v>
      </c>
      <c r="H586" t="str">
        <f t="shared" si="11"/>
        <v>15000601500060814</v>
      </c>
    </row>
    <row r="587" spans="1:8" ht="15" customHeight="1" x14ac:dyDescent="0.25">
      <c r="A587" s="110" t="s">
        <v>5388</v>
      </c>
      <c r="B587" s="125" t="s">
        <v>1660</v>
      </c>
      <c r="C587" s="138">
        <v>1</v>
      </c>
      <c r="D587" s="138">
        <v>60</v>
      </c>
      <c r="E587" s="138">
        <v>60</v>
      </c>
      <c r="F587" s="139">
        <v>1</v>
      </c>
      <c r="H587" t="str">
        <f t="shared" si="11"/>
        <v>15000601500060814</v>
      </c>
    </row>
    <row r="588" spans="1:8" ht="15" customHeight="1" x14ac:dyDescent="0.25">
      <c r="A588" s="110" t="s">
        <v>5389</v>
      </c>
      <c r="B588" s="125" t="s">
        <v>217</v>
      </c>
      <c r="C588" s="138">
        <v>0.77</v>
      </c>
      <c r="D588" s="138">
        <v>46.2</v>
      </c>
      <c r="E588" s="138">
        <v>77.922077922077918</v>
      </c>
      <c r="F588" s="139">
        <v>0.77</v>
      </c>
      <c r="H588" t="str">
        <f t="shared" si="11"/>
        <v>15000601500060815</v>
      </c>
    </row>
    <row r="589" spans="1:8" ht="15" customHeight="1" x14ac:dyDescent="0.25">
      <c r="A589" s="110" t="s">
        <v>5389</v>
      </c>
      <c r="B589" s="125" t="s">
        <v>1661</v>
      </c>
      <c r="C589" s="138">
        <v>1</v>
      </c>
      <c r="D589" s="138">
        <v>60</v>
      </c>
      <c r="E589" s="138">
        <v>60</v>
      </c>
      <c r="F589" s="139">
        <v>1</v>
      </c>
      <c r="H589" t="str">
        <f t="shared" si="11"/>
        <v>15000601500060815</v>
      </c>
    </row>
    <row r="590" spans="1:8" ht="15" customHeight="1" x14ac:dyDescent="0.25">
      <c r="A590" s="110" t="s">
        <v>5390</v>
      </c>
      <c r="B590" s="125" t="s">
        <v>1662</v>
      </c>
      <c r="C590" s="138">
        <v>1.76</v>
      </c>
      <c r="D590" s="138">
        <v>105.6</v>
      </c>
      <c r="E590" s="138">
        <v>34.090909090909093</v>
      </c>
      <c r="F590" s="139">
        <v>1.76</v>
      </c>
      <c r="H590" t="str">
        <f t="shared" si="11"/>
        <v>15000601500060816</v>
      </c>
    </row>
    <row r="591" spans="1:8" ht="15" customHeight="1" x14ac:dyDescent="0.25">
      <c r="A591" s="110" t="s">
        <v>5391</v>
      </c>
      <c r="B591" s="125" t="s">
        <v>1663</v>
      </c>
      <c r="C591" s="138">
        <v>1.76</v>
      </c>
      <c r="D591" s="138">
        <v>105.6</v>
      </c>
      <c r="E591" s="138">
        <v>34.090909090909093</v>
      </c>
      <c r="F591" s="139">
        <v>1.76</v>
      </c>
      <c r="H591" t="str">
        <f t="shared" si="11"/>
        <v>15000601500060817</v>
      </c>
    </row>
    <row r="592" spans="1:8" ht="15" customHeight="1" x14ac:dyDescent="0.25">
      <c r="A592" s="110" t="s">
        <v>5392</v>
      </c>
      <c r="B592" s="125" t="s">
        <v>1664</v>
      </c>
      <c r="C592" s="138">
        <v>0.7</v>
      </c>
      <c r="D592" s="138">
        <v>42</v>
      </c>
      <c r="E592" s="138">
        <v>85.714285714285708</v>
      </c>
      <c r="F592" s="139">
        <v>0.7</v>
      </c>
      <c r="H592" t="str">
        <f t="shared" si="11"/>
        <v>15000601500060818</v>
      </c>
    </row>
    <row r="593" spans="1:8" ht="15" customHeight="1" x14ac:dyDescent="0.25">
      <c r="A593" s="110" t="s">
        <v>5393</v>
      </c>
      <c r="B593" s="125" t="s">
        <v>1665</v>
      </c>
      <c r="C593" s="138">
        <v>0.7</v>
      </c>
      <c r="D593" s="138">
        <v>42</v>
      </c>
      <c r="E593" s="138">
        <v>85.714285714285708</v>
      </c>
      <c r="F593" s="139">
        <v>0.7</v>
      </c>
      <c r="H593" t="str">
        <f t="shared" si="11"/>
        <v>15000601500060819</v>
      </c>
    </row>
    <row r="594" spans="1:8" ht="15" customHeight="1" x14ac:dyDescent="0.25">
      <c r="A594" s="110" t="s">
        <v>5394</v>
      </c>
      <c r="B594" s="125" t="s">
        <v>1666</v>
      </c>
      <c r="C594" s="138">
        <v>0.7</v>
      </c>
      <c r="D594" s="138">
        <v>42</v>
      </c>
      <c r="E594" s="138">
        <v>85.714285714285708</v>
      </c>
      <c r="F594" s="139">
        <v>0.7</v>
      </c>
      <c r="H594" t="str">
        <f t="shared" si="11"/>
        <v>15000601500060820</v>
      </c>
    </row>
    <row r="595" spans="1:8" ht="15" customHeight="1" x14ac:dyDescent="0.25">
      <c r="A595" s="110" t="s">
        <v>5395</v>
      </c>
      <c r="B595" s="125" t="s">
        <v>1667</v>
      </c>
      <c r="C595" s="138">
        <v>0.7</v>
      </c>
      <c r="D595" s="138">
        <v>42</v>
      </c>
      <c r="E595" s="138">
        <v>85.714285714285708</v>
      </c>
      <c r="F595" s="139">
        <v>0.7</v>
      </c>
      <c r="H595" t="str">
        <f t="shared" si="11"/>
        <v>15000601500060821</v>
      </c>
    </row>
    <row r="596" spans="1:8" x14ac:dyDescent="0.25">
      <c r="A596" s="110" t="s">
        <v>5396</v>
      </c>
      <c r="B596" s="125" t="s">
        <v>106</v>
      </c>
      <c r="C596" s="138">
        <v>0.93</v>
      </c>
      <c r="D596" s="138">
        <v>55.800000000000004</v>
      </c>
      <c r="E596" s="138">
        <v>64.516129032258064</v>
      </c>
      <c r="F596" s="139">
        <v>0.93</v>
      </c>
      <c r="H596" t="str">
        <f t="shared" si="11"/>
        <v>15000601500060822</v>
      </c>
    </row>
    <row r="597" spans="1:8" ht="15" customHeight="1" x14ac:dyDescent="0.25">
      <c r="A597" s="110" t="s">
        <v>5396</v>
      </c>
      <c r="B597" s="125" t="s">
        <v>1668</v>
      </c>
      <c r="C597" s="138">
        <v>0.7</v>
      </c>
      <c r="D597" s="138">
        <v>42</v>
      </c>
      <c r="E597" s="138">
        <v>85.714285714285708</v>
      </c>
      <c r="F597" s="139">
        <v>0.7</v>
      </c>
      <c r="H597" t="str">
        <f t="shared" si="11"/>
        <v>15000601500060822</v>
      </c>
    </row>
    <row r="598" spans="1:8" ht="15" customHeight="1" x14ac:dyDescent="0.25">
      <c r="A598" s="110" t="s">
        <v>5397</v>
      </c>
      <c r="B598" s="125" t="s">
        <v>336</v>
      </c>
      <c r="C598" s="138">
        <v>0.93</v>
      </c>
      <c r="D598" s="138">
        <v>55.800000000000004</v>
      </c>
      <c r="E598" s="138">
        <v>64.516129032258064</v>
      </c>
      <c r="F598" s="139">
        <v>0.93</v>
      </c>
      <c r="H598" t="str">
        <f t="shared" si="11"/>
        <v>15000601500060823</v>
      </c>
    </row>
    <row r="599" spans="1:8" ht="15" customHeight="1" x14ac:dyDescent="0.25">
      <c r="A599" s="110" t="s">
        <v>5397</v>
      </c>
      <c r="B599" s="125" t="s">
        <v>1669</v>
      </c>
      <c r="C599" s="138">
        <v>1.5</v>
      </c>
      <c r="D599" s="138">
        <v>90</v>
      </c>
      <c r="E599" s="138">
        <v>40</v>
      </c>
      <c r="F599" s="139">
        <v>1.5</v>
      </c>
      <c r="H599" t="str">
        <f t="shared" si="11"/>
        <v>15000601500060823</v>
      </c>
    </row>
    <row r="600" spans="1:8" ht="15" customHeight="1" x14ac:dyDescent="0.25">
      <c r="A600" s="110" t="s">
        <v>5398</v>
      </c>
      <c r="B600" s="125" t="s">
        <v>1670</v>
      </c>
      <c r="C600" s="138">
        <v>1.5</v>
      </c>
      <c r="D600" s="138">
        <v>90</v>
      </c>
      <c r="E600" s="138">
        <v>40</v>
      </c>
      <c r="F600" s="139">
        <v>1.5</v>
      </c>
      <c r="H600" t="str">
        <f t="shared" si="11"/>
        <v>15000601500060824</v>
      </c>
    </row>
    <row r="601" spans="1:8" ht="15" customHeight="1" x14ac:dyDescent="0.25">
      <c r="A601" s="110" t="s">
        <v>5399</v>
      </c>
      <c r="B601" s="125" t="s">
        <v>1671</v>
      </c>
      <c r="C601" s="138">
        <v>1.9</v>
      </c>
      <c r="D601" s="138">
        <v>114</v>
      </c>
      <c r="E601" s="138">
        <v>31.578947368421051</v>
      </c>
      <c r="F601" s="139">
        <v>1.9</v>
      </c>
      <c r="H601" t="str">
        <f t="shared" si="11"/>
        <v>15000601500060825</v>
      </c>
    </row>
    <row r="602" spans="1:8" ht="15" customHeight="1" x14ac:dyDescent="0.25">
      <c r="A602" s="110" t="s">
        <v>5400</v>
      </c>
      <c r="B602" s="125" t="s">
        <v>107</v>
      </c>
      <c r="C602" s="138">
        <v>0.53</v>
      </c>
      <c r="D602" s="138">
        <v>31.8</v>
      </c>
      <c r="E602" s="138">
        <v>113.20754716981132</v>
      </c>
      <c r="F602" s="139">
        <v>0.53</v>
      </c>
      <c r="H602" t="str">
        <f t="shared" si="11"/>
        <v>15000601500060826</v>
      </c>
    </row>
    <row r="603" spans="1:8" ht="15" customHeight="1" x14ac:dyDescent="0.25">
      <c r="A603" s="110" t="s">
        <v>5400</v>
      </c>
      <c r="B603" s="125" t="s">
        <v>1672</v>
      </c>
      <c r="C603" s="138">
        <v>0.86</v>
      </c>
      <c r="D603" s="138">
        <v>51.6</v>
      </c>
      <c r="E603" s="138">
        <v>69.767441860465112</v>
      </c>
      <c r="F603" s="139">
        <v>0.86</v>
      </c>
      <c r="H603" t="str">
        <f t="shared" si="11"/>
        <v>15000601500060826</v>
      </c>
    </row>
    <row r="604" spans="1:8" ht="15" customHeight="1" x14ac:dyDescent="0.25">
      <c r="A604" s="110" t="s">
        <v>5401</v>
      </c>
      <c r="B604" s="125" t="s">
        <v>108</v>
      </c>
      <c r="C604" s="138">
        <v>0.53</v>
      </c>
      <c r="D604" s="138">
        <v>31.8</v>
      </c>
      <c r="E604" s="138">
        <v>113.20754716981132</v>
      </c>
      <c r="F604" s="139">
        <v>0.53</v>
      </c>
      <c r="H604" t="str">
        <f t="shared" si="11"/>
        <v>15000601500060827</v>
      </c>
    </row>
    <row r="605" spans="1:8" ht="15" customHeight="1" x14ac:dyDescent="0.25">
      <c r="A605" s="110" t="s">
        <v>5401</v>
      </c>
      <c r="B605" s="125" t="s">
        <v>1673</v>
      </c>
      <c r="C605" s="138">
        <v>0</v>
      </c>
      <c r="D605" s="138">
        <v>0</v>
      </c>
      <c r="E605" s="138" t="e">
        <v>#DIV/0!</v>
      </c>
      <c r="F605" s="139">
        <v>0</v>
      </c>
      <c r="H605" t="str">
        <f t="shared" si="11"/>
        <v>15000601500060827</v>
      </c>
    </row>
    <row r="606" spans="1:8" ht="15" customHeight="1" x14ac:dyDescent="0.25">
      <c r="A606" s="110" t="s">
        <v>5402</v>
      </c>
      <c r="B606" s="125" t="s">
        <v>992</v>
      </c>
      <c r="C606" s="138">
        <v>0.88</v>
      </c>
      <c r="D606" s="138">
        <v>52.8</v>
      </c>
      <c r="E606" s="138">
        <v>68.181818181818187</v>
      </c>
      <c r="F606" s="139">
        <v>0.88</v>
      </c>
      <c r="H606" t="str">
        <f t="shared" si="11"/>
        <v>15000601500060828</v>
      </c>
    </row>
    <row r="607" spans="1:8" ht="15" customHeight="1" x14ac:dyDescent="0.25">
      <c r="A607" s="110" t="s">
        <v>5403</v>
      </c>
      <c r="B607" s="125" t="s">
        <v>993</v>
      </c>
      <c r="C607" s="138">
        <v>0.88</v>
      </c>
      <c r="D607" s="138">
        <v>52.8</v>
      </c>
      <c r="E607" s="138">
        <v>68.181818181818187</v>
      </c>
      <c r="F607" s="139">
        <v>0.88</v>
      </c>
      <c r="H607" t="str">
        <f t="shared" si="11"/>
        <v>15000601500060829</v>
      </c>
    </row>
    <row r="608" spans="1:8" ht="15" customHeight="1" x14ac:dyDescent="0.25">
      <c r="A608" s="110" t="s">
        <v>5403</v>
      </c>
      <c r="B608" s="125" t="s">
        <v>1674</v>
      </c>
      <c r="C608" s="138">
        <v>1.9</v>
      </c>
      <c r="D608" s="138">
        <v>114</v>
      </c>
      <c r="E608" s="138">
        <v>31.578947368421051</v>
      </c>
      <c r="F608" s="139">
        <v>1.9</v>
      </c>
      <c r="H608" t="str">
        <f t="shared" si="11"/>
        <v>15000601500060829</v>
      </c>
    </row>
    <row r="609" spans="1:8" ht="15" customHeight="1" x14ac:dyDescent="0.25">
      <c r="A609" s="110" t="s">
        <v>5404</v>
      </c>
      <c r="B609" s="125" t="s">
        <v>1675</v>
      </c>
      <c r="C609" s="138">
        <v>1.9</v>
      </c>
      <c r="D609" s="138">
        <v>114</v>
      </c>
      <c r="E609" s="138">
        <v>31.578947368421051</v>
      </c>
      <c r="F609" s="139">
        <v>1.9</v>
      </c>
      <c r="H609" t="str">
        <f t="shared" si="11"/>
        <v>15000601500060830</v>
      </c>
    </row>
    <row r="610" spans="1:8" ht="15" customHeight="1" x14ac:dyDescent="0.25">
      <c r="A610" s="110" t="s">
        <v>5405</v>
      </c>
      <c r="B610" s="125" t="s">
        <v>1676</v>
      </c>
      <c r="C610" s="138">
        <v>1.9</v>
      </c>
      <c r="D610" s="138">
        <v>114</v>
      </c>
      <c r="E610" s="138">
        <v>31.578947368421051</v>
      </c>
      <c r="F610" s="139">
        <v>1.9</v>
      </c>
      <c r="H610" t="str">
        <f t="shared" si="11"/>
        <v>15000601500060831</v>
      </c>
    </row>
    <row r="611" spans="1:8" ht="15" customHeight="1" x14ac:dyDescent="0.25">
      <c r="A611" s="110" t="s">
        <v>5406</v>
      </c>
      <c r="B611" s="125" t="s">
        <v>109</v>
      </c>
      <c r="C611" s="138">
        <v>1.24</v>
      </c>
      <c r="D611" s="138">
        <v>74.400000000000006</v>
      </c>
      <c r="E611" s="138">
        <v>48.387096774193544</v>
      </c>
      <c r="F611" s="139">
        <v>1.24</v>
      </c>
      <c r="H611" t="str">
        <f t="shared" si="11"/>
        <v>15000601500060832</v>
      </c>
    </row>
    <row r="612" spans="1:8" ht="15" customHeight="1" x14ac:dyDescent="0.25">
      <c r="A612" s="110" t="s">
        <v>5406</v>
      </c>
      <c r="B612" s="125" t="s">
        <v>1677</v>
      </c>
      <c r="C612" s="138">
        <v>1.9</v>
      </c>
      <c r="D612" s="138">
        <v>114</v>
      </c>
      <c r="E612" s="138">
        <v>31.578947368421051</v>
      </c>
      <c r="F612" s="139">
        <v>1.9</v>
      </c>
      <c r="H612" t="str">
        <f t="shared" si="11"/>
        <v>15000601500060832</v>
      </c>
    </row>
    <row r="613" spans="1:8" ht="15" customHeight="1" x14ac:dyDescent="0.25">
      <c r="A613" s="110" t="s">
        <v>5407</v>
      </c>
      <c r="B613" s="125" t="s">
        <v>110</v>
      </c>
      <c r="C613" s="138">
        <v>1.24</v>
      </c>
      <c r="D613" s="138">
        <v>74.400000000000006</v>
      </c>
      <c r="E613" s="138">
        <v>48.387096774193544</v>
      </c>
      <c r="F613" s="139">
        <v>1.24</v>
      </c>
      <c r="H613" t="str">
        <f t="shared" si="11"/>
        <v>15000601500060833</v>
      </c>
    </row>
    <row r="614" spans="1:8" ht="15" customHeight="1" x14ac:dyDescent="0.25">
      <c r="A614" s="110" t="s">
        <v>5407</v>
      </c>
      <c r="B614" s="125" t="s">
        <v>1678</v>
      </c>
      <c r="C614" s="138">
        <v>1.9</v>
      </c>
      <c r="D614" s="138">
        <v>114</v>
      </c>
      <c r="E614" s="138">
        <v>31.578947368421051</v>
      </c>
      <c r="F614" s="139">
        <v>1.9</v>
      </c>
      <c r="H614" t="str">
        <f t="shared" si="11"/>
        <v>15000601500060833</v>
      </c>
    </row>
    <row r="615" spans="1:8" ht="15" customHeight="1" x14ac:dyDescent="0.25">
      <c r="A615" s="110" t="s">
        <v>5408</v>
      </c>
      <c r="B615" s="125" t="s">
        <v>111</v>
      </c>
      <c r="C615" s="138">
        <v>1.61</v>
      </c>
      <c r="D615" s="138">
        <v>96.600000000000009</v>
      </c>
      <c r="E615" s="138">
        <v>37.267080745341609</v>
      </c>
      <c r="F615" s="139">
        <v>1.61</v>
      </c>
      <c r="H615" t="str">
        <f t="shared" si="11"/>
        <v>15000601500060834</v>
      </c>
    </row>
    <row r="616" spans="1:8" ht="15" customHeight="1" x14ac:dyDescent="0.25">
      <c r="A616" s="110" t="s">
        <v>5408</v>
      </c>
      <c r="B616" s="125" t="s">
        <v>1679</v>
      </c>
      <c r="C616" s="138">
        <v>1.9</v>
      </c>
      <c r="D616" s="138">
        <v>114</v>
      </c>
      <c r="E616" s="138">
        <v>31.578947368421051</v>
      </c>
      <c r="F616" s="139">
        <v>1.9</v>
      </c>
      <c r="H616" t="str">
        <f t="shared" si="11"/>
        <v>15000601500060834</v>
      </c>
    </row>
    <row r="617" spans="1:8" ht="15" customHeight="1" x14ac:dyDescent="0.25">
      <c r="A617" s="110" t="s">
        <v>5409</v>
      </c>
      <c r="B617" s="125" t="s">
        <v>112</v>
      </c>
      <c r="C617" s="138">
        <v>0.75</v>
      </c>
      <c r="D617" s="138">
        <v>45</v>
      </c>
      <c r="E617" s="138">
        <v>80</v>
      </c>
      <c r="F617" s="139">
        <v>0.75</v>
      </c>
      <c r="H617" t="str">
        <f t="shared" si="11"/>
        <v>15000601500060835</v>
      </c>
    </row>
    <row r="618" spans="1:8" ht="15" customHeight="1" x14ac:dyDescent="0.25">
      <c r="A618" s="110" t="s">
        <v>5409</v>
      </c>
      <c r="B618" s="125" t="s">
        <v>1680</v>
      </c>
      <c r="C618" s="138">
        <v>1.2</v>
      </c>
      <c r="D618" s="138">
        <v>72</v>
      </c>
      <c r="E618" s="138">
        <v>50</v>
      </c>
      <c r="F618" s="139">
        <v>1.2</v>
      </c>
      <c r="H618" t="str">
        <f t="shared" si="11"/>
        <v>15000601500060835</v>
      </c>
    </row>
    <row r="619" spans="1:8" ht="15" customHeight="1" x14ac:dyDescent="0.25">
      <c r="A619" s="110" t="s">
        <v>5410</v>
      </c>
      <c r="B619" s="125" t="s">
        <v>113</v>
      </c>
      <c r="C619" s="138">
        <v>0.75</v>
      </c>
      <c r="D619" s="138">
        <v>45</v>
      </c>
      <c r="E619" s="138">
        <v>80</v>
      </c>
      <c r="F619" s="139">
        <v>0.75</v>
      </c>
      <c r="H619" t="str">
        <f t="shared" si="11"/>
        <v>15000601500060836</v>
      </c>
    </row>
    <row r="620" spans="1:8" ht="15" customHeight="1" x14ac:dyDescent="0.25">
      <c r="A620" s="110" t="s">
        <v>5410</v>
      </c>
      <c r="B620" s="125" t="s">
        <v>1681</v>
      </c>
      <c r="C620" s="138">
        <v>1.58</v>
      </c>
      <c r="D620" s="138">
        <v>94.800000000000011</v>
      </c>
      <c r="E620" s="138">
        <v>37.974683544303794</v>
      </c>
      <c r="F620" s="139">
        <v>1.58</v>
      </c>
      <c r="H620" t="str">
        <f t="shared" si="11"/>
        <v>15000601500060836</v>
      </c>
    </row>
    <row r="621" spans="1:8" ht="15" customHeight="1" x14ac:dyDescent="0.25">
      <c r="A621" s="110" t="s">
        <v>5411</v>
      </c>
      <c r="B621" s="125" t="s">
        <v>114</v>
      </c>
      <c r="C621" s="138">
        <v>0.19</v>
      </c>
      <c r="D621" s="138">
        <v>11.4</v>
      </c>
      <c r="E621" s="138">
        <v>315.78947368421052</v>
      </c>
      <c r="F621" s="139">
        <v>0.19</v>
      </c>
      <c r="H621" t="str">
        <f t="shared" si="11"/>
        <v>15000601500060837</v>
      </c>
    </row>
    <row r="622" spans="1:8" ht="15" customHeight="1" x14ac:dyDescent="0.25">
      <c r="A622" s="110" t="s">
        <v>5411</v>
      </c>
      <c r="B622" s="125" t="s">
        <v>1682</v>
      </c>
      <c r="C622" s="138">
        <v>1.58</v>
      </c>
      <c r="D622" s="138">
        <v>94.800000000000011</v>
      </c>
      <c r="E622" s="138">
        <v>37.974683544303794</v>
      </c>
      <c r="F622" s="139">
        <v>1.58</v>
      </c>
      <c r="H622" t="str">
        <f t="shared" ref="H622:H685" si="12">CONCATENATE($G$45,A622)</f>
        <v>15000601500060837</v>
      </c>
    </row>
    <row r="623" spans="1:8" ht="15" customHeight="1" x14ac:dyDescent="0.25">
      <c r="A623" s="110" t="s">
        <v>5412</v>
      </c>
      <c r="B623" s="125" t="s">
        <v>115</v>
      </c>
      <c r="C623" s="138">
        <v>1.1299999999999999</v>
      </c>
      <c r="D623" s="138">
        <v>67.8</v>
      </c>
      <c r="E623" s="138">
        <v>53.097345132743364</v>
      </c>
      <c r="F623" s="139">
        <v>1.1299999999999999</v>
      </c>
      <c r="H623" t="str">
        <f t="shared" si="12"/>
        <v>15000601500060838</v>
      </c>
    </row>
    <row r="624" spans="1:8" ht="15" customHeight="1" x14ac:dyDescent="0.25">
      <c r="A624" s="110" t="s">
        <v>5412</v>
      </c>
      <c r="B624" s="125" t="s">
        <v>1683</v>
      </c>
      <c r="C624" s="138">
        <v>1.2</v>
      </c>
      <c r="D624" s="138">
        <v>72</v>
      </c>
      <c r="E624" s="138">
        <v>50</v>
      </c>
      <c r="F624" s="139">
        <v>1.2</v>
      </c>
      <c r="H624" t="str">
        <f t="shared" si="12"/>
        <v>15000601500060838</v>
      </c>
    </row>
    <row r="625" spans="1:8" ht="15" customHeight="1" x14ac:dyDescent="0.25">
      <c r="A625" s="110" t="s">
        <v>5413</v>
      </c>
      <c r="B625" s="125" t="s">
        <v>116</v>
      </c>
      <c r="C625" s="138">
        <v>0.77</v>
      </c>
      <c r="D625" s="138">
        <v>46.2</v>
      </c>
      <c r="E625" s="138">
        <v>77.922077922077918</v>
      </c>
      <c r="F625" s="139">
        <v>0.77</v>
      </c>
      <c r="H625" t="str">
        <f t="shared" si="12"/>
        <v>15000601500060839</v>
      </c>
    </row>
    <row r="626" spans="1:8" ht="15" customHeight="1" x14ac:dyDescent="0.25">
      <c r="A626" s="110" t="s">
        <v>5413</v>
      </c>
      <c r="B626" s="125" t="s">
        <v>1684</v>
      </c>
      <c r="C626" s="138">
        <v>1.58</v>
      </c>
      <c r="D626" s="138">
        <v>94.800000000000011</v>
      </c>
      <c r="E626" s="138">
        <v>37.974683544303794</v>
      </c>
      <c r="F626" s="139">
        <v>1.58</v>
      </c>
      <c r="H626" t="str">
        <f t="shared" si="12"/>
        <v>15000601500060839</v>
      </c>
    </row>
    <row r="627" spans="1:8" ht="15" customHeight="1" x14ac:dyDescent="0.25">
      <c r="A627" s="110" t="s">
        <v>5414</v>
      </c>
      <c r="B627" s="125" t="s">
        <v>117</v>
      </c>
      <c r="C627" s="138">
        <v>0.77</v>
      </c>
      <c r="D627" s="138">
        <v>46.2</v>
      </c>
      <c r="E627" s="138">
        <v>77.922077922077918</v>
      </c>
      <c r="F627" s="139">
        <v>0.77</v>
      </c>
      <c r="H627" t="str">
        <f t="shared" si="12"/>
        <v>15000601500060840</v>
      </c>
    </row>
    <row r="628" spans="1:8" ht="15" customHeight="1" x14ac:dyDescent="0.25">
      <c r="A628" s="110" t="s">
        <v>5414</v>
      </c>
      <c r="B628" s="125" t="s">
        <v>1685</v>
      </c>
      <c r="C628" s="138">
        <v>1.58</v>
      </c>
      <c r="D628" s="138">
        <v>94.800000000000011</v>
      </c>
      <c r="E628" s="138">
        <v>37.974683544303794</v>
      </c>
      <c r="F628" s="139">
        <v>1.58</v>
      </c>
      <c r="H628" t="str">
        <f t="shared" si="12"/>
        <v>15000601500060840</v>
      </c>
    </row>
    <row r="629" spans="1:8" ht="15" customHeight="1" x14ac:dyDescent="0.25">
      <c r="A629" s="110" t="s">
        <v>5415</v>
      </c>
      <c r="B629" s="125" t="s">
        <v>337</v>
      </c>
      <c r="C629" s="138">
        <v>0.34</v>
      </c>
      <c r="D629" s="138">
        <v>20.400000000000002</v>
      </c>
      <c r="E629" s="138">
        <v>176.47058823529409</v>
      </c>
      <c r="F629" s="139">
        <v>0.34</v>
      </c>
      <c r="H629" t="str">
        <f t="shared" si="12"/>
        <v>15000601500060841</v>
      </c>
    </row>
    <row r="630" spans="1:8" ht="15" customHeight="1" x14ac:dyDescent="0.25">
      <c r="A630" s="110" t="s">
        <v>5415</v>
      </c>
      <c r="B630" s="125" t="s">
        <v>1686</v>
      </c>
      <c r="C630" s="138">
        <v>1.58</v>
      </c>
      <c r="D630" s="138">
        <v>94.800000000000011</v>
      </c>
      <c r="E630" s="138">
        <v>37.974683544303794</v>
      </c>
      <c r="F630" s="139">
        <v>1.58</v>
      </c>
      <c r="H630" t="str">
        <f t="shared" si="12"/>
        <v>15000601500060841</v>
      </c>
    </row>
    <row r="631" spans="1:8" ht="15" customHeight="1" x14ac:dyDescent="0.25">
      <c r="A631" s="110" t="s">
        <v>5416</v>
      </c>
      <c r="B631" s="125" t="s">
        <v>338</v>
      </c>
      <c r="C631" s="138">
        <v>0.34</v>
      </c>
      <c r="D631" s="138">
        <v>20.400000000000002</v>
      </c>
      <c r="E631" s="138">
        <v>176.47058823529409</v>
      </c>
      <c r="F631" s="139">
        <v>0.34</v>
      </c>
      <c r="H631" t="str">
        <f t="shared" si="12"/>
        <v>15000601500060842</v>
      </c>
    </row>
    <row r="632" spans="1:8" ht="15" customHeight="1" x14ac:dyDescent="0.25">
      <c r="A632" s="110" t="s">
        <v>5416</v>
      </c>
      <c r="B632" s="125" t="s">
        <v>1687</v>
      </c>
      <c r="C632" s="138">
        <v>1.58</v>
      </c>
      <c r="D632" s="138">
        <v>94.800000000000011</v>
      </c>
      <c r="E632" s="138">
        <v>37.974683544303794</v>
      </c>
      <c r="F632" s="139">
        <v>1.58</v>
      </c>
      <c r="H632" t="str">
        <f t="shared" si="12"/>
        <v>15000601500060842</v>
      </c>
    </row>
    <row r="633" spans="1:8" ht="15" customHeight="1" x14ac:dyDescent="0.25">
      <c r="A633" s="110" t="s">
        <v>5417</v>
      </c>
      <c r="B633" s="125" t="s">
        <v>1688</v>
      </c>
      <c r="C633" s="138">
        <v>1.58</v>
      </c>
      <c r="D633" s="138">
        <v>94.800000000000011</v>
      </c>
      <c r="E633" s="138">
        <v>37.974683544303794</v>
      </c>
      <c r="F633" s="139">
        <v>1.58</v>
      </c>
      <c r="H633" t="str">
        <f t="shared" si="12"/>
        <v>15000601500060843</v>
      </c>
    </row>
    <row r="634" spans="1:8" ht="15" customHeight="1" x14ac:dyDescent="0.25">
      <c r="A634" s="110" t="s">
        <v>5418</v>
      </c>
      <c r="B634" s="125" t="s">
        <v>1689</v>
      </c>
      <c r="C634" s="138">
        <v>1.58</v>
      </c>
      <c r="D634" s="138">
        <v>94.800000000000011</v>
      </c>
      <c r="E634" s="138">
        <v>37.974683544303794</v>
      </c>
      <c r="F634" s="139">
        <v>1.58</v>
      </c>
      <c r="H634" t="str">
        <f t="shared" si="12"/>
        <v>15000601500060844</v>
      </c>
    </row>
    <row r="635" spans="1:8" ht="15" customHeight="1" x14ac:dyDescent="0.25">
      <c r="A635" s="110" t="s">
        <v>5419</v>
      </c>
      <c r="B635" s="125" t="s">
        <v>994</v>
      </c>
      <c r="C635" s="138">
        <v>0.62</v>
      </c>
      <c r="D635" s="138">
        <v>37.200000000000003</v>
      </c>
      <c r="E635" s="138">
        <v>96.774193548387089</v>
      </c>
      <c r="F635" s="139">
        <v>0.62</v>
      </c>
      <c r="H635" t="str">
        <f t="shared" si="12"/>
        <v>15000601500060845</v>
      </c>
    </row>
    <row r="636" spans="1:8" ht="15" customHeight="1" x14ac:dyDescent="0.25">
      <c r="A636" s="110" t="s">
        <v>5419</v>
      </c>
      <c r="B636" s="125" t="s">
        <v>1690</v>
      </c>
      <c r="C636" s="138">
        <v>1.58</v>
      </c>
      <c r="D636" s="138">
        <v>94.800000000000011</v>
      </c>
      <c r="E636" s="138">
        <v>37.974683544303794</v>
      </c>
      <c r="F636" s="139">
        <v>1.58</v>
      </c>
      <c r="H636" t="str">
        <f t="shared" si="12"/>
        <v>15000601500060845</v>
      </c>
    </row>
    <row r="637" spans="1:8" ht="15" customHeight="1" x14ac:dyDescent="0.25">
      <c r="A637" s="110" t="s">
        <v>5420</v>
      </c>
      <c r="B637" s="125" t="s">
        <v>995</v>
      </c>
      <c r="C637" s="138">
        <v>0.62</v>
      </c>
      <c r="D637" s="138">
        <v>37.200000000000003</v>
      </c>
      <c r="E637" s="138">
        <v>96.774193548387089</v>
      </c>
      <c r="F637" s="139">
        <v>0.62</v>
      </c>
      <c r="H637" t="str">
        <f t="shared" si="12"/>
        <v>15000601500060846</v>
      </c>
    </row>
    <row r="638" spans="1:8" ht="15" customHeight="1" x14ac:dyDescent="0.25">
      <c r="A638" s="110" t="s">
        <v>5420</v>
      </c>
      <c r="B638" s="125" t="s">
        <v>1691</v>
      </c>
      <c r="C638" s="138">
        <v>1.58</v>
      </c>
      <c r="D638" s="138">
        <v>94.800000000000011</v>
      </c>
      <c r="E638" s="138">
        <v>37.974683544303794</v>
      </c>
      <c r="F638" s="139">
        <v>1.58</v>
      </c>
      <c r="H638" t="str">
        <f t="shared" si="12"/>
        <v>15000601500060846</v>
      </c>
    </row>
    <row r="639" spans="1:8" ht="15" customHeight="1" x14ac:dyDescent="0.25">
      <c r="A639" s="110" t="s">
        <v>5421</v>
      </c>
      <c r="B639" s="125" t="s">
        <v>511</v>
      </c>
      <c r="C639" s="138">
        <v>0.81</v>
      </c>
      <c r="D639" s="138">
        <v>48.6</v>
      </c>
      <c r="E639" s="138">
        <v>74.074074074074076</v>
      </c>
      <c r="F639" s="139">
        <v>0.81</v>
      </c>
      <c r="H639" t="str">
        <f t="shared" si="12"/>
        <v>15000601500060847</v>
      </c>
    </row>
    <row r="640" spans="1:8" ht="15" customHeight="1" x14ac:dyDescent="0.25">
      <c r="A640" s="110" t="s">
        <v>5421</v>
      </c>
      <c r="B640" s="125" t="s">
        <v>1674</v>
      </c>
      <c r="C640" s="138">
        <v>1.9</v>
      </c>
      <c r="D640" s="138">
        <v>114</v>
      </c>
      <c r="E640" s="138">
        <v>31.578947368421051</v>
      </c>
      <c r="F640" s="139">
        <v>1.9</v>
      </c>
      <c r="H640" t="str">
        <f t="shared" si="12"/>
        <v>15000601500060847</v>
      </c>
    </row>
    <row r="641" spans="1:8" ht="15" customHeight="1" x14ac:dyDescent="0.25">
      <c r="A641" s="110" t="s">
        <v>5422</v>
      </c>
      <c r="B641" s="125" t="s">
        <v>512</v>
      </c>
      <c r="C641" s="138">
        <v>0.81</v>
      </c>
      <c r="D641" s="138">
        <v>48.6</v>
      </c>
      <c r="E641" s="138">
        <v>74.074074074074076</v>
      </c>
      <c r="F641" s="139">
        <v>0.81</v>
      </c>
      <c r="H641" t="str">
        <f t="shared" si="12"/>
        <v>15000601500060848</v>
      </c>
    </row>
    <row r="642" spans="1:8" ht="15" customHeight="1" x14ac:dyDescent="0.25">
      <c r="A642" s="110" t="s">
        <v>5422</v>
      </c>
      <c r="B642" s="125" t="s">
        <v>1675</v>
      </c>
      <c r="C642" s="138">
        <v>1.9</v>
      </c>
      <c r="D642" s="138">
        <v>114</v>
      </c>
      <c r="E642" s="138">
        <v>31.578947368421051</v>
      </c>
      <c r="F642" s="139">
        <v>1.9</v>
      </c>
      <c r="H642" t="str">
        <f t="shared" si="12"/>
        <v>15000601500060848</v>
      </c>
    </row>
    <row r="643" spans="1:8" ht="15" customHeight="1" x14ac:dyDescent="0.25">
      <c r="A643" s="110" t="s">
        <v>5423</v>
      </c>
      <c r="B643" s="125" t="s">
        <v>1692</v>
      </c>
      <c r="C643" s="138">
        <v>1.2</v>
      </c>
      <c r="D643" s="138">
        <v>72</v>
      </c>
      <c r="E643" s="138">
        <v>50</v>
      </c>
      <c r="F643" s="139">
        <v>1.2</v>
      </c>
      <c r="H643" t="str">
        <f t="shared" si="12"/>
        <v>15000601500060849</v>
      </c>
    </row>
    <row r="644" spans="1:8" ht="15" customHeight="1" x14ac:dyDescent="0.25">
      <c r="A644" s="110" t="s">
        <v>5424</v>
      </c>
      <c r="B644" s="125" t="s">
        <v>1693</v>
      </c>
      <c r="C644" s="138">
        <v>1.2</v>
      </c>
      <c r="D644" s="138">
        <v>72</v>
      </c>
      <c r="E644" s="138">
        <v>50</v>
      </c>
      <c r="F644" s="139">
        <v>1.2</v>
      </c>
      <c r="H644" t="str">
        <f t="shared" si="12"/>
        <v>15000601500060850</v>
      </c>
    </row>
    <row r="645" spans="1:8" ht="15" customHeight="1" x14ac:dyDescent="0.25">
      <c r="A645" s="110" t="s">
        <v>5425</v>
      </c>
      <c r="B645" s="125" t="s">
        <v>513</v>
      </c>
      <c r="C645" s="138">
        <v>0.81</v>
      </c>
      <c r="D645" s="138">
        <v>48.6</v>
      </c>
      <c r="E645" s="138">
        <v>74.074074074074076</v>
      </c>
      <c r="F645" s="139">
        <v>0.81</v>
      </c>
      <c r="H645" t="str">
        <f t="shared" si="12"/>
        <v>15000601500060851</v>
      </c>
    </row>
    <row r="646" spans="1:8" ht="15" customHeight="1" x14ac:dyDescent="0.25">
      <c r="A646" s="110" t="s">
        <v>5425</v>
      </c>
      <c r="B646" s="125" t="s">
        <v>1694</v>
      </c>
      <c r="C646" s="138">
        <v>1.2</v>
      </c>
      <c r="D646" s="138">
        <v>72</v>
      </c>
      <c r="E646" s="138">
        <v>50</v>
      </c>
      <c r="F646" s="139">
        <v>1.2</v>
      </c>
      <c r="H646" t="str">
        <f t="shared" si="12"/>
        <v>15000601500060851</v>
      </c>
    </row>
    <row r="647" spans="1:8" ht="15" customHeight="1" x14ac:dyDescent="0.25">
      <c r="A647" s="110" t="s">
        <v>5426</v>
      </c>
      <c r="B647" s="125" t="s">
        <v>514</v>
      </c>
      <c r="C647" s="138">
        <v>0.81</v>
      </c>
      <c r="D647" s="138">
        <v>48.6</v>
      </c>
      <c r="E647" s="138">
        <v>74.074074074074076</v>
      </c>
      <c r="F647" s="139">
        <v>0.81</v>
      </c>
      <c r="H647" t="str">
        <f t="shared" si="12"/>
        <v>15000601500060852</v>
      </c>
    </row>
    <row r="648" spans="1:8" ht="15" customHeight="1" x14ac:dyDescent="0.25">
      <c r="A648" s="110" t="s">
        <v>5426</v>
      </c>
      <c r="B648" s="125" t="s">
        <v>1695</v>
      </c>
      <c r="C648" s="138">
        <v>0</v>
      </c>
      <c r="D648" s="138">
        <v>0</v>
      </c>
      <c r="E648" s="138" t="e">
        <v>#DIV/0!</v>
      </c>
      <c r="F648" s="139">
        <v>0</v>
      </c>
      <c r="H648" t="str">
        <f t="shared" si="12"/>
        <v>15000601500060852</v>
      </c>
    </row>
    <row r="649" spans="1:8" ht="15" customHeight="1" x14ac:dyDescent="0.25">
      <c r="A649" s="110" t="s">
        <v>5427</v>
      </c>
      <c r="B649" s="125" t="s">
        <v>996</v>
      </c>
      <c r="C649" s="138">
        <v>0.42</v>
      </c>
      <c r="D649" s="138">
        <v>25.2</v>
      </c>
      <c r="E649" s="138">
        <v>142.85714285714286</v>
      </c>
      <c r="F649" s="139">
        <v>0.42</v>
      </c>
      <c r="H649" t="str">
        <f t="shared" si="12"/>
        <v>15000601500060853</v>
      </c>
    </row>
    <row r="650" spans="1:8" ht="15" customHeight="1" x14ac:dyDescent="0.25">
      <c r="A650" s="110" t="s">
        <v>5427</v>
      </c>
      <c r="B650" s="125" t="s">
        <v>1696</v>
      </c>
      <c r="C650" s="138">
        <v>0</v>
      </c>
      <c r="D650" s="138">
        <v>0</v>
      </c>
      <c r="E650" s="138" t="e">
        <v>#DIV/0!</v>
      </c>
      <c r="F650" s="139">
        <v>0</v>
      </c>
      <c r="H650" t="str">
        <f t="shared" si="12"/>
        <v>15000601500060853</v>
      </c>
    </row>
    <row r="651" spans="1:8" ht="15" customHeight="1" x14ac:dyDescent="0.25">
      <c r="A651" s="110" t="s">
        <v>5428</v>
      </c>
      <c r="B651" s="125" t="s">
        <v>997</v>
      </c>
      <c r="C651" s="138">
        <v>0.42</v>
      </c>
      <c r="D651" s="138">
        <v>25.2</v>
      </c>
      <c r="E651" s="138">
        <v>142.85714285714286</v>
      </c>
      <c r="F651" s="139">
        <v>0.42</v>
      </c>
      <c r="H651" t="str">
        <f t="shared" si="12"/>
        <v>15000601500060854</v>
      </c>
    </row>
    <row r="652" spans="1:8" ht="15" customHeight="1" x14ac:dyDescent="0.25">
      <c r="A652" s="110" t="s">
        <v>5428</v>
      </c>
      <c r="B652" s="125" t="s">
        <v>1697</v>
      </c>
      <c r="C652" s="138">
        <v>0</v>
      </c>
      <c r="D652" s="138">
        <v>0</v>
      </c>
      <c r="E652" s="138" t="e">
        <v>#DIV/0!</v>
      </c>
      <c r="F652" s="139">
        <v>0</v>
      </c>
      <c r="H652" t="str">
        <f t="shared" si="12"/>
        <v>15000601500060854</v>
      </c>
    </row>
    <row r="653" spans="1:8" ht="15" customHeight="1" x14ac:dyDescent="0.25">
      <c r="A653" s="110" t="s">
        <v>5429</v>
      </c>
      <c r="B653" s="125" t="s">
        <v>998</v>
      </c>
      <c r="C653" s="138">
        <v>0.42</v>
      </c>
      <c r="D653" s="138">
        <v>25.2</v>
      </c>
      <c r="E653" s="138">
        <v>142.85714285714286</v>
      </c>
      <c r="F653" s="139">
        <v>0.42</v>
      </c>
      <c r="H653" t="str">
        <f t="shared" si="12"/>
        <v>15000601500060855</v>
      </c>
    </row>
    <row r="654" spans="1:8" ht="15" customHeight="1" x14ac:dyDescent="0.25">
      <c r="A654" s="110" t="s">
        <v>5430</v>
      </c>
      <c r="B654" s="125" t="s">
        <v>999</v>
      </c>
      <c r="C654" s="138">
        <v>0.42</v>
      </c>
      <c r="D654" s="138">
        <v>25.2</v>
      </c>
      <c r="E654" s="138">
        <v>142.85714285714286</v>
      </c>
      <c r="F654" s="139">
        <v>0.42</v>
      </c>
      <c r="H654" t="str">
        <f t="shared" si="12"/>
        <v>15000601500060856</v>
      </c>
    </row>
    <row r="655" spans="1:8" ht="15" customHeight="1" x14ac:dyDescent="0.25">
      <c r="A655" s="110" t="s">
        <v>5430</v>
      </c>
      <c r="B655" s="125" t="s">
        <v>1698</v>
      </c>
      <c r="C655" s="138">
        <v>0</v>
      </c>
      <c r="D655" s="138">
        <v>0</v>
      </c>
      <c r="E655" s="138" t="e">
        <v>#DIV/0!</v>
      </c>
      <c r="F655" s="139">
        <v>0</v>
      </c>
      <c r="H655" t="str">
        <f t="shared" si="12"/>
        <v>15000601500060856</v>
      </c>
    </row>
    <row r="656" spans="1:8" ht="15" customHeight="1" x14ac:dyDescent="0.25">
      <c r="A656" s="110" t="s">
        <v>5431</v>
      </c>
      <c r="B656" s="125" t="s">
        <v>1000</v>
      </c>
      <c r="C656" s="138">
        <v>0.79</v>
      </c>
      <c r="D656" s="138">
        <v>47.400000000000006</v>
      </c>
      <c r="E656" s="138">
        <v>75.949367088607588</v>
      </c>
      <c r="F656" s="139">
        <v>0.79</v>
      </c>
      <c r="H656" t="str">
        <f t="shared" si="12"/>
        <v>15000601500060857</v>
      </c>
    </row>
    <row r="657" spans="1:8" ht="15" customHeight="1" x14ac:dyDescent="0.25">
      <c r="A657" s="110" t="s">
        <v>5431</v>
      </c>
      <c r="B657" s="125" t="s">
        <v>1699</v>
      </c>
      <c r="C657" s="138">
        <v>0.8</v>
      </c>
      <c r="D657" s="138">
        <v>48</v>
      </c>
      <c r="E657" s="138">
        <v>75</v>
      </c>
      <c r="F657" s="139">
        <v>0.8</v>
      </c>
      <c r="H657" t="str">
        <f t="shared" si="12"/>
        <v>15000601500060857</v>
      </c>
    </row>
    <row r="658" spans="1:8" ht="15" customHeight="1" x14ac:dyDescent="0.25">
      <c r="A658" s="110" t="s">
        <v>5432</v>
      </c>
      <c r="B658" s="125" t="s">
        <v>1001</v>
      </c>
      <c r="C658" s="138">
        <v>0.79</v>
      </c>
      <c r="D658" s="138">
        <v>47.400000000000006</v>
      </c>
      <c r="E658" s="138">
        <v>75.949367088607588</v>
      </c>
      <c r="F658" s="139">
        <v>0.79</v>
      </c>
      <c r="H658" t="str">
        <f t="shared" si="12"/>
        <v>15000601500060858</v>
      </c>
    </row>
    <row r="659" spans="1:8" ht="15" customHeight="1" x14ac:dyDescent="0.25">
      <c r="A659" s="110" t="s">
        <v>5432</v>
      </c>
      <c r="B659" s="125" t="s">
        <v>1700</v>
      </c>
      <c r="C659" s="138">
        <v>1.5</v>
      </c>
      <c r="D659" s="138">
        <v>90</v>
      </c>
      <c r="E659" s="138">
        <v>40</v>
      </c>
      <c r="F659" s="139">
        <v>1.5</v>
      </c>
      <c r="H659" t="str">
        <f t="shared" si="12"/>
        <v>15000601500060858</v>
      </c>
    </row>
    <row r="660" spans="1:8" ht="15" customHeight="1" x14ac:dyDescent="0.25">
      <c r="A660" s="110" t="s">
        <v>5433</v>
      </c>
      <c r="B660" s="125" t="s">
        <v>1002</v>
      </c>
      <c r="C660" s="138">
        <v>0.78</v>
      </c>
      <c r="D660" s="138">
        <v>46.800000000000004</v>
      </c>
      <c r="E660" s="138">
        <v>76.92307692307692</v>
      </c>
      <c r="F660" s="139">
        <v>0.78</v>
      </c>
      <c r="H660" t="str">
        <f t="shared" si="12"/>
        <v>15000601500060859</v>
      </c>
    </row>
    <row r="661" spans="1:8" ht="15" customHeight="1" x14ac:dyDescent="0.25">
      <c r="A661" s="110" t="s">
        <v>5433</v>
      </c>
      <c r="B661" s="125" t="s">
        <v>1701</v>
      </c>
      <c r="C661" s="138">
        <v>1.5</v>
      </c>
      <c r="D661" s="138">
        <v>90</v>
      </c>
      <c r="E661" s="138">
        <v>40</v>
      </c>
      <c r="F661" s="139">
        <v>1.5</v>
      </c>
      <c r="H661" t="str">
        <f t="shared" si="12"/>
        <v>15000601500060859</v>
      </c>
    </row>
    <row r="662" spans="1:8" ht="15" customHeight="1" x14ac:dyDescent="0.25">
      <c r="A662" s="110" t="s">
        <v>5434</v>
      </c>
      <c r="B662" s="125" t="s">
        <v>1003</v>
      </c>
      <c r="C662" s="138">
        <v>0.78</v>
      </c>
      <c r="D662" s="138">
        <v>46.800000000000004</v>
      </c>
      <c r="E662" s="138">
        <v>76.92307692307692</v>
      </c>
      <c r="F662" s="139">
        <v>0.78</v>
      </c>
      <c r="H662" t="str">
        <f t="shared" si="12"/>
        <v>15000601500060860</v>
      </c>
    </row>
    <row r="663" spans="1:8" ht="15" customHeight="1" x14ac:dyDescent="0.25">
      <c r="A663" s="110" t="s">
        <v>5434</v>
      </c>
      <c r="B663" s="125" t="s">
        <v>1702</v>
      </c>
      <c r="C663" s="138">
        <v>0</v>
      </c>
      <c r="D663" s="138">
        <v>0</v>
      </c>
      <c r="E663" s="138" t="e">
        <v>#DIV/0!</v>
      </c>
      <c r="F663" s="139">
        <v>0</v>
      </c>
      <c r="H663" t="str">
        <f t="shared" si="12"/>
        <v>15000601500060860</v>
      </c>
    </row>
    <row r="664" spans="1:8" ht="15" customHeight="1" x14ac:dyDescent="0.25">
      <c r="A664" s="110" t="s">
        <v>5435</v>
      </c>
      <c r="B664" s="125" t="s">
        <v>1004</v>
      </c>
      <c r="C664" s="138">
        <v>0.67</v>
      </c>
      <c r="D664" s="138">
        <v>40.200000000000003</v>
      </c>
      <c r="E664" s="138">
        <v>89.552238805970148</v>
      </c>
      <c r="F664" s="139">
        <v>0.67</v>
      </c>
      <c r="H664" t="str">
        <f t="shared" si="12"/>
        <v>15000601500060861</v>
      </c>
    </row>
    <row r="665" spans="1:8" ht="15" customHeight="1" x14ac:dyDescent="0.25">
      <c r="A665" s="110" t="s">
        <v>5436</v>
      </c>
      <c r="B665" s="125" t="s">
        <v>515</v>
      </c>
      <c r="C665" s="138">
        <v>0.67</v>
      </c>
      <c r="D665" s="138">
        <v>40.200000000000003</v>
      </c>
      <c r="E665" s="138">
        <v>89.552238805970148</v>
      </c>
      <c r="F665" s="139">
        <v>0.67</v>
      </c>
      <c r="H665" t="str">
        <f t="shared" si="12"/>
        <v>15000601500060862</v>
      </c>
    </row>
    <row r="666" spans="1:8" ht="15" customHeight="1" x14ac:dyDescent="0.25">
      <c r="A666" s="110" t="s">
        <v>5436</v>
      </c>
      <c r="B666" s="125" t="s">
        <v>1703</v>
      </c>
      <c r="C666" s="138">
        <v>0</v>
      </c>
      <c r="D666" s="138">
        <v>0</v>
      </c>
      <c r="E666" s="138" t="e">
        <v>#DIV/0!</v>
      </c>
      <c r="F666" s="139">
        <v>0</v>
      </c>
      <c r="H666" t="str">
        <f t="shared" si="12"/>
        <v>15000601500060862</v>
      </c>
    </row>
    <row r="667" spans="1:8" ht="15" customHeight="1" x14ac:dyDescent="0.25">
      <c r="A667" s="110" t="s">
        <v>5437</v>
      </c>
      <c r="B667" s="125" t="s">
        <v>1704</v>
      </c>
      <c r="C667" s="138">
        <v>0</v>
      </c>
      <c r="D667" s="138">
        <v>0</v>
      </c>
      <c r="E667" s="138" t="e">
        <v>#DIV/0!</v>
      </c>
      <c r="F667" s="139">
        <v>0</v>
      </c>
      <c r="H667" t="str">
        <f t="shared" si="12"/>
        <v>15000601500060863</v>
      </c>
    </row>
    <row r="668" spans="1:8" ht="15" customHeight="1" x14ac:dyDescent="0.25">
      <c r="A668" s="110" t="s">
        <v>5438</v>
      </c>
      <c r="B668" s="125" t="s">
        <v>1705</v>
      </c>
      <c r="C668" s="138">
        <v>0</v>
      </c>
      <c r="D668" s="138">
        <v>0</v>
      </c>
      <c r="E668" s="138" t="e">
        <v>#DIV/0!</v>
      </c>
      <c r="F668" s="139">
        <v>0</v>
      </c>
      <c r="H668" t="str">
        <f t="shared" si="12"/>
        <v>15000601500060864</v>
      </c>
    </row>
    <row r="669" spans="1:8" ht="15" customHeight="1" x14ac:dyDescent="0.25">
      <c r="A669" s="110" t="s">
        <v>5439</v>
      </c>
      <c r="B669" s="125" t="s">
        <v>1706</v>
      </c>
      <c r="C669" s="138">
        <v>0</v>
      </c>
      <c r="D669" s="138">
        <v>0</v>
      </c>
      <c r="E669" s="138" t="e">
        <v>#DIV/0!</v>
      </c>
      <c r="F669" s="139">
        <v>0</v>
      </c>
      <c r="H669" t="str">
        <f t="shared" si="12"/>
        <v>15000601500060865</v>
      </c>
    </row>
    <row r="670" spans="1:8" ht="15" customHeight="1" x14ac:dyDescent="0.25">
      <c r="A670" s="110" t="s">
        <v>5440</v>
      </c>
      <c r="B670" s="125" t="s">
        <v>1707</v>
      </c>
      <c r="C670" s="138">
        <v>0</v>
      </c>
      <c r="D670" s="138">
        <v>0</v>
      </c>
      <c r="E670" s="138" t="e">
        <v>#DIV/0!</v>
      </c>
      <c r="F670" s="139">
        <v>0</v>
      </c>
      <c r="H670" t="str">
        <f t="shared" si="12"/>
        <v>15000601500060866</v>
      </c>
    </row>
    <row r="671" spans="1:8" ht="15" customHeight="1" x14ac:dyDescent="0.25">
      <c r="A671" s="110" t="s">
        <v>5441</v>
      </c>
      <c r="B671" s="125" t="s">
        <v>1005</v>
      </c>
      <c r="C671" s="138">
        <v>0.79</v>
      </c>
      <c r="D671" s="138">
        <v>47.400000000000006</v>
      </c>
      <c r="E671" s="138">
        <v>75.949367088607588</v>
      </c>
      <c r="F671" s="139">
        <v>0.79</v>
      </c>
      <c r="H671" t="str">
        <f t="shared" si="12"/>
        <v>15000601500060867</v>
      </c>
    </row>
    <row r="672" spans="1:8" ht="15" customHeight="1" x14ac:dyDescent="0.25">
      <c r="A672" s="110" t="s">
        <v>5441</v>
      </c>
      <c r="B672" s="125" t="s">
        <v>1708</v>
      </c>
      <c r="C672" s="138">
        <v>0</v>
      </c>
      <c r="D672" s="138">
        <v>0</v>
      </c>
      <c r="E672" s="138" t="e">
        <v>#DIV/0!</v>
      </c>
      <c r="F672" s="139">
        <v>0</v>
      </c>
      <c r="H672" t="str">
        <f t="shared" si="12"/>
        <v>15000601500060867</v>
      </c>
    </row>
    <row r="673" spans="1:8" ht="15" customHeight="1" x14ac:dyDescent="0.25">
      <c r="A673" s="110" t="s">
        <v>5442</v>
      </c>
      <c r="B673" s="125" t="s">
        <v>1006</v>
      </c>
      <c r="C673" s="138">
        <v>0.79</v>
      </c>
      <c r="D673" s="138">
        <v>47.400000000000006</v>
      </c>
      <c r="E673" s="138">
        <v>75.949367088607588</v>
      </c>
      <c r="F673" s="139">
        <v>0.79</v>
      </c>
      <c r="H673" t="str">
        <f t="shared" si="12"/>
        <v>15000601500060868</v>
      </c>
    </row>
    <row r="674" spans="1:8" ht="15" customHeight="1" x14ac:dyDescent="0.25">
      <c r="A674" s="110" t="s">
        <v>5442</v>
      </c>
      <c r="B674" s="125" t="s">
        <v>1709</v>
      </c>
      <c r="C674" s="138">
        <v>0</v>
      </c>
      <c r="D674" s="138">
        <v>0</v>
      </c>
      <c r="E674" s="138" t="e">
        <v>#DIV/0!</v>
      </c>
      <c r="F674" s="139">
        <v>0</v>
      </c>
      <c r="H674" t="str">
        <f t="shared" si="12"/>
        <v>15000601500060868</v>
      </c>
    </row>
    <row r="675" spans="1:8" ht="15" customHeight="1" x14ac:dyDescent="0.25">
      <c r="A675" s="110" t="s">
        <v>5443</v>
      </c>
      <c r="B675" s="125" t="s">
        <v>339</v>
      </c>
      <c r="C675" s="138">
        <v>1</v>
      </c>
      <c r="D675" s="138">
        <v>60</v>
      </c>
      <c r="E675" s="138">
        <v>60</v>
      </c>
      <c r="F675" s="139">
        <v>1</v>
      </c>
      <c r="H675" t="str">
        <f t="shared" si="12"/>
        <v>15000601500060869</v>
      </c>
    </row>
    <row r="676" spans="1:8" ht="15" customHeight="1" x14ac:dyDescent="0.25">
      <c r="A676" s="110" t="s">
        <v>5443</v>
      </c>
      <c r="B676" s="125" t="s">
        <v>1710</v>
      </c>
      <c r="C676" s="138">
        <v>0</v>
      </c>
      <c r="D676" s="138">
        <v>0</v>
      </c>
      <c r="E676" s="138" t="e">
        <v>#DIV/0!</v>
      </c>
      <c r="F676" s="139">
        <v>0</v>
      </c>
      <c r="H676" t="str">
        <f t="shared" si="12"/>
        <v>15000601500060869</v>
      </c>
    </row>
    <row r="677" spans="1:8" ht="15" customHeight="1" x14ac:dyDescent="0.25">
      <c r="A677" s="110" t="s">
        <v>5444</v>
      </c>
      <c r="B677" s="125" t="s">
        <v>340</v>
      </c>
      <c r="C677" s="138">
        <v>1</v>
      </c>
      <c r="D677" s="138">
        <v>60</v>
      </c>
      <c r="E677" s="138">
        <v>60</v>
      </c>
      <c r="F677" s="139">
        <v>1</v>
      </c>
      <c r="H677" t="str">
        <f t="shared" si="12"/>
        <v>15000601500060870</v>
      </c>
    </row>
    <row r="678" spans="1:8" ht="15" customHeight="1" x14ac:dyDescent="0.25">
      <c r="A678" s="110" t="s">
        <v>5444</v>
      </c>
      <c r="B678" s="125" t="s">
        <v>1711</v>
      </c>
      <c r="C678" s="138">
        <v>0</v>
      </c>
      <c r="D678" s="138">
        <v>0</v>
      </c>
      <c r="E678" s="138" t="e">
        <v>#DIV/0!</v>
      </c>
      <c r="F678" s="139">
        <v>0</v>
      </c>
      <c r="H678" t="str">
        <f t="shared" si="12"/>
        <v>15000601500060870</v>
      </c>
    </row>
    <row r="679" spans="1:8" ht="15" customHeight="1" x14ac:dyDescent="0.25">
      <c r="A679" s="110" t="s">
        <v>5445</v>
      </c>
      <c r="B679" s="125" t="s">
        <v>118</v>
      </c>
      <c r="C679" s="138">
        <v>0.56999999999999995</v>
      </c>
      <c r="D679" s="138">
        <v>34.199999999999996</v>
      </c>
      <c r="E679" s="138">
        <v>105.26315789473685</v>
      </c>
      <c r="F679" s="139">
        <v>0.56999999999999995</v>
      </c>
      <c r="H679" t="str">
        <f t="shared" si="12"/>
        <v>15000601500060871</v>
      </c>
    </row>
    <row r="680" spans="1:8" ht="15" customHeight="1" x14ac:dyDescent="0.25">
      <c r="A680" s="110" t="s">
        <v>5445</v>
      </c>
      <c r="B680" s="125" t="s">
        <v>1712</v>
      </c>
      <c r="C680" s="138">
        <v>0</v>
      </c>
      <c r="D680" s="138">
        <v>0</v>
      </c>
      <c r="E680" s="138" t="e">
        <v>#DIV/0!</v>
      </c>
      <c r="F680" s="139">
        <v>0</v>
      </c>
      <c r="H680" t="str">
        <f t="shared" si="12"/>
        <v>15000601500060871</v>
      </c>
    </row>
    <row r="681" spans="1:8" ht="15" customHeight="1" x14ac:dyDescent="0.25">
      <c r="A681" s="110" t="s">
        <v>5446</v>
      </c>
      <c r="B681" s="125" t="s">
        <v>119</v>
      </c>
      <c r="C681" s="138">
        <v>0.56999999999999995</v>
      </c>
      <c r="D681" s="138">
        <v>34.199999999999996</v>
      </c>
      <c r="E681" s="138">
        <v>105.26315789473685</v>
      </c>
      <c r="F681" s="139">
        <v>0.56999999999999995</v>
      </c>
      <c r="H681" t="str">
        <f t="shared" si="12"/>
        <v>15000601500060872</v>
      </c>
    </row>
    <row r="682" spans="1:8" ht="15" customHeight="1" x14ac:dyDescent="0.25">
      <c r="A682" s="110" t="s">
        <v>5446</v>
      </c>
      <c r="B682" s="125" t="s">
        <v>1713</v>
      </c>
      <c r="C682" s="138">
        <v>0</v>
      </c>
      <c r="D682" s="138">
        <v>0</v>
      </c>
      <c r="E682" s="138" t="e">
        <v>#DIV/0!</v>
      </c>
      <c r="F682" s="139">
        <v>0</v>
      </c>
      <c r="H682" t="str">
        <f t="shared" si="12"/>
        <v>15000601500060872</v>
      </c>
    </row>
    <row r="683" spans="1:8" ht="15" customHeight="1" x14ac:dyDescent="0.25">
      <c r="A683" s="110" t="s">
        <v>5447</v>
      </c>
      <c r="B683" s="125" t="s">
        <v>1008</v>
      </c>
      <c r="C683" s="138">
        <v>0.75</v>
      </c>
      <c r="D683" s="138">
        <v>45</v>
      </c>
      <c r="E683" s="138">
        <v>80</v>
      </c>
      <c r="F683" s="139">
        <v>0.75</v>
      </c>
      <c r="H683" t="str">
        <f t="shared" si="12"/>
        <v>15000601500060873</v>
      </c>
    </row>
    <row r="684" spans="1:8" ht="15" customHeight="1" x14ac:dyDescent="0.25">
      <c r="A684" s="110" t="s">
        <v>5447</v>
      </c>
      <c r="B684" s="125" t="s">
        <v>1714</v>
      </c>
      <c r="C684" s="138">
        <v>0</v>
      </c>
      <c r="D684" s="138">
        <v>0</v>
      </c>
      <c r="E684" s="138" t="e">
        <v>#DIV/0!</v>
      </c>
      <c r="F684" s="139">
        <v>0</v>
      </c>
      <c r="H684" t="str">
        <f t="shared" si="12"/>
        <v>15000601500060873</v>
      </c>
    </row>
    <row r="685" spans="1:8" ht="15" customHeight="1" x14ac:dyDescent="0.25">
      <c r="A685" s="110" t="s">
        <v>5448</v>
      </c>
      <c r="B685" s="125" t="s">
        <v>1009</v>
      </c>
      <c r="C685" s="138">
        <v>0.75</v>
      </c>
      <c r="D685" s="138">
        <v>45</v>
      </c>
      <c r="E685" s="138">
        <v>80</v>
      </c>
      <c r="F685" s="139">
        <v>0.75</v>
      </c>
      <c r="H685" t="str">
        <f t="shared" si="12"/>
        <v>15000601500060874</v>
      </c>
    </row>
    <row r="686" spans="1:8" ht="15" customHeight="1" x14ac:dyDescent="0.25">
      <c r="A686" s="110" t="s">
        <v>5448</v>
      </c>
      <c r="B686" s="125" t="s">
        <v>1715</v>
      </c>
      <c r="C686" s="138">
        <v>0</v>
      </c>
      <c r="D686" s="138">
        <v>0</v>
      </c>
      <c r="E686" s="138" t="e">
        <v>#DIV/0!</v>
      </c>
      <c r="F686" s="139">
        <v>0</v>
      </c>
      <c r="H686" t="str">
        <f t="shared" ref="H686:H749" si="13">CONCATENATE($G$45,A686)</f>
        <v>15000601500060874</v>
      </c>
    </row>
    <row r="687" spans="1:8" ht="15" customHeight="1" x14ac:dyDescent="0.25">
      <c r="A687" s="110" t="s">
        <v>5449</v>
      </c>
      <c r="B687" s="125" t="s">
        <v>1010</v>
      </c>
      <c r="C687" s="138">
        <v>0.75</v>
      </c>
      <c r="D687" s="138">
        <v>45</v>
      </c>
      <c r="E687" s="138">
        <v>80</v>
      </c>
      <c r="F687" s="139">
        <v>0.75</v>
      </c>
      <c r="H687" t="str">
        <f t="shared" si="13"/>
        <v>15000601500060875</v>
      </c>
    </row>
    <row r="688" spans="1:8" ht="15" customHeight="1" x14ac:dyDescent="0.25">
      <c r="A688" s="110" t="s">
        <v>5450</v>
      </c>
      <c r="B688" s="125" t="s">
        <v>1011</v>
      </c>
      <c r="C688" s="138">
        <v>0.75</v>
      </c>
      <c r="D688" s="138">
        <v>45</v>
      </c>
      <c r="E688" s="138">
        <v>80</v>
      </c>
      <c r="F688" s="139">
        <v>0.75</v>
      </c>
      <c r="H688" t="str">
        <f t="shared" si="13"/>
        <v>15000601500060876</v>
      </c>
    </row>
    <row r="689" spans="1:8" ht="15" customHeight="1" x14ac:dyDescent="0.25">
      <c r="A689" s="110" t="s">
        <v>5451</v>
      </c>
      <c r="B689" s="125" t="s">
        <v>1012</v>
      </c>
      <c r="C689" s="138">
        <v>0.6</v>
      </c>
      <c r="D689" s="138">
        <v>36</v>
      </c>
      <c r="E689" s="138">
        <v>100</v>
      </c>
      <c r="F689" s="139">
        <v>0.6</v>
      </c>
      <c r="H689" t="str">
        <f t="shared" si="13"/>
        <v>15000601500060877</v>
      </c>
    </row>
    <row r="690" spans="1:8" ht="15" customHeight="1" x14ac:dyDescent="0.25">
      <c r="A690" s="110" t="s">
        <v>5452</v>
      </c>
      <c r="B690" s="125" t="s">
        <v>1013</v>
      </c>
      <c r="C690" s="138">
        <v>0.6</v>
      </c>
      <c r="D690" s="138">
        <v>36</v>
      </c>
      <c r="E690" s="138">
        <v>100</v>
      </c>
      <c r="F690" s="139">
        <v>0.6</v>
      </c>
      <c r="H690" t="str">
        <f t="shared" si="13"/>
        <v>15000601500060878</v>
      </c>
    </row>
    <row r="691" spans="1:8" ht="15" customHeight="1" x14ac:dyDescent="0.25">
      <c r="A691" s="110" t="s">
        <v>5453</v>
      </c>
      <c r="B691" s="125" t="s">
        <v>1014</v>
      </c>
      <c r="C691" s="138">
        <v>0</v>
      </c>
      <c r="D691" s="138">
        <v>0</v>
      </c>
      <c r="E691" s="138" t="e">
        <v>#DIV/0!</v>
      </c>
      <c r="F691" s="139">
        <v>0</v>
      </c>
      <c r="H691" t="str">
        <f t="shared" si="13"/>
        <v>15000601500060879</v>
      </c>
    </row>
    <row r="692" spans="1:8" ht="15" customHeight="1" x14ac:dyDescent="0.25">
      <c r="A692" s="110" t="s">
        <v>5454</v>
      </c>
      <c r="B692" s="125" t="s">
        <v>532</v>
      </c>
      <c r="C692" s="138">
        <v>0.37</v>
      </c>
      <c r="D692" s="138">
        <v>22.2</v>
      </c>
      <c r="E692" s="138">
        <v>162.16216216216216</v>
      </c>
      <c r="F692" s="139">
        <v>0.37</v>
      </c>
      <c r="H692" t="str">
        <f t="shared" si="13"/>
        <v>15000601500060880</v>
      </c>
    </row>
    <row r="693" spans="1:8" ht="15" customHeight="1" x14ac:dyDescent="0.25">
      <c r="A693" s="110" t="s">
        <v>5455</v>
      </c>
      <c r="B693" s="125" t="s">
        <v>533</v>
      </c>
      <c r="C693" s="138">
        <v>0.37</v>
      </c>
      <c r="D693" s="138">
        <v>22.2</v>
      </c>
      <c r="E693" s="138">
        <v>162.16216216216216</v>
      </c>
      <c r="F693" s="139">
        <v>0.37</v>
      </c>
      <c r="H693" t="str">
        <f t="shared" si="13"/>
        <v>15000601500060881</v>
      </c>
    </row>
    <row r="694" spans="1:8" ht="15" customHeight="1" x14ac:dyDescent="0.25">
      <c r="A694" s="110" t="s">
        <v>5456</v>
      </c>
      <c r="B694" s="125" t="s">
        <v>1015</v>
      </c>
      <c r="C694" s="138">
        <v>0.35</v>
      </c>
      <c r="D694" s="138">
        <v>21</v>
      </c>
      <c r="E694" s="138">
        <v>171.42857142857142</v>
      </c>
      <c r="F694" s="139">
        <v>0.35</v>
      </c>
      <c r="H694" t="str">
        <f t="shared" si="13"/>
        <v>15000601500060882</v>
      </c>
    </row>
    <row r="695" spans="1:8" ht="15" customHeight="1" x14ac:dyDescent="0.25">
      <c r="A695" s="110" t="s">
        <v>5456</v>
      </c>
      <c r="B695" s="125" t="s">
        <v>1616</v>
      </c>
      <c r="C695" s="138">
        <v>0.45</v>
      </c>
      <c r="D695" s="138">
        <v>27</v>
      </c>
      <c r="E695" s="138">
        <v>133.33333333333334</v>
      </c>
      <c r="F695" s="139">
        <v>0.45</v>
      </c>
      <c r="H695" t="str">
        <f t="shared" si="13"/>
        <v>15000601500060882</v>
      </c>
    </row>
    <row r="696" spans="1:8" ht="15" customHeight="1" x14ac:dyDescent="0.25">
      <c r="A696" s="110" t="s">
        <v>5457</v>
      </c>
      <c r="B696" s="125" t="s">
        <v>1016</v>
      </c>
      <c r="C696" s="138">
        <v>0.35</v>
      </c>
      <c r="D696" s="138">
        <v>21</v>
      </c>
      <c r="E696" s="138">
        <v>171.42857142857142</v>
      </c>
      <c r="F696" s="139">
        <v>0.35</v>
      </c>
      <c r="H696" t="str">
        <f t="shared" si="13"/>
        <v>15000601500060883</v>
      </c>
    </row>
    <row r="697" spans="1:8" ht="15" customHeight="1" x14ac:dyDescent="0.25">
      <c r="A697" s="110" t="s">
        <v>5457</v>
      </c>
      <c r="B697" s="125" t="s">
        <v>1716</v>
      </c>
      <c r="C697" s="138">
        <v>1.5</v>
      </c>
      <c r="D697" s="138">
        <v>90</v>
      </c>
      <c r="E697" s="138">
        <v>40</v>
      </c>
      <c r="F697" s="139">
        <v>1.5</v>
      </c>
      <c r="H697" t="str">
        <f t="shared" si="13"/>
        <v>15000601500060883</v>
      </c>
    </row>
    <row r="698" spans="1:8" ht="15" customHeight="1" x14ac:dyDescent="0.25">
      <c r="A698" s="110" t="s">
        <v>5458</v>
      </c>
      <c r="B698" s="125" t="s">
        <v>1017</v>
      </c>
      <c r="C698" s="138">
        <v>0.35</v>
      </c>
      <c r="D698" s="138">
        <v>21</v>
      </c>
      <c r="E698" s="138">
        <v>171.42857142857142</v>
      </c>
      <c r="F698" s="139">
        <v>0.35</v>
      </c>
      <c r="H698" t="str">
        <f t="shared" si="13"/>
        <v>15000601500060884</v>
      </c>
    </row>
    <row r="699" spans="1:8" ht="15" customHeight="1" x14ac:dyDescent="0.25">
      <c r="A699" s="110" t="s">
        <v>5458</v>
      </c>
      <c r="B699" s="125" t="s">
        <v>1717</v>
      </c>
      <c r="C699" s="138">
        <v>1.5</v>
      </c>
      <c r="D699" s="138">
        <v>90</v>
      </c>
      <c r="E699" s="138">
        <v>40</v>
      </c>
      <c r="F699" s="139">
        <v>1.5</v>
      </c>
      <c r="H699" t="str">
        <f t="shared" si="13"/>
        <v>15000601500060884</v>
      </c>
    </row>
    <row r="700" spans="1:8" ht="15" customHeight="1" x14ac:dyDescent="0.25">
      <c r="A700" s="110" t="s">
        <v>5459</v>
      </c>
      <c r="B700" s="125" t="s">
        <v>1018</v>
      </c>
      <c r="C700" s="138">
        <v>0.35</v>
      </c>
      <c r="D700" s="138">
        <v>21</v>
      </c>
      <c r="E700" s="138">
        <v>171.42857142857142</v>
      </c>
      <c r="F700" s="139">
        <v>0.35</v>
      </c>
      <c r="H700" t="str">
        <f t="shared" si="13"/>
        <v>15000601500060885</v>
      </c>
    </row>
    <row r="701" spans="1:8" ht="15" customHeight="1" x14ac:dyDescent="0.25">
      <c r="A701" s="110" t="s">
        <v>5459</v>
      </c>
      <c r="B701" s="125" t="s">
        <v>1718</v>
      </c>
      <c r="C701" s="138">
        <v>1.5</v>
      </c>
      <c r="D701" s="138">
        <v>90</v>
      </c>
      <c r="E701" s="138">
        <v>40</v>
      </c>
      <c r="F701" s="139">
        <v>1.5</v>
      </c>
      <c r="H701" t="str">
        <f t="shared" si="13"/>
        <v>15000601500060885</v>
      </c>
    </row>
    <row r="702" spans="1:8" ht="15" customHeight="1" x14ac:dyDescent="0.25">
      <c r="A702" s="110" t="s">
        <v>5460</v>
      </c>
      <c r="B702" s="125" t="s">
        <v>1019</v>
      </c>
      <c r="C702" s="138">
        <v>0.43</v>
      </c>
      <c r="D702" s="138">
        <v>25.8</v>
      </c>
      <c r="E702" s="138">
        <v>139.53488372093022</v>
      </c>
      <c r="F702" s="139">
        <v>0.43</v>
      </c>
      <c r="H702" t="str">
        <f t="shared" si="13"/>
        <v>15000601500060886</v>
      </c>
    </row>
    <row r="703" spans="1:8" ht="15" customHeight="1" x14ac:dyDescent="0.25">
      <c r="A703" s="110" t="s">
        <v>5460</v>
      </c>
      <c r="B703" s="125" t="s">
        <v>1719</v>
      </c>
      <c r="C703" s="138">
        <v>1.5</v>
      </c>
      <c r="D703" s="138">
        <v>90</v>
      </c>
      <c r="E703" s="138">
        <v>40</v>
      </c>
      <c r="F703" s="139">
        <v>1.5</v>
      </c>
      <c r="H703" t="str">
        <f t="shared" si="13"/>
        <v>15000601500060886</v>
      </c>
    </row>
    <row r="704" spans="1:8" ht="15" customHeight="1" x14ac:dyDescent="0.25">
      <c r="A704" s="110" t="s">
        <v>5461</v>
      </c>
      <c r="B704" s="125" t="s">
        <v>1020</v>
      </c>
      <c r="C704" s="138">
        <v>0.35</v>
      </c>
      <c r="D704" s="138">
        <v>21</v>
      </c>
      <c r="E704" s="138">
        <v>171.42857142857142</v>
      </c>
      <c r="F704" s="139">
        <v>0.35</v>
      </c>
      <c r="H704" t="str">
        <f t="shared" si="13"/>
        <v>15000601500060887</v>
      </c>
    </row>
    <row r="705" spans="1:8" ht="15" customHeight="1" x14ac:dyDescent="0.25">
      <c r="A705" s="110" t="s">
        <v>5461</v>
      </c>
      <c r="B705" s="125" t="s">
        <v>1720</v>
      </c>
      <c r="C705" s="138">
        <v>1.43</v>
      </c>
      <c r="D705" s="138">
        <v>85.8</v>
      </c>
      <c r="E705" s="138">
        <v>41.95804195804196</v>
      </c>
      <c r="F705" s="139">
        <v>1.43</v>
      </c>
      <c r="H705" t="str">
        <f t="shared" si="13"/>
        <v>15000601500060887</v>
      </c>
    </row>
    <row r="706" spans="1:8" ht="15" customHeight="1" x14ac:dyDescent="0.25">
      <c r="A706" s="110" t="s">
        <v>5462</v>
      </c>
      <c r="B706" s="125" t="s">
        <v>1021</v>
      </c>
      <c r="C706" s="138">
        <v>0.43</v>
      </c>
      <c r="D706" s="138">
        <v>25.8</v>
      </c>
      <c r="E706" s="138">
        <v>139.53488372093022</v>
      </c>
      <c r="F706" s="139">
        <v>0.43</v>
      </c>
      <c r="H706" t="str">
        <f t="shared" si="13"/>
        <v>15000601500060888</v>
      </c>
    </row>
    <row r="707" spans="1:8" ht="15" customHeight="1" x14ac:dyDescent="0.25">
      <c r="A707" s="110" t="s">
        <v>5462</v>
      </c>
      <c r="B707" s="125" t="s">
        <v>1721</v>
      </c>
      <c r="C707" s="138">
        <v>0.15</v>
      </c>
      <c r="D707" s="138">
        <v>9</v>
      </c>
      <c r="E707" s="138">
        <v>400</v>
      </c>
      <c r="F707" s="139">
        <v>0.15</v>
      </c>
      <c r="H707" t="str">
        <f t="shared" si="13"/>
        <v>15000601500060888</v>
      </c>
    </row>
    <row r="708" spans="1:8" ht="15" customHeight="1" x14ac:dyDescent="0.25">
      <c r="A708" s="110" t="s">
        <v>5463</v>
      </c>
      <c r="B708" s="125" t="s">
        <v>1022</v>
      </c>
      <c r="C708" s="138">
        <v>0.43</v>
      </c>
      <c r="D708" s="138">
        <v>25.8</v>
      </c>
      <c r="E708" s="138">
        <v>139.53488372093022</v>
      </c>
      <c r="F708" s="139">
        <v>0.43</v>
      </c>
      <c r="H708" t="str">
        <f t="shared" si="13"/>
        <v>15000601500060889</v>
      </c>
    </row>
    <row r="709" spans="1:8" ht="15" customHeight="1" x14ac:dyDescent="0.25">
      <c r="A709" s="110" t="s">
        <v>5463</v>
      </c>
      <c r="B709" s="125" t="s">
        <v>1722</v>
      </c>
      <c r="C709" s="138">
        <v>1.43</v>
      </c>
      <c r="D709" s="138">
        <v>85.8</v>
      </c>
      <c r="E709" s="138">
        <v>41.95804195804196</v>
      </c>
      <c r="F709" s="139">
        <v>1.43</v>
      </c>
      <c r="H709" t="str">
        <f t="shared" si="13"/>
        <v>15000601500060889</v>
      </c>
    </row>
    <row r="710" spans="1:8" ht="15" customHeight="1" x14ac:dyDescent="0.25">
      <c r="A710" s="110" t="s">
        <v>5464</v>
      </c>
      <c r="B710" s="125" t="s">
        <v>1023</v>
      </c>
      <c r="C710" s="138">
        <v>0.38</v>
      </c>
      <c r="D710" s="138">
        <v>22.8</v>
      </c>
      <c r="E710" s="138">
        <v>157.89473684210526</v>
      </c>
      <c r="F710" s="139">
        <v>0.38</v>
      </c>
      <c r="H710" t="str">
        <f t="shared" si="13"/>
        <v>15000601500060890</v>
      </c>
    </row>
    <row r="711" spans="1:8" ht="15" customHeight="1" x14ac:dyDescent="0.25">
      <c r="A711" s="110" t="s">
        <v>5464</v>
      </c>
      <c r="B711" s="125" t="s">
        <v>1723</v>
      </c>
      <c r="C711" s="138">
        <v>5.5</v>
      </c>
      <c r="D711" s="138">
        <v>330</v>
      </c>
      <c r="E711" s="138">
        <v>10.909090909090908</v>
      </c>
      <c r="F711" s="139">
        <v>5.5</v>
      </c>
      <c r="H711" t="str">
        <f t="shared" si="13"/>
        <v>15000601500060890</v>
      </c>
    </row>
    <row r="712" spans="1:8" ht="15" customHeight="1" x14ac:dyDescent="0.25">
      <c r="A712" s="110" t="s">
        <v>5465</v>
      </c>
      <c r="B712" s="125" t="s">
        <v>1024</v>
      </c>
      <c r="C712" s="138">
        <v>0.81</v>
      </c>
      <c r="D712" s="138">
        <v>48.6</v>
      </c>
      <c r="E712" s="138">
        <v>74.074074074074076</v>
      </c>
      <c r="F712" s="139">
        <v>0.81</v>
      </c>
      <c r="H712" t="str">
        <f t="shared" si="13"/>
        <v>15000601500060891</v>
      </c>
    </row>
    <row r="713" spans="1:8" ht="15" customHeight="1" x14ac:dyDescent="0.25">
      <c r="A713" s="110" t="s">
        <v>5465</v>
      </c>
      <c r="B713" s="125" t="s">
        <v>1724</v>
      </c>
      <c r="C713" s="138">
        <v>5.5</v>
      </c>
      <c r="D713" s="138">
        <v>330</v>
      </c>
      <c r="E713" s="138">
        <v>10.909090909090908</v>
      </c>
      <c r="F713" s="139">
        <v>5.5</v>
      </c>
      <c r="H713" t="str">
        <f t="shared" si="13"/>
        <v>15000601500060891</v>
      </c>
    </row>
    <row r="714" spans="1:8" ht="15" customHeight="1" x14ac:dyDescent="0.25">
      <c r="A714" s="110" t="s">
        <v>5466</v>
      </c>
      <c r="B714" s="125" t="s">
        <v>1025</v>
      </c>
      <c r="C714" s="138">
        <v>0.81</v>
      </c>
      <c r="D714" s="138">
        <v>48.6</v>
      </c>
      <c r="E714" s="138">
        <v>74.074074074074076</v>
      </c>
      <c r="F714" s="139">
        <v>0.81</v>
      </c>
      <c r="H714" t="str">
        <f t="shared" si="13"/>
        <v>15000601500060892</v>
      </c>
    </row>
    <row r="715" spans="1:8" ht="15" customHeight="1" x14ac:dyDescent="0.25">
      <c r="A715" s="110" t="s">
        <v>5466</v>
      </c>
      <c r="B715" s="125" t="s">
        <v>1725</v>
      </c>
      <c r="C715" s="138">
        <v>2.6</v>
      </c>
      <c r="D715" s="138">
        <v>156</v>
      </c>
      <c r="E715" s="138">
        <v>23.076923076923077</v>
      </c>
      <c r="F715" s="139">
        <v>2.6</v>
      </c>
      <c r="H715" t="str">
        <f t="shared" si="13"/>
        <v>15000601500060892</v>
      </c>
    </row>
    <row r="716" spans="1:8" ht="15" customHeight="1" x14ac:dyDescent="0.25">
      <c r="A716" s="110" t="s">
        <v>5467</v>
      </c>
      <c r="B716" s="125" t="s">
        <v>1726</v>
      </c>
      <c r="C716" s="138">
        <v>2.6</v>
      </c>
      <c r="D716" s="138">
        <v>156</v>
      </c>
      <c r="E716" s="138">
        <v>23.076923076923077</v>
      </c>
      <c r="F716" s="139">
        <v>2.6</v>
      </c>
      <c r="H716" t="str">
        <f t="shared" si="13"/>
        <v>15000601500060893</v>
      </c>
    </row>
    <row r="717" spans="1:8" ht="15" customHeight="1" x14ac:dyDescent="0.25">
      <c r="A717" s="110" t="s">
        <v>5468</v>
      </c>
      <c r="B717" s="125" t="s">
        <v>1727</v>
      </c>
      <c r="C717" s="138">
        <v>2.6</v>
      </c>
      <c r="D717" s="138">
        <v>156</v>
      </c>
      <c r="E717" s="138">
        <v>23.076923076923077</v>
      </c>
      <c r="F717" s="139">
        <v>2.6</v>
      </c>
      <c r="H717" t="str">
        <f t="shared" si="13"/>
        <v>15000601500060894</v>
      </c>
    </row>
    <row r="718" spans="1:8" ht="15" customHeight="1" x14ac:dyDescent="0.25">
      <c r="A718" s="110" t="s">
        <v>5469</v>
      </c>
      <c r="B718" s="125" t="s">
        <v>1026</v>
      </c>
      <c r="C718" s="138">
        <v>0.75</v>
      </c>
      <c r="D718" s="138">
        <v>45</v>
      </c>
      <c r="E718" s="138">
        <v>80</v>
      </c>
      <c r="F718" s="139">
        <v>0.75</v>
      </c>
      <c r="H718" t="str">
        <f t="shared" si="13"/>
        <v>15000601500060895</v>
      </c>
    </row>
    <row r="719" spans="1:8" ht="15" customHeight="1" x14ac:dyDescent="0.25">
      <c r="A719" s="110" t="s">
        <v>5469</v>
      </c>
      <c r="B719" s="125" t="s">
        <v>1728</v>
      </c>
      <c r="C719" s="138">
        <v>2.6</v>
      </c>
      <c r="D719" s="138">
        <v>156</v>
      </c>
      <c r="E719" s="138">
        <v>23.076923076923077</v>
      </c>
      <c r="F719" s="139">
        <v>2.6</v>
      </c>
      <c r="H719" t="str">
        <f t="shared" si="13"/>
        <v>15000601500060895</v>
      </c>
    </row>
    <row r="720" spans="1:8" ht="15" customHeight="1" x14ac:dyDescent="0.25">
      <c r="A720" s="110" t="s">
        <v>5470</v>
      </c>
      <c r="B720" s="125" t="s">
        <v>1027</v>
      </c>
      <c r="C720" s="138">
        <v>0.75</v>
      </c>
      <c r="D720" s="138">
        <v>45</v>
      </c>
      <c r="E720" s="138">
        <v>80</v>
      </c>
      <c r="F720" s="139">
        <v>0.75</v>
      </c>
      <c r="H720" t="str">
        <f t="shared" si="13"/>
        <v>15000601500060896</v>
      </c>
    </row>
    <row r="721" spans="1:8" ht="15" customHeight="1" x14ac:dyDescent="0.25">
      <c r="A721" s="110" t="s">
        <v>5470</v>
      </c>
      <c r="B721" s="125" t="s">
        <v>1729</v>
      </c>
      <c r="C721" s="138">
        <v>1</v>
      </c>
      <c r="D721" s="138">
        <v>60</v>
      </c>
      <c r="E721" s="138">
        <v>60</v>
      </c>
      <c r="F721" s="139">
        <v>1</v>
      </c>
      <c r="H721" t="str">
        <f t="shared" si="13"/>
        <v>15000601500060896</v>
      </c>
    </row>
    <row r="722" spans="1:8" ht="15" customHeight="1" x14ac:dyDescent="0.25">
      <c r="A722" s="110" t="s">
        <v>5471</v>
      </c>
      <c r="B722" s="125" t="s">
        <v>1028</v>
      </c>
      <c r="C722" s="138">
        <v>0.5</v>
      </c>
      <c r="D722" s="138">
        <v>30</v>
      </c>
      <c r="E722" s="138">
        <v>120</v>
      </c>
      <c r="F722" s="139">
        <v>0.5</v>
      </c>
      <c r="H722" t="str">
        <f t="shared" si="13"/>
        <v>15000601500060897</v>
      </c>
    </row>
    <row r="723" spans="1:8" ht="15" customHeight="1" x14ac:dyDescent="0.25">
      <c r="A723" s="110" t="s">
        <v>5471</v>
      </c>
      <c r="B723" s="125" t="s">
        <v>1730</v>
      </c>
      <c r="C723" s="138">
        <v>1</v>
      </c>
      <c r="D723" s="138">
        <v>60</v>
      </c>
      <c r="E723" s="138">
        <v>60</v>
      </c>
      <c r="F723" s="139">
        <v>1</v>
      </c>
      <c r="H723" t="str">
        <f t="shared" si="13"/>
        <v>15000601500060897</v>
      </c>
    </row>
    <row r="724" spans="1:8" ht="15" customHeight="1" x14ac:dyDescent="0.25">
      <c r="A724" s="110" t="s">
        <v>5472</v>
      </c>
      <c r="B724" s="125" t="s">
        <v>1029</v>
      </c>
      <c r="C724" s="138">
        <v>0.5</v>
      </c>
      <c r="D724" s="138">
        <v>30</v>
      </c>
      <c r="E724" s="138">
        <v>120</v>
      </c>
      <c r="F724" s="139">
        <v>0.5</v>
      </c>
      <c r="H724" t="str">
        <f t="shared" si="13"/>
        <v>15000601500060898</v>
      </c>
    </row>
    <row r="725" spans="1:8" ht="15" customHeight="1" x14ac:dyDescent="0.25">
      <c r="A725" s="110" t="s">
        <v>5472</v>
      </c>
      <c r="B725" s="125" t="s">
        <v>1731</v>
      </c>
      <c r="C725" s="138">
        <v>3.1</v>
      </c>
      <c r="D725" s="138">
        <v>186</v>
      </c>
      <c r="E725" s="138">
        <v>19.35483870967742</v>
      </c>
      <c r="F725" s="139">
        <v>3.1</v>
      </c>
      <c r="H725" t="str">
        <f t="shared" si="13"/>
        <v>15000601500060898</v>
      </c>
    </row>
    <row r="726" spans="1:8" ht="15" customHeight="1" x14ac:dyDescent="0.25">
      <c r="A726" s="110" t="s">
        <v>5473</v>
      </c>
      <c r="B726" s="125" t="s">
        <v>1030</v>
      </c>
      <c r="C726" s="138">
        <v>0.52</v>
      </c>
      <c r="D726" s="138">
        <v>31.200000000000003</v>
      </c>
      <c r="E726" s="138">
        <v>115.38461538461537</v>
      </c>
      <c r="F726" s="139">
        <v>0.52</v>
      </c>
      <c r="H726" t="str">
        <f t="shared" si="13"/>
        <v>15000601500060899</v>
      </c>
    </row>
    <row r="727" spans="1:8" ht="15" customHeight="1" x14ac:dyDescent="0.25">
      <c r="A727" s="110" t="s">
        <v>5473</v>
      </c>
      <c r="B727" s="125" t="s">
        <v>1732</v>
      </c>
      <c r="C727" s="138">
        <v>3.1</v>
      </c>
      <c r="D727" s="138">
        <v>186</v>
      </c>
      <c r="E727" s="138">
        <v>19.35483870967742</v>
      </c>
      <c r="F727" s="139">
        <v>3.1</v>
      </c>
      <c r="H727" t="str">
        <f t="shared" si="13"/>
        <v>15000601500060899</v>
      </c>
    </row>
    <row r="728" spans="1:8" ht="15" customHeight="1" x14ac:dyDescent="0.25">
      <c r="A728" s="110" t="s">
        <v>5474</v>
      </c>
      <c r="B728" s="125" t="s">
        <v>1031</v>
      </c>
      <c r="C728" s="138">
        <v>0.52</v>
      </c>
      <c r="D728" s="138">
        <v>31.200000000000003</v>
      </c>
      <c r="E728" s="138">
        <v>115.38461538461537</v>
      </c>
      <c r="F728" s="139">
        <v>0.52</v>
      </c>
      <c r="H728" t="str">
        <f t="shared" si="13"/>
        <v>15000601500060900</v>
      </c>
    </row>
    <row r="729" spans="1:8" ht="15" customHeight="1" x14ac:dyDescent="0.25">
      <c r="A729" s="110" t="s">
        <v>5474</v>
      </c>
      <c r="B729" s="125" t="s">
        <v>1733</v>
      </c>
      <c r="C729" s="138">
        <v>2.95</v>
      </c>
      <c r="D729" s="138">
        <v>177</v>
      </c>
      <c r="E729" s="138">
        <v>20.338983050847457</v>
      </c>
      <c r="F729" s="139">
        <v>2.95</v>
      </c>
      <c r="H729" t="str">
        <f t="shared" si="13"/>
        <v>15000601500060900</v>
      </c>
    </row>
    <row r="730" spans="1:8" ht="15" customHeight="1" x14ac:dyDescent="0.25">
      <c r="A730" s="110" t="s">
        <v>5475</v>
      </c>
      <c r="B730" s="125" t="s">
        <v>1032</v>
      </c>
      <c r="C730" s="138">
        <v>0.75</v>
      </c>
      <c r="D730" s="138">
        <v>45</v>
      </c>
      <c r="E730" s="138">
        <v>80</v>
      </c>
      <c r="F730" s="139">
        <v>0.75</v>
      </c>
      <c r="H730" t="str">
        <f t="shared" si="13"/>
        <v>15000601500060901</v>
      </c>
    </row>
    <row r="731" spans="1:8" ht="15" customHeight="1" x14ac:dyDescent="0.25">
      <c r="A731" s="110" t="s">
        <v>5475</v>
      </c>
      <c r="B731" s="125" t="s">
        <v>1734</v>
      </c>
      <c r="C731" s="138">
        <v>2.95</v>
      </c>
      <c r="D731" s="138">
        <v>177</v>
      </c>
      <c r="E731" s="138">
        <v>20.338983050847457</v>
      </c>
      <c r="F731" s="139">
        <v>2.95</v>
      </c>
      <c r="H731" t="str">
        <f t="shared" si="13"/>
        <v>15000601500060901</v>
      </c>
    </row>
    <row r="732" spans="1:8" ht="15" customHeight="1" x14ac:dyDescent="0.25">
      <c r="A732" s="110" t="s">
        <v>5476</v>
      </c>
      <c r="B732" s="125" t="s">
        <v>1033</v>
      </c>
      <c r="C732" s="138">
        <v>0.75</v>
      </c>
      <c r="D732" s="138">
        <v>45</v>
      </c>
      <c r="E732" s="138">
        <v>80</v>
      </c>
      <c r="F732" s="139">
        <v>0.75</v>
      </c>
      <c r="H732" t="str">
        <f t="shared" si="13"/>
        <v>15000601500060902</v>
      </c>
    </row>
    <row r="733" spans="1:8" ht="15" customHeight="1" x14ac:dyDescent="0.25">
      <c r="A733" s="110" t="s">
        <v>5476</v>
      </c>
      <c r="B733" s="125" t="s">
        <v>1735</v>
      </c>
      <c r="C733" s="138">
        <v>0.8</v>
      </c>
      <c r="D733" s="138">
        <v>48</v>
      </c>
      <c r="E733" s="138">
        <v>75</v>
      </c>
      <c r="F733" s="139">
        <v>0.8</v>
      </c>
      <c r="H733" t="str">
        <f t="shared" si="13"/>
        <v>15000601500060902</v>
      </c>
    </row>
    <row r="734" spans="1:8" ht="15" customHeight="1" x14ac:dyDescent="0.25">
      <c r="A734" s="110" t="s">
        <v>5477</v>
      </c>
      <c r="B734" s="125" t="s">
        <v>120</v>
      </c>
      <c r="C734" s="138">
        <v>1.96</v>
      </c>
      <c r="D734" s="138">
        <v>117.6</v>
      </c>
      <c r="E734" s="138">
        <v>30.612244897959187</v>
      </c>
      <c r="F734" s="139">
        <v>1.96</v>
      </c>
      <c r="H734" t="str">
        <f t="shared" si="13"/>
        <v>15000601500060903</v>
      </c>
    </row>
    <row r="735" spans="1:8" ht="15" customHeight="1" x14ac:dyDescent="0.25">
      <c r="A735" s="110" t="s">
        <v>5478</v>
      </c>
      <c r="B735" s="125" t="s">
        <v>218</v>
      </c>
      <c r="C735" s="138">
        <v>0.5</v>
      </c>
      <c r="D735" s="138">
        <v>30</v>
      </c>
      <c r="E735" s="138">
        <v>120</v>
      </c>
      <c r="F735" s="139">
        <v>0.5</v>
      </c>
      <c r="H735" t="str">
        <f t="shared" si="13"/>
        <v>15000601500060904</v>
      </c>
    </row>
    <row r="736" spans="1:8" ht="15" customHeight="1" x14ac:dyDescent="0.25">
      <c r="A736" s="110" t="s">
        <v>5478</v>
      </c>
      <c r="B736" s="125" t="s">
        <v>1736</v>
      </c>
      <c r="C736" s="138">
        <v>1.71</v>
      </c>
      <c r="D736" s="138">
        <v>102.6</v>
      </c>
      <c r="E736" s="138">
        <v>35.087719298245617</v>
      </c>
      <c r="F736" s="139">
        <v>1.71</v>
      </c>
      <c r="H736" t="str">
        <f t="shared" si="13"/>
        <v>15000601500060904</v>
      </c>
    </row>
    <row r="737" spans="1:8" ht="15" customHeight="1" x14ac:dyDescent="0.25">
      <c r="A737" s="110" t="s">
        <v>5479</v>
      </c>
      <c r="B737" s="125" t="s">
        <v>219</v>
      </c>
      <c r="C737" s="138">
        <v>0.5</v>
      </c>
      <c r="D737" s="138">
        <v>30</v>
      </c>
      <c r="E737" s="138">
        <v>120</v>
      </c>
      <c r="F737" s="139">
        <v>0.5</v>
      </c>
      <c r="H737" t="str">
        <f t="shared" si="13"/>
        <v>15000601500060905</v>
      </c>
    </row>
    <row r="738" spans="1:8" ht="15" customHeight="1" x14ac:dyDescent="0.25">
      <c r="A738" s="110" t="s">
        <v>5479</v>
      </c>
      <c r="B738" s="125" t="s">
        <v>1737</v>
      </c>
      <c r="C738" s="138">
        <v>1.71</v>
      </c>
      <c r="D738" s="138">
        <v>102.6</v>
      </c>
      <c r="E738" s="138">
        <v>35.087719298245617</v>
      </c>
      <c r="F738" s="139">
        <v>1.71</v>
      </c>
      <c r="H738" t="str">
        <f t="shared" si="13"/>
        <v>15000601500060905</v>
      </c>
    </row>
    <row r="739" spans="1:8" ht="15" customHeight="1" x14ac:dyDescent="0.25">
      <c r="A739" s="110" t="s">
        <v>5480</v>
      </c>
      <c r="B739" s="125" t="s">
        <v>220</v>
      </c>
      <c r="C739" s="138">
        <v>0.55000000000000004</v>
      </c>
      <c r="D739" s="138">
        <v>33</v>
      </c>
      <c r="E739" s="138">
        <v>109.09090909090909</v>
      </c>
      <c r="F739" s="139">
        <v>0.55000000000000004</v>
      </c>
      <c r="H739" t="str">
        <f t="shared" si="13"/>
        <v>15000601500060906</v>
      </c>
    </row>
    <row r="740" spans="1:8" ht="15" customHeight="1" x14ac:dyDescent="0.25">
      <c r="A740" s="110" t="s">
        <v>5480</v>
      </c>
      <c r="B740" s="125" t="s">
        <v>1738</v>
      </c>
      <c r="C740" s="138">
        <v>2.12</v>
      </c>
      <c r="D740" s="138">
        <v>127.2</v>
      </c>
      <c r="E740" s="138">
        <v>28.30188679245283</v>
      </c>
      <c r="F740" s="139">
        <v>2.12</v>
      </c>
      <c r="H740" t="str">
        <f t="shared" si="13"/>
        <v>15000601500060906</v>
      </c>
    </row>
    <row r="741" spans="1:8" ht="15" customHeight="1" x14ac:dyDescent="0.25">
      <c r="A741" s="110" t="s">
        <v>5481</v>
      </c>
      <c r="B741" s="125" t="s">
        <v>221</v>
      </c>
      <c r="C741" s="138">
        <v>0.55000000000000004</v>
      </c>
      <c r="D741" s="138">
        <v>33</v>
      </c>
      <c r="E741" s="138">
        <v>109.09090909090909</v>
      </c>
      <c r="F741" s="139">
        <v>0.55000000000000004</v>
      </c>
      <c r="H741" t="str">
        <f t="shared" si="13"/>
        <v>15000601500060907</v>
      </c>
    </row>
    <row r="742" spans="1:8" ht="15" customHeight="1" x14ac:dyDescent="0.25">
      <c r="A742" s="110" t="s">
        <v>5481</v>
      </c>
      <c r="B742" s="125" t="s">
        <v>1739</v>
      </c>
      <c r="C742" s="138">
        <v>2.12</v>
      </c>
      <c r="D742" s="138">
        <v>127.2</v>
      </c>
      <c r="E742" s="138">
        <v>28.30188679245283</v>
      </c>
      <c r="F742" s="139">
        <v>2.12</v>
      </c>
      <c r="H742" t="str">
        <f t="shared" si="13"/>
        <v>15000601500060907</v>
      </c>
    </row>
    <row r="743" spans="1:8" ht="15" customHeight="1" x14ac:dyDescent="0.25">
      <c r="A743" s="110" t="s">
        <v>5482</v>
      </c>
      <c r="B743" s="125" t="s">
        <v>222</v>
      </c>
      <c r="C743" s="138">
        <v>0.54</v>
      </c>
      <c r="D743" s="138">
        <v>32.400000000000006</v>
      </c>
      <c r="E743" s="138">
        <v>111.11111111111109</v>
      </c>
      <c r="F743" s="139">
        <v>0.54</v>
      </c>
      <c r="H743" t="str">
        <f t="shared" si="13"/>
        <v>15000601500060908</v>
      </c>
    </row>
    <row r="744" spans="1:8" ht="15" customHeight="1" x14ac:dyDescent="0.25">
      <c r="A744" s="110" t="s">
        <v>5482</v>
      </c>
      <c r="B744" s="125" t="s">
        <v>1740</v>
      </c>
      <c r="C744" s="138">
        <v>2.12</v>
      </c>
      <c r="D744" s="138">
        <v>127.2</v>
      </c>
      <c r="E744" s="138">
        <v>28.30188679245283</v>
      </c>
      <c r="F744" s="139">
        <v>2.12</v>
      </c>
      <c r="H744" t="str">
        <f t="shared" si="13"/>
        <v>15000601500060908</v>
      </c>
    </row>
    <row r="745" spans="1:8" ht="15" customHeight="1" x14ac:dyDescent="0.25">
      <c r="A745" s="110" t="s">
        <v>5483</v>
      </c>
      <c r="B745" s="125" t="s">
        <v>223</v>
      </c>
      <c r="C745" s="138">
        <v>0.54</v>
      </c>
      <c r="D745" s="138">
        <v>32.400000000000006</v>
      </c>
      <c r="E745" s="138">
        <v>111.11111111111109</v>
      </c>
      <c r="F745" s="139">
        <v>0.54</v>
      </c>
      <c r="H745" t="str">
        <f t="shared" si="13"/>
        <v>15000601500060909</v>
      </c>
    </row>
    <row r="746" spans="1:8" ht="15" customHeight="1" x14ac:dyDescent="0.25">
      <c r="A746" s="110" t="s">
        <v>5483</v>
      </c>
      <c r="B746" s="125" t="s">
        <v>1741</v>
      </c>
      <c r="C746" s="138">
        <v>2.12</v>
      </c>
      <c r="D746" s="138">
        <v>127.2</v>
      </c>
      <c r="E746" s="138">
        <v>28.30188679245283</v>
      </c>
      <c r="F746" s="139">
        <v>2.12</v>
      </c>
      <c r="H746" t="str">
        <f t="shared" si="13"/>
        <v>15000601500060909</v>
      </c>
    </row>
    <row r="747" spans="1:8" ht="15" customHeight="1" x14ac:dyDescent="0.25">
      <c r="A747" s="110" t="s">
        <v>5484</v>
      </c>
      <c r="B747" s="125" t="s">
        <v>224</v>
      </c>
      <c r="C747" s="138">
        <v>0.54</v>
      </c>
      <c r="D747" s="138">
        <v>32.400000000000006</v>
      </c>
      <c r="E747" s="138">
        <v>111.11111111111109</v>
      </c>
      <c r="F747" s="139">
        <v>0.54</v>
      </c>
      <c r="H747" t="str">
        <f t="shared" si="13"/>
        <v>15000601500060910</v>
      </c>
    </row>
    <row r="748" spans="1:8" ht="15" customHeight="1" x14ac:dyDescent="0.25">
      <c r="A748" s="110" t="s">
        <v>5484</v>
      </c>
      <c r="B748" s="125" t="s">
        <v>1742</v>
      </c>
      <c r="C748" s="138">
        <v>5</v>
      </c>
      <c r="D748" s="138">
        <v>300</v>
      </c>
      <c r="E748" s="138">
        <v>12</v>
      </c>
      <c r="F748" s="139">
        <v>5</v>
      </c>
      <c r="H748" t="str">
        <f t="shared" si="13"/>
        <v>15000601500060910</v>
      </c>
    </row>
    <row r="749" spans="1:8" ht="15" customHeight="1" x14ac:dyDescent="0.25">
      <c r="A749" s="110" t="s">
        <v>5485</v>
      </c>
      <c r="B749" s="125" t="s">
        <v>225</v>
      </c>
      <c r="C749" s="138">
        <v>0.54</v>
      </c>
      <c r="D749" s="138">
        <v>32.400000000000006</v>
      </c>
      <c r="E749" s="138">
        <v>111.11111111111109</v>
      </c>
      <c r="F749" s="139">
        <v>0.54</v>
      </c>
      <c r="H749" t="str">
        <f t="shared" si="13"/>
        <v>15000601500060911</v>
      </c>
    </row>
    <row r="750" spans="1:8" ht="15" customHeight="1" x14ac:dyDescent="0.25">
      <c r="A750" s="110" t="s">
        <v>5485</v>
      </c>
      <c r="B750" s="125" t="s">
        <v>1743</v>
      </c>
      <c r="C750" s="138">
        <v>5</v>
      </c>
      <c r="D750" s="138">
        <v>300</v>
      </c>
      <c r="E750" s="138">
        <v>12</v>
      </c>
      <c r="F750" s="139">
        <v>5</v>
      </c>
      <c r="H750" t="str">
        <f t="shared" ref="H750:H813" si="14">CONCATENATE($G$45,A750)</f>
        <v>15000601500060911</v>
      </c>
    </row>
    <row r="751" spans="1:8" ht="15" customHeight="1" x14ac:dyDescent="0.25">
      <c r="A751" s="110" t="s">
        <v>5486</v>
      </c>
      <c r="B751" s="125" t="s">
        <v>226</v>
      </c>
      <c r="C751" s="138">
        <v>0.5</v>
      </c>
      <c r="D751" s="138">
        <v>30</v>
      </c>
      <c r="E751" s="138">
        <v>120</v>
      </c>
      <c r="F751" s="139">
        <v>0.5</v>
      </c>
      <c r="H751" t="str">
        <f t="shared" si="14"/>
        <v>15000601500060912</v>
      </c>
    </row>
    <row r="752" spans="1:8" ht="15" customHeight="1" x14ac:dyDescent="0.25">
      <c r="A752" s="110" t="s">
        <v>5486</v>
      </c>
      <c r="B752" s="125" t="s">
        <v>1744</v>
      </c>
      <c r="C752" s="138">
        <v>1.43</v>
      </c>
      <c r="D752" s="138">
        <v>85.8</v>
      </c>
      <c r="E752" s="138">
        <v>41.95804195804196</v>
      </c>
      <c r="F752" s="139">
        <v>1.43</v>
      </c>
      <c r="H752" t="str">
        <f t="shared" si="14"/>
        <v>15000601500060912</v>
      </c>
    </row>
    <row r="753" spans="1:8" ht="15" customHeight="1" x14ac:dyDescent="0.25">
      <c r="A753" s="110" t="s">
        <v>5487</v>
      </c>
      <c r="B753" s="125" t="s">
        <v>227</v>
      </c>
      <c r="C753" s="138">
        <v>0.5</v>
      </c>
      <c r="D753" s="138">
        <v>30</v>
      </c>
      <c r="E753" s="138">
        <v>120</v>
      </c>
      <c r="F753" s="139">
        <v>0.5</v>
      </c>
      <c r="H753" t="str">
        <f t="shared" si="14"/>
        <v>15000601500060913</v>
      </c>
    </row>
    <row r="754" spans="1:8" ht="15" customHeight="1" x14ac:dyDescent="0.25">
      <c r="A754" s="110" t="s">
        <v>5487</v>
      </c>
      <c r="B754" s="125" t="s">
        <v>1745</v>
      </c>
      <c r="C754" s="138">
        <v>1.43</v>
      </c>
      <c r="D754" s="138">
        <v>85.8</v>
      </c>
      <c r="E754" s="138">
        <v>41.95804195804196</v>
      </c>
      <c r="F754" s="139">
        <v>1.43</v>
      </c>
      <c r="H754" t="str">
        <f t="shared" si="14"/>
        <v>15000601500060913</v>
      </c>
    </row>
    <row r="755" spans="1:8" ht="15" customHeight="1" x14ac:dyDescent="0.25">
      <c r="A755" s="110" t="s">
        <v>5488</v>
      </c>
      <c r="B755" s="125" t="s">
        <v>121</v>
      </c>
      <c r="C755" s="138">
        <v>1.21</v>
      </c>
      <c r="D755" s="138">
        <v>72.599999999999994</v>
      </c>
      <c r="E755" s="138">
        <v>49.586776859504134</v>
      </c>
      <c r="F755" s="139">
        <v>1.21</v>
      </c>
      <c r="H755" t="str">
        <f t="shared" si="14"/>
        <v>15000601500060914</v>
      </c>
    </row>
    <row r="756" spans="1:8" ht="15" customHeight="1" x14ac:dyDescent="0.25">
      <c r="A756" s="110" t="s">
        <v>5488</v>
      </c>
      <c r="B756" s="125" t="s">
        <v>1746</v>
      </c>
      <c r="C756" s="138">
        <v>0.8</v>
      </c>
      <c r="D756" s="138">
        <v>48</v>
      </c>
      <c r="E756" s="138">
        <v>75</v>
      </c>
      <c r="F756" s="139">
        <v>0.8</v>
      </c>
      <c r="H756" t="str">
        <f t="shared" si="14"/>
        <v>15000601500060914</v>
      </c>
    </row>
    <row r="757" spans="1:8" ht="15" customHeight="1" x14ac:dyDescent="0.25">
      <c r="A757" s="110" t="s">
        <v>5489</v>
      </c>
      <c r="B757" s="125" t="s">
        <v>122</v>
      </c>
      <c r="C757" s="138">
        <v>1.57</v>
      </c>
      <c r="D757" s="138">
        <v>94.2</v>
      </c>
      <c r="E757" s="138">
        <v>38.216560509554142</v>
      </c>
      <c r="F757" s="139">
        <v>1.57</v>
      </c>
      <c r="H757" t="str">
        <f t="shared" si="14"/>
        <v>15000601500060915</v>
      </c>
    </row>
    <row r="758" spans="1:8" ht="15" customHeight="1" x14ac:dyDescent="0.25">
      <c r="A758" s="110" t="s">
        <v>5489</v>
      </c>
      <c r="B758" s="125" t="s">
        <v>1747</v>
      </c>
      <c r="C758" s="138">
        <v>0.8</v>
      </c>
      <c r="D758" s="138">
        <v>48</v>
      </c>
      <c r="E758" s="138">
        <v>75</v>
      </c>
      <c r="F758" s="139">
        <v>0.8</v>
      </c>
      <c r="H758" t="str">
        <f t="shared" si="14"/>
        <v>15000601500060915</v>
      </c>
    </row>
    <row r="759" spans="1:8" ht="15" customHeight="1" x14ac:dyDescent="0.25">
      <c r="A759" s="110" t="s">
        <v>5490</v>
      </c>
      <c r="B759" s="125" t="s">
        <v>123</v>
      </c>
      <c r="C759" s="138">
        <v>1.54</v>
      </c>
      <c r="D759" s="138">
        <v>92.4</v>
      </c>
      <c r="E759" s="138">
        <v>38.961038961038959</v>
      </c>
      <c r="F759" s="139">
        <v>1.54</v>
      </c>
      <c r="H759" t="str">
        <f t="shared" si="14"/>
        <v>15000601500060916</v>
      </c>
    </row>
    <row r="760" spans="1:8" ht="15" customHeight="1" x14ac:dyDescent="0.25">
      <c r="A760" s="110" t="s">
        <v>5490</v>
      </c>
      <c r="B760" s="125" t="s">
        <v>1746</v>
      </c>
      <c r="C760" s="138">
        <v>0.8</v>
      </c>
      <c r="D760" s="138">
        <v>48</v>
      </c>
      <c r="E760" s="138">
        <v>75</v>
      </c>
      <c r="F760" s="139">
        <v>0.8</v>
      </c>
      <c r="H760" t="str">
        <f t="shared" si="14"/>
        <v>15000601500060916</v>
      </c>
    </row>
    <row r="761" spans="1:8" ht="15" customHeight="1" x14ac:dyDescent="0.25">
      <c r="A761" s="110" t="s">
        <v>5491</v>
      </c>
      <c r="B761" s="125" t="s">
        <v>228</v>
      </c>
      <c r="C761" s="138">
        <v>1.45</v>
      </c>
      <c r="D761" s="138">
        <v>87</v>
      </c>
      <c r="E761" s="138">
        <v>41.379310344827587</v>
      </c>
      <c r="F761" s="139">
        <v>1.45</v>
      </c>
      <c r="H761" t="str">
        <f t="shared" si="14"/>
        <v>15000601500060917</v>
      </c>
    </row>
    <row r="762" spans="1:8" ht="15" customHeight="1" x14ac:dyDescent="0.25">
      <c r="A762" s="110" t="s">
        <v>5491</v>
      </c>
      <c r="B762" s="125" t="s">
        <v>1747</v>
      </c>
      <c r="C762" s="138">
        <v>0.8</v>
      </c>
      <c r="D762" s="138">
        <v>48</v>
      </c>
      <c r="E762" s="138">
        <v>75</v>
      </c>
      <c r="F762" s="139">
        <v>0.8</v>
      </c>
      <c r="H762" t="str">
        <f t="shared" si="14"/>
        <v>15000601500060917</v>
      </c>
    </row>
    <row r="763" spans="1:8" ht="15" customHeight="1" x14ac:dyDescent="0.25">
      <c r="A763" s="110" t="s">
        <v>5492</v>
      </c>
      <c r="B763" s="125" t="s">
        <v>124</v>
      </c>
      <c r="C763" s="138">
        <v>1</v>
      </c>
      <c r="D763" s="138">
        <v>60</v>
      </c>
      <c r="E763" s="138">
        <v>60</v>
      </c>
      <c r="F763" s="139">
        <v>1</v>
      </c>
      <c r="H763" t="str">
        <f t="shared" si="14"/>
        <v>15000601500060918</v>
      </c>
    </row>
    <row r="764" spans="1:8" ht="15" customHeight="1" x14ac:dyDescent="0.25">
      <c r="A764" s="110" t="s">
        <v>5493</v>
      </c>
      <c r="B764" s="125" t="s">
        <v>125</v>
      </c>
      <c r="C764" s="138">
        <v>1</v>
      </c>
      <c r="D764" s="138">
        <v>60</v>
      </c>
      <c r="E764" s="138">
        <v>60</v>
      </c>
      <c r="F764" s="139">
        <v>1</v>
      </c>
      <c r="H764" t="str">
        <f t="shared" si="14"/>
        <v>15000601500060919</v>
      </c>
    </row>
    <row r="765" spans="1:8" ht="15" customHeight="1" x14ac:dyDescent="0.25">
      <c r="A765" s="110" t="s">
        <v>5494</v>
      </c>
      <c r="B765" s="125" t="s">
        <v>126</v>
      </c>
      <c r="C765" s="138">
        <v>1.39</v>
      </c>
      <c r="D765" s="138">
        <v>83.399999999999991</v>
      </c>
      <c r="E765" s="138">
        <v>43.165467625899282</v>
      </c>
      <c r="F765" s="139">
        <v>1.39</v>
      </c>
      <c r="H765" t="str">
        <f t="shared" si="14"/>
        <v>15000601500060920</v>
      </c>
    </row>
    <row r="766" spans="1:8" ht="15" customHeight="1" x14ac:dyDescent="0.25">
      <c r="A766" s="110" t="s">
        <v>5495</v>
      </c>
      <c r="B766" s="125" t="s">
        <v>341</v>
      </c>
      <c r="C766" s="138">
        <v>0.81</v>
      </c>
      <c r="D766" s="138">
        <v>48.6</v>
      </c>
      <c r="E766" s="138">
        <v>74.074074074074076</v>
      </c>
      <c r="F766" s="139">
        <v>0.81</v>
      </c>
      <c r="H766" t="str">
        <f t="shared" si="14"/>
        <v>15000601500060921</v>
      </c>
    </row>
    <row r="767" spans="1:8" ht="15" customHeight="1" x14ac:dyDescent="0.25">
      <c r="A767" s="110" t="s">
        <v>5496</v>
      </c>
      <c r="B767" s="125" t="s">
        <v>1034</v>
      </c>
      <c r="C767" s="138">
        <v>1</v>
      </c>
      <c r="D767" s="138">
        <v>60</v>
      </c>
      <c r="E767" s="138">
        <v>60</v>
      </c>
      <c r="F767" s="139">
        <v>1</v>
      </c>
      <c r="H767" t="str">
        <f t="shared" si="14"/>
        <v>15000601500060922</v>
      </c>
    </row>
    <row r="768" spans="1:8" ht="15" customHeight="1" x14ac:dyDescent="0.25">
      <c r="A768" s="110" t="s">
        <v>5497</v>
      </c>
      <c r="B768" s="125" t="s">
        <v>127</v>
      </c>
      <c r="C768" s="138">
        <v>0.67</v>
      </c>
      <c r="D768" s="138">
        <v>40.200000000000003</v>
      </c>
      <c r="E768" s="138">
        <v>89.552238805970148</v>
      </c>
      <c r="F768" s="139">
        <v>0.67</v>
      </c>
      <c r="H768" t="str">
        <f t="shared" si="14"/>
        <v>15000601500060924</v>
      </c>
    </row>
    <row r="769" spans="1:8" ht="15" customHeight="1" x14ac:dyDescent="0.25">
      <c r="A769" s="110" t="s">
        <v>5498</v>
      </c>
      <c r="B769" s="125" t="s">
        <v>342</v>
      </c>
      <c r="C769" s="138">
        <v>3.09</v>
      </c>
      <c r="D769" s="138">
        <v>185.39999999999998</v>
      </c>
      <c r="E769" s="138">
        <v>19.417475728155342</v>
      </c>
      <c r="F769" s="139">
        <v>3.09</v>
      </c>
      <c r="H769" t="str">
        <f t="shared" si="14"/>
        <v>15000601500060930</v>
      </c>
    </row>
    <row r="770" spans="1:8" ht="15" customHeight="1" x14ac:dyDescent="0.25">
      <c r="A770" s="110" t="s">
        <v>5499</v>
      </c>
      <c r="B770" s="125" t="s">
        <v>229</v>
      </c>
      <c r="C770" s="138">
        <v>0.67</v>
      </c>
      <c r="D770" s="138">
        <v>40.200000000000003</v>
      </c>
      <c r="E770" s="138">
        <v>89.552238805970148</v>
      </c>
      <c r="F770" s="139">
        <v>0.67</v>
      </c>
      <c r="H770" t="str">
        <f t="shared" si="14"/>
        <v>15000601500060934</v>
      </c>
    </row>
    <row r="771" spans="1:8" ht="15" customHeight="1" x14ac:dyDescent="0.25">
      <c r="A771" s="110" t="s">
        <v>5500</v>
      </c>
      <c r="B771" s="125" t="s">
        <v>230</v>
      </c>
      <c r="C771" s="138">
        <v>0.67</v>
      </c>
      <c r="D771" s="138">
        <v>40.200000000000003</v>
      </c>
      <c r="E771" s="138">
        <v>89.552238805970148</v>
      </c>
      <c r="F771" s="139">
        <v>0.67</v>
      </c>
      <c r="H771" t="str">
        <f t="shared" si="14"/>
        <v>15000601500060935</v>
      </c>
    </row>
    <row r="772" spans="1:8" ht="15" customHeight="1" x14ac:dyDescent="0.25">
      <c r="A772" s="110" t="s">
        <v>5501</v>
      </c>
      <c r="B772" s="125" t="s">
        <v>509</v>
      </c>
      <c r="C772" s="138">
        <v>0.67</v>
      </c>
      <c r="D772" s="138">
        <v>40.200000000000003</v>
      </c>
      <c r="E772" s="138">
        <v>89.552238805970148</v>
      </c>
      <c r="F772" s="139">
        <v>0.67</v>
      </c>
      <c r="H772" t="str">
        <f t="shared" si="14"/>
        <v>15000601500060936</v>
      </c>
    </row>
    <row r="773" spans="1:8" ht="15" customHeight="1" x14ac:dyDescent="0.25">
      <c r="A773" s="110" t="s">
        <v>5502</v>
      </c>
      <c r="B773" s="125" t="s">
        <v>510</v>
      </c>
      <c r="C773" s="138">
        <v>0.67</v>
      </c>
      <c r="D773" s="138">
        <v>40.200000000000003</v>
      </c>
      <c r="E773" s="138">
        <v>89.552238805970148</v>
      </c>
      <c r="F773" s="139">
        <v>0.67</v>
      </c>
      <c r="H773" t="str">
        <f t="shared" si="14"/>
        <v>15000601500060937</v>
      </c>
    </row>
    <row r="774" spans="1:8" ht="15" customHeight="1" x14ac:dyDescent="0.25">
      <c r="A774" s="110" t="s">
        <v>5503</v>
      </c>
      <c r="B774" s="125" t="s">
        <v>380</v>
      </c>
      <c r="C774" s="138">
        <v>0.82</v>
      </c>
      <c r="D774" s="138">
        <v>49.199999999999996</v>
      </c>
      <c r="E774" s="138">
        <v>73.170731707317074</v>
      </c>
      <c r="F774" s="139">
        <v>0.82</v>
      </c>
      <c r="H774" t="str">
        <f t="shared" si="14"/>
        <v>15000601500060938</v>
      </c>
    </row>
    <row r="775" spans="1:8" ht="15" customHeight="1" x14ac:dyDescent="0.25">
      <c r="A775" s="110" t="s">
        <v>5504</v>
      </c>
      <c r="B775" s="125" t="s">
        <v>231</v>
      </c>
      <c r="C775" s="138">
        <v>0.82</v>
      </c>
      <c r="D775" s="138">
        <v>49.199999999999996</v>
      </c>
      <c r="E775" s="138">
        <v>73.170731707317074</v>
      </c>
      <c r="F775" s="139">
        <v>0.82</v>
      </c>
      <c r="H775" t="str">
        <f t="shared" si="14"/>
        <v>15000601500060939</v>
      </c>
    </row>
    <row r="776" spans="1:8" ht="15" customHeight="1" x14ac:dyDescent="0.25">
      <c r="A776" s="110" t="s">
        <v>5505</v>
      </c>
      <c r="B776" s="125" t="s">
        <v>1035</v>
      </c>
      <c r="C776" s="138">
        <v>0.6</v>
      </c>
      <c r="D776" s="138">
        <v>36</v>
      </c>
      <c r="E776" s="138">
        <v>100</v>
      </c>
      <c r="F776" s="139">
        <v>0.6</v>
      </c>
      <c r="H776" t="str">
        <f t="shared" si="14"/>
        <v>15000601500060940</v>
      </c>
    </row>
    <row r="777" spans="1:8" ht="15" customHeight="1" x14ac:dyDescent="0.25">
      <c r="A777" s="110" t="s">
        <v>5506</v>
      </c>
      <c r="B777" s="125" t="s">
        <v>1036</v>
      </c>
      <c r="C777" s="138">
        <v>0.6</v>
      </c>
      <c r="D777" s="138">
        <v>36</v>
      </c>
      <c r="E777" s="138">
        <v>100</v>
      </c>
      <c r="F777" s="139">
        <v>0.6</v>
      </c>
      <c r="H777" t="str">
        <f t="shared" si="14"/>
        <v>15000601500060941</v>
      </c>
    </row>
    <row r="778" spans="1:8" ht="15" customHeight="1" x14ac:dyDescent="0.25">
      <c r="A778" s="110" t="s">
        <v>5507</v>
      </c>
      <c r="B778" s="125" t="s">
        <v>633</v>
      </c>
      <c r="C778" s="138">
        <v>0.6</v>
      </c>
      <c r="D778" s="138">
        <v>36</v>
      </c>
      <c r="E778" s="138">
        <v>100</v>
      </c>
      <c r="F778" s="139">
        <v>0.6</v>
      </c>
      <c r="H778" t="str">
        <f t="shared" si="14"/>
        <v>15000601500060942</v>
      </c>
    </row>
    <row r="779" spans="1:8" ht="15" customHeight="1" x14ac:dyDescent="0.25">
      <c r="A779" s="110" t="s">
        <v>5508</v>
      </c>
      <c r="B779" s="125" t="s">
        <v>634</v>
      </c>
      <c r="C779" s="138">
        <v>0.6</v>
      </c>
      <c r="D779" s="138">
        <v>36</v>
      </c>
      <c r="E779" s="138">
        <v>100</v>
      </c>
      <c r="F779" s="139">
        <v>0.6</v>
      </c>
      <c r="H779" t="str">
        <f t="shared" si="14"/>
        <v>15000601500060943</v>
      </c>
    </row>
    <row r="780" spans="1:8" ht="15" customHeight="1" x14ac:dyDescent="0.25">
      <c r="A780" s="110" t="s">
        <v>5509</v>
      </c>
      <c r="B780" s="125" t="s">
        <v>1037</v>
      </c>
      <c r="C780" s="138">
        <v>0.44</v>
      </c>
      <c r="D780" s="138">
        <v>26.4</v>
      </c>
      <c r="E780" s="138">
        <v>136.36363636363637</v>
      </c>
      <c r="F780" s="139">
        <v>0.44</v>
      </c>
      <c r="H780" t="str">
        <f t="shared" si="14"/>
        <v>15000601500060944</v>
      </c>
    </row>
    <row r="781" spans="1:8" ht="15" customHeight="1" x14ac:dyDescent="0.25">
      <c r="A781" s="110" t="s">
        <v>5510</v>
      </c>
      <c r="B781" s="125" t="s">
        <v>1038</v>
      </c>
      <c r="C781" s="138">
        <v>0.44</v>
      </c>
      <c r="D781" s="138">
        <v>26.4</v>
      </c>
      <c r="E781" s="138">
        <v>136.36363636363637</v>
      </c>
      <c r="F781" s="139">
        <v>0.44</v>
      </c>
      <c r="H781" t="str">
        <f t="shared" si="14"/>
        <v>15000601500060945</v>
      </c>
    </row>
    <row r="782" spans="1:8" ht="15" customHeight="1" x14ac:dyDescent="0.25">
      <c r="A782" s="110" t="s">
        <v>5511</v>
      </c>
      <c r="B782" s="125" t="s">
        <v>128</v>
      </c>
      <c r="C782" s="138">
        <v>0.38</v>
      </c>
      <c r="D782" s="138">
        <v>22.8</v>
      </c>
      <c r="E782" s="138">
        <v>157.89473684210526</v>
      </c>
      <c r="F782" s="139">
        <v>0.38</v>
      </c>
      <c r="H782" t="str">
        <f t="shared" si="14"/>
        <v>15000601500060950</v>
      </c>
    </row>
    <row r="783" spans="1:8" ht="15" customHeight="1" x14ac:dyDescent="0.25">
      <c r="A783" s="110" t="s">
        <v>5512</v>
      </c>
      <c r="B783" s="125" t="s">
        <v>129</v>
      </c>
      <c r="C783" s="138">
        <v>0.38</v>
      </c>
      <c r="D783" s="138">
        <v>22.8</v>
      </c>
      <c r="E783" s="138">
        <v>157.89473684210526</v>
      </c>
      <c r="F783" s="139">
        <v>0.38</v>
      </c>
      <c r="H783" t="str">
        <f t="shared" si="14"/>
        <v>15000601500060951</v>
      </c>
    </row>
    <row r="784" spans="1:8" ht="15" customHeight="1" x14ac:dyDescent="0.25">
      <c r="A784" s="110" t="s">
        <v>5513</v>
      </c>
      <c r="B784" s="125" t="s">
        <v>130</v>
      </c>
      <c r="C784" s="138">
        <v>0.85</v>
      </c>
      <c r="D784" s="138">
        <v>51</v>
      </c>
      <c r="E784" s="138">
        <v>70.588235294117652</v>
      </c>
      <c r="F784" s="139">
        <v>0.85</v>
      </c>
      <c r="H784" t="str">
        <f t="shared" si="14"/>
        <v>15000601500060952</v>
      </c>
    </row>
    <row r="785" spans="1:8" ht="15" customHeight="1" x14ac:dyDescent="0.25">
      <c r="A785" s="110" t="s">
        <v>5514</v>
      </c>
      <c r="B785" s="125" t="s">
        <v>131</v>
      </c>
      <c r="C785" s="138">
        <v>0.85</v>
      </c>
      <c r="D785" s="138">
        <v>51</v>
      </c>
      <c r="E785" s="138">
        <v>70.588235294117652</v>
      </c>
      <c r="F785" s="139">
        <v>0.85</v>
      </c>
      <c r="H785" t="str">
        <f t="shared" si="14"/>
        <v>15000601500060953</v>
      </c>
    </row>
    <row r="786" spans="1:8" ht="15" customHeight="1" x14ac:dyDescent="0.25">
      <c r="A786" s="110" t="s">
        <v>5515</v>
      </c>
      <c r="B786" s="125" t="s">
        <v>132</v>
      </c>
      <c r="C786" s="138">
        <v>0.92</v>
      </c>
      <c r="D786" s="138">
        <v>55.2</v>
      </c>
      <c r="E786" s="138">
        <v>65.217391304347828</v>
      </c>
      <c r="F786" s="139">
        <v>0.92</v>
      </c>
      <c r="H786" t="str">
        <f t="shared" si="14"/>
        <v>15000601500060954</v>
      </c>
    </row>
    <row r="787" spans="1:8" ht="15" customHeight="1" x14ac:dyDescent="0.25">
      <c r="A787" s="110" t="s">
        <v>5516</v>
      </c>
      <c r="B787" s="125" t="s">
        <v>133</v>
      </c>
      <c r="C787" s="138">
        <v>0.92</v>
      </c>
      <c r="D787" s="138">
        <v>55.2</v>
      </c>
      <c r="E787" s="138">
        <v>65.217391304347828</v>
      </c>
      <c r="F787" s="139">
        <v>0.92</v>
      </c>
      <c r="H787" t="str">
        <f t="shared" si="14"/>
        <v>15000601500060955</v>
      </c>
    </row>
    <row r="788" spans="1:8" ht="15" customHeight="1" x14ac:dyDescent="0.25">
      <c r="A788" s="110" t="s">
        <v>5517</v>
      </c>
      <c r="B788" s="125" t="s">
        <v>1040</v>
      </c>
      <c r="C788" s="138">
        <v>0.01</v>
      </c>
      <c r="D788" s="138">
        <v>0.6</v>
      </c>
      <c r="E788" s="138">
        <v>6000</v>
      </c>
      <c r="F788" s="139">
        <v>0.01</v>
      </c>
      <c r="H788" t="str">
        <f t="shared" si="14"/>
        <v>15000601500060956</v>
      </c>
    </row>
    <row r="789" spans="1:8" ht="15" customHeight="1" x14ac:dyDescent="0.25">
      <c r="A789" s="110" t="s">
        <v>5518</v>
      </c>
      <c r="B789" s="125" t="s">
        <v>1041</v>
      </c>
      <c r="C789" s="138">
        <v>0.13</v>
      </c>
      <c r="D789" s="138">
        <v>7.8000000000000007</v>
      </c>
      <c r="E789" s="138">
        <v>461.53846153846149</v>
      </c>
      <c r="F789" s="139">
        <v>0.13</v>
      </c>
      <c r="H789" t="str">
        <f t="shared" si="14"/>
        <v>15000601500060957</v>
      </c>
    </row>
    <row r="790" spans="1:8" ht="15" customHeight="1" x14ac:dyDescent="0.25">
      <c r="A790" s="110" t="s">
        <v>5519</v>
      </c>
      <c r="B790" s="125" t="s">
        <v>343</v>
      </c>
      <c r="C790" s="138">
        <v>0.64</v>
      </c>
      <c r="D790" s="138">
        <v>38.4</v>
      </c>
      <c r="E790" s="138">
        <v>93.75</v>
      </c>
      <c r="F790" s="139">
        <v>0.64</v>
      </c>
      <c r="H790" t="str">
        <f t="shared" si="14"/>
        <v>15000601500060958</v>
      </c>
    </row>
    <row r="791" spans="1:8" ht="15" customHeight="1" x14ac:dyDescent="0.25">
      <c r="A791" s="110" t="s">
        <v>5520</v>
      </c>
      <c r="B791" s="125" t="s">
        <v>134</v>
      </c>
      <c r="C791" s="138">
        <v>0.76</v>
      </c>
      <c r="D791" s="138">
        <v>45.6</v>
      </c>
      <c r="E791" s="138">
        <v>78.94736842105263</v>
      </c>
      <c r="F791" s="139">
        <v>0.76</v>
      </c>
      <c r="H791" t="str">
        <f t="shared" si="14"/>
        <v>15000601500060959</v>
      </c>
    </row>
    <row r="792" spans="1:8" ht="15" customHeight="1" x14ac:dyDescent="0.25">
      <c r="A792" s="110" t="s">
        <v>5521</v>
      </c>
      <c r="B792" s="125" t="s">
        <v>135</v>
      </c>
      <c r="C792" s="138">
        <v>0.16</v>
      </c>
      <c r="D792" s="138">
        <v>9.6</v>
      </c>
      <c r="E792" s="138">
        <v>375</v>
      </c>
      <c r="F792" s="139">
        <v>0.16</v>
      </c>
      <c r="H792" t="str">
        <f t="shared" si="14"/>
        <v>15000601500060960</v>
      </c>
    </row>
    <row r="793" spans="1:8" ht="15" customHeight="1" x14ac:dyDescent="0.25">
      <c r="A793" s="110" t="s">
        <v>5522</v>
      </c>
      <c r="B793" s="125" t="s">
        <v>136</v>
      </c>
      <c r="C793" s="138">
        <v>0.88</v>
      </c>
      <c r="D793" s="138">
        <v>52.8</v>
      </c>
      <c r="E793" s="138">
        <v>68.181818181818187</v>
      </c>
      <c r="F793" s="139">
        <v>0.88</v>
      </c>
      <c r="H793" t="str">
        <f t="shared" si="14"/>
        <v>15000601500060961</v>
      </c>
    </row>
    <row r="794" spans="1:8" ht="15" customHeight="1" x14ac:dyDescent="0.25">
      <c r="A794" s="110" t="s">
        <v>5523</v>
      </c>
      <c r="B794" s="125" t="s">
        <v>137</v>
      </c>
      <c r="C794" s="138">
        <v>0.75</v>
      </c>
      <c r="D794" s="138">
        <v>45</v>
      </c>
      <c r="E794" s="138">
        <v>80</v>
      </c>
      <c r="F794" s="139">
        <v>0.75</v>
      </c>
      <c r="H794" t="str">
        <f t="shared" si="14"/>
        <v>15000601500060962</v>
      </c>
    </row>
    <row r="795" spans="1:8" ht="15" customHeight="1" x14ac:dyDescent="0.25">
      <c r="A795" s="110" t="s">
        <v>5524</v>
      </c>
      <c r="B795" s="125" t="s">
        <v>1042</v>
      </c>
      <c r="C795" s="138">
        <v>0.92</v>
      </c>
      <c r="D795" s="138">
        <v>55.2</v>
      </c>
      <c r="E795" s="138">
        <v>65.217391304347828</v>
      </c>
      <c r="F795" s="139">
        <v>0.92</v>
      </c>
      <c r="H795" t="str">
        <f t="shared" si="14"/>
        <v>15000601500060963</v>
      </c>
    </row>
    <row r="796" spans="1:8" ht="15" customHeight="1" x14ac:dyDescent="0.25">
      <c r="A796" s="110" t="s">
        <v>5525</v>
      </c>
      <c r="B796" s="125" t="s">
        <v>344</v>
      </c>
      <c r="C796" s="138">
        <v>0.92</v>
      </c>
      <c r="D796" s="138">
        <v>55.2</v>
      </c>
      <c r="E796" s="138">
        <v>65.217391304347828</v>
      </c>
      <c r="F796" s="139">
        <v>0.92</v>
      </c>
      <c r="H796" t="str">
        <f t="shared" si="14"/>
        <v>15000601500060964</v>
      </c>
    </row>
    <row r="797" spans="1:8" ht="15" customHeight="1" x14ac:dyDescent="0.25">
      <c r="A797" s="110" t="s">
        <v>5526</v>
      </c>
      <c r="B797" s="125" t="s">
        <v>344</v>
      </c>
      <c r="C797" s="138">
        <v>0.95</v>
      </c>
      <c r="D797" s="138">
        <v>57</v>
      </c>
      <c r="E797" s="138">
        <v>63.157894736842103</v>
      </c>
      <c r="F797" s="139">
        <v>0.95</v>
      </c>
      <c r="H797" t="str">
        <f t="shared" si="14"/>
        <v>15000601500060965</v>
      </c>
    </row>
    <row r="798" spans="1:8" ht="15" customHeight="1" x14ac:dyDescent="0.25">
      <c r="A798" s="110" t="s">
        <v>5527</v>
      </c>
      <c r="B798" s="125" t="s">
        <v>345</v>
      </c>
      <c r="C798" s="138">
        <v>0.79</v>
      </c>
      <c r="D798" s="138">
        <v>47.400000000000006</v>
      </c>
      <c r="E798" s="138">
        <v>75.949367088607588</v>
      </c>
      <c r="F798" s="139">
        <v>0.79</v>
      </c>
      <c r="H798" t="str">
        <f t="shared" si="14"/>
        <v>15000601500060967</v>
      </c>
    </row>
    <row r="799" spans="1:8" ht="15" customHeight="1" x14ac:dyDescent="0.25">
      <c r="A799" s="110" t="s">
        <v>5528</v>
      </c>
      <c r="B799" s="125" t="s">
        <v>1043</v>
      </c>
      <c r="C799" s="138">
        <v>0.48</v>
      </c>
      <c r="D799" s="138">
        <v>28.799999999999997</v>
      </c>
      <c r="E799" s="138">
        <v>125.00000000000001</v>
      </c>
      <c r="F799" s="139">
        <v>0.48</v>
      </c>
      <c r="H799" t="str">
        <f t="shared" si="14"/>
        <v>15000601500060969</v>
      </c>
    </row>
    <row r="800" spans="1:8" ht="15" customHeight="1" x14ac:dyDescent="0.25">
      <c r="A800" s="110" t="s">
        <v>5529</v>
      </c>
      <c r="B800" s="125" t="s">
        <v>138</v>
      </c>
      <c r="C800" s="138">
        <v>0.71</v>
      </c>
      <c r="D800" s="138">
        <v>42.599999999999994</v>
      </c>
      <c r="E800" s="138">
        <v>84.507042253521135</v>
      </c>
      <c r="F800" s="139">
        <v>0.71</v>
      </c>
      <c r="H800" t="str">
        <f t="shared" si="14"/>
        <v>15000601500060970</v>
      </c>
    </row>
    <row r="801" spans="1:8" ht="15" customHeight="1" x14ac:dyDescent="0.25">
      <c r="A801" s="110" t="s">
        <v>5530</v>
      </c>
      <c r="B801" s="125" t="s">
        <v>550</v>
      </c>
      <c r="C801" s="138">
        <v>0.48</v>
      </c>
      <c r="D801" s="138">
        <v>28.799999999999997</v>
      </c>
      <c r="E801" s="138">
        <v>125.00000000000001</v>
      </c>
      <c r="F801" s="139">
        <v>0.48</v>
      </c>
      <c r="H801" t="str">
        <f t="shared" si="14"/>
        <v>15000601500060971</v>
      </c>
    </row>
    <row r="802" spans="1:8" ht="15" customHeight="1" x14ac:dyDescent="0.25">
      <c r="A802" s="110" t="s">
        <v>5531</v>
      </c>
      <c r="B802" s="125" t="s">
        <v>441</v>
      </c>
      <c r="C802" s="138">
        <v>0.46</v>
      </c>
      <c r="D802" s="138">
        <v>27.6</v>
      </c>
      <c r="E802" s="138">
        <v>130.43478260869566</v>
      </c>
      <c r="F802" s="139">
        <v>0.46</v>
      </c>
      <c r="H802" t="str">
        <f t="shared" si="14"/>
        <v>15000601500060973</v>
      </c>
    </row>
    <row r="803" spans="1:8" ht="15" customHeight="1" x14ac:dyDescent="0.25">
      <c r="A803" s="110" t="s">
        <v>5532</v>
      </c>
      <c r="B803" s="125" t="s">
        <v>442</v>
      </c>
      <c r="C803" s="138">
        <v>0.46</v>
      </c>
      <c r="D803" s="138">
        <v>27.6</v>
      </c>
      <c r="E803" s="138">
        <v>130.43478260869566</v>
      </c>
      <c r="F803" s="139">
        <v>0.46</v>
      </c>
      <c r="H803" t="str">
        <f t="shared" si="14"/>
        <v>15000601500060974</v>
      </c>
    </row>
    <row r="804" spans="1:8" ht="15" customHeight="1" x14ac:dyDescent="0.25">
      <c r="A804" s="110" t="s">
        <v>5533</v>
      </c>
      <c r="B804" s="125" t="s">
        <v>139</v>
      </c>
      <c r="C804" s="138">
        <v>0.31</v>
      </c>
      <c r="D804" s="138">
        <v>18.600000000000001</v>
      </c>
      <c r="E804" s="138">
        <v>193.54838709677418</v>
      </c>
      <c r="F804" s="139">
        <v>0.31</v>
      </c>
      <c r="H804" t="str">
        <f t="shared" si="14"/>
        <v>15000601500060975</v>
      </c>
    </row>
    <row r="805" spans="1:8" ht="15" customHeight="1" x14ac:dyDescent="0.25">
      <c r="A805" s="110" t="s">
        <v>5534</v>
      </c>
      <c r="B805" s="125" t="s">
        <v>140</v>
      </c>
      <c r="C805" s="138">
        <v>0.71</v>
      </c>
      <c r="D805" s="138">
        <v>42.599999999999994</v>
      </c>
      <c r="E805" s="138">
        <v>84.507042253521135</v>
      </c>
      <c r="F805" s="139">
        <v>0.71</v>
      </c>
      <c r="H805" t="str">
        <f t="shared" si="14"/>
        <v>15000601500060976</v>
      </c>
    </row>
    <row r="806" spans="1:8" ht="15" customHeight="1" x14ac:dyDescent="0.25">
      <c r="A806" s="110" t="s">
        <v>5535</v>
      </c>
      <c r="B806" s="125" t="s">
        <v>232</v>
      </c>
      <c r="C806" s="138">
        <v>0.38</v>
      </c>
      <c r="D806" s="138">
        <v>22.8</v>
      </c>
      <c r="E806" s="138">
        <v>157.89473684210526</v>
      </c>
      <c r="F806" s="139">
        <v>0.38</v>
      </c>
      <c r="H806" t="str">
        <f t="shared" si="14"/>
        <v>15000601500060978</v>
      </c>
    </row>
    <row r="807" spans="1:8" ht="15" customHeight="1" x14ac:dyDescent="0.25">
      <c r="A807" s="110" t="s">
        <v>5536</v>
      </c>
      <c r="B807" s="125" t="s">
        <v>233</v>
      </c>
      <c r="C807" s="138">
        <v>0.8</v>
      </c>
      <c r="D807" s="138">
        <v>48</v>
      </c>
      <c r="E807" s="138">
        <v>75</v>
      </c>
      <c r="F807" s="139">
        <v>0.8</v>
      </c>
      <c r="H807" t="str">
        <f t="shared" si="14"/>
        <v>15000601500060979</v>
      </c>
    </row>
    <row r="808" spans="1:8" ht="15" customHeight="1" x14ac:dyDescent="0.25">
      <c r="A808" s="110" t="s">
        <v>5537</v>
      </c>
      <c r="B808" s="125" t="s">
        <v>141</v>
      </c>
      <c r="C808" s="138">
        <v>1.51</v>
      </c>
      <c r="D808" s="138">
        <v>90.6</v>
      </c>
      <c r="E808" s="138">
        <v>39.735099337748345</v>
      </c>
      <c r="F808" s="139">
        <v>1.51</v>
      </c>
      <c r="H808" t="str">
        <f t="shared" si="14"/>
        <v>15000601500060981</v>
      </c>
    </row>
    <row r="809" spans="1:8" ht="15" customHeight="1" x14ac:dyDescent="0.25">
      <c r="A809" s="110" t="s">
        <v>5538</v>
      </c>
      <c r="B809" s="125" t="s">
        <v>222</v>
      </c>
      <c r="C809" s="138">
        <v>0.54</v>
      </c>
      <c r="D809" s="138">
        <v>32.400000000000006</v>
      </c>
      <c r="E809" s="138">
        <v>111.11111111111109</v>
      </c>
      <c r="F809" s="139">
        <v>0.54</v>
      </c>
      <c r="H809" t="str">
        <f t="shared" si="14"/>
        <v>15000601500060982</v>
      </c>
    </row>
    <row r="810" spans="1:8" ht="15" customHeight="1" x14ac:dyDescent="0.25">
      <c r="A810" s="110" t="s">
        <v>5539</v>
      </c>
      <c r="B810" s="125" t="s">
        <v>142</v>
      </c>
      <c r="C810" s="138">
        <v>1.44</v>
      </c>
      <c r="D810" s="138">
        <v>86.399999999999991</v>
      </c>
      <c r="E810" s="138">
        <v>41.666666666666671</v>
      </c>
      <c r="F810" s="139">
        <v>1.44</v>
      </c>
      <c r="H810" t="str">
        <f t="shared" si="14"/>
        <v>15000601500060983</v>
      </c>
    </row>
    <row r="811" spans="1:8" ht="15" customHeight="1" x14ac:dyDescent="0.25">
      <c r="A811" s="110" t="s">
        <v>5540</v>
      </c>
      <c r="B811" s="125" t="s">
        <v>223</v>
      </c>
      <c r="C811" s="138">
        <v>0.54</v>
      </c>
      <c r="D811" s="138">
        <v>32.400000000000006</v>
      </c>
      <c r="E811" s="138">
        <v>111.11111111111109</v>
      </c>
      <c r="F811" s="139">
        <v>0.54</v>
      </c>
      <c r="H811" t="str">
        <f t="shared" si="14"/>
        <v>15000601500060984</v>
      </c>
    </row>
    <row r="812" spans="1:8" ht="15" customHeight="1" x14ac:dyDescent="0.25">
      <c r="A812" s="110" t="s">
        <v>5541</v>
      </c>
      <c r="B812" s="125" t="s">
        <v>1044</v>
      </c>
      <c r="C812" s="138">
        <v>0.15</v>
      </c>
      <c r="D812" s="138">
        <v>9</v>
      </c>
      <c r="E812" s="138">
        <v>400</v>
      </c>
      <c r="F812" s="139">
        <v>0.15</v>
      </c>
      <c r="H812" t="str">
        <f t="shared" si="14"/>
        <v>15000601500060985</v>
      </c>
    </row>
    <row r="813" spans="1:8" ht="15" customHeight="1" x14ac:dyDescent="0.25">
      <c r="A813" s="110" t="s">
        <v>5542</v>
      </c>
      <c r="B813" s="125" t="s">
        <v>143</v>
      </c>
      <c r="C813" s="138">
        <v>0.94</v>
      </c>
      <c r="D813" s="138">
        <v>56.4</v>
      </c>
      <c r="E813" s="138">
        <v>63.829787234042556</v>
      </c>
      <c r="F813" s="139">
        <v>0.94</v>
      </c>
      <c r="H813" t="str">
        <f t="shared" si="14"/>
        <v>15000601500060986</v>
      </c>
    </row>
    <row r="814" spans="1:8" ht="15" customHeight="1" x14ac:dyDescent="0.25">
      <c r="A814" s="110" t="s">
        <v>5543</v>
      </c>
      <c r="B814" s="125" t="s">
        <v>388</v>
      </c>
      <c r="C814" s="138">
        <v>1</v>
      </c>
      <c r="D814" s="138">
        <v>60</v>
      </c>
      <c r="E814" s="138">
        <v>60</v>
      </c>
      <c r="F814" s="139">
        <v>1</v>
      </c>
      <c r="H814" t="str">
        <f t="shared" ref="H814:H835" si="15">CONCATENATE($G$45,A814)</f>
        <v>15000601500060987</v>
      </c>
    </row>
    <row r="815" spans="1:8" ht="15" customHeight="1" x14ac:dyDescent="0.25">
      <c r="A815" s="110" t="s">
        <v>5544</v>
      </c>
      <c r="B815" s="125" t="s">
        <v>234</v>
      </c>
      <c r="C815" s="138">
        <v>0.41</v>
      </c>
      <c r="D815" s="138">
        <v>24.599999999999998</v>
      </c>
      <c r="E815" s="138">
        <v>146.34146341463415</v>
      </c>
      <c r="F815" s="139">
        <v>0.41</v>
      </c>
      <c r="H815" t="str">
        <f t="shared" si="15"/>
        <v>15000601500060988</v>
      </c>
    </row>
    <row r="816" spans="1:8" ht="15" customHeight="1" x14ac:dyDescent="0.25">
      <c r="A816" s="110" t="s">
        <v>5544</v>
      </c>
      <c r="B816" s="125" t="s">
        <v>708</v>
      </c>
      <c r="C816" s="138">
        <v>0</v>
      </c>
      <c r="D816" s="138">
        <v>0</v>
      </c>
      <c r="E816" s="138" t="e">
        <v>#DIV/0!</v>
      </c>
      <c r="F816" s="139">
        <v>0</v>
      </c>
      <c r="H816" t="str">
        <f t="shared" si="15"/>
        <v>15000601500060988</v>
      </c>
    </row>
    <row r="817" spans="1:8" ht="15" customHeight="1" x14ac:dyDescent="0.25">
      <c r="A817" s="110" t="s">
        <v>5545</v>
      </c>
      <c r="B817" s="125" t="s">
        <v>235</v>
      </c>
      <c r="C817" s="138">
        <v>0.41</v>
      </c>
      <c r="D817" s="138">
        <v>24.599999999999998</v>
      </c>
      <c r="E817" s="138">
        <v>146.34146341463415</v>
      </c>
      <c r="F817" s="139">
        <v>0.41</v>
      </c>
      <c r="H817" t="str">
        <f t="shared" si="15"/>
        <v>15000601500060989</v>
      </c>
    </row>
    <row r="818" spans="1:8" ht="15" customHeight="1" x14ac:dyDescent="0.25">
      <c r="A818" s="110" t="s">
        <v>5545</v>
      </c>
      <c r="B818" s="125" t="s">
        <v>709</v>
      </c>
      <c r="C818" s="138">
        <v>0</v>
      </c>
      <c r="D818" s="138">
        <v>0</v>
      </c>
      <c r="E818" s="138" t="e">
        <v>#DIV/0!</v>
      </c>
      <c r="F818" s="139">
        <v>0</v>
      </c>
      <c r="H818" t="str">
        <f t="shared" si="15"/>
        <v>15000601500060989</v>
      </c>
    </row>
    <row r="819" spans="1:8" ht="15" customHeight="1" x14ac:dyDescent="0.25">
      <c r="A819" s="110" t="s">
        <v>5546</v>
      </c>
      <c r="B819" s="125" t="s">
        <v>236</v>
      </c>
      <c r="C819" s="138">
        <v>0.7</v>
      </c>
      <c r="D819" s="138">
        <v>42</v>
      </c>
      <c r="E819" s="138">
        <v>85.714285714285708</v>
      </c>
      <c r="F819" s="139">
        <v>0.7</v>
      </c>
      <c r="H819" t="str">
        <f t="shared" si="15"/>
        <v>15000601500060990</v>
      </c>
    </row>
    <row r="820" spans="1:8" ht="15" customHeight="1" x14ac:dyDescent="0.25">
      <c r="A820" s="110" t="s">
        <v>5546</v>
      </c>
      <c r="B820" s="125" t="s">
        <v>710</v>
      </c>
      <c r="C820" s="138">
        <v>0</v>
      </c>
      <c r="D820" s="138">
        <v>0</v>
      </c>
      <c r="E820" s="138" t="e">
        <v>#DIV/0!</v>
      </c>
      <c r="F820" s="139">
        <v>0</v>
      </c>
      <c r="H820" t="str">
        <f t="shared" si="15"/>
        <v>15000601500060990</v>
      </c>
    </row>
    <row r="821" spans="1:8" ht="15" customHeight="1" x14ac:dyDescent="0.25">
      <c r="A821" s="110" t="s">
        <v>5547</v>
      </c>
      <c r="B821" s="125" t="s">
        <v>237</v>
      </c>
      <c r="C821" s="138">
        <v>0.7</v>
      </c>
      <c r="D821" s="138">
        <v>42</v>
      </c>
      <c r="E821" s="138">
        <v>85.714285714285708</v>
      </c>
      <c r="F821" s="139">
        <v>0.7</v>
      </c>
      <c r="H821" t="str">
        <f t="shared" si="15"/>
        <v>15000601500060991</v>
      </c>
    </row>
    <row r="822" spans="1:8" ht="15" customHeight="1" x14ac:dyDescent="0.25">
      <c r="A822" s="110" t="s">
        <v>5547</v>
      </c>
      <c r="B822" s="125" t="s">
        <v>711</v>
      </c>
      <c r="C822" s="138">
        <v>0</v>
      </c>
      <c r="D822" s="138">
        <v>0</v>
      </c>
      <c r="E822" s="138" t="e">
        <v>#DIV/0!</v>
      </c>
      <c r="F822" s="139">
        <v>0</v>
      </c>
      <c r="H822" t="str">
        <f t="shared" si="15"/>
        <v>15000601500060991</v>
      </c>
    </row>
    <row r="823" spans="1:8" ht="15" customHeight="1" x14ac:dyDescent="0.25">
      <c r="A823" s="110" t="s">
        <v>5548</v>
      </c>
      <c r="B823" s="125" t="s">
        <v>238</v>
      </c>
      <c r="C823" s="138">
        <v>0.41</v>
      </c>
      <c r="D823" s="138">
        <v>24.599999999999998</v>
      </c>
      <c r="E823" s="138">
        <v>146.34146341463415</v>
      </c>
      <c r="F823" s="139">
        <v>0.41</v>
      </c>
      <c r="H823" t="str">
        <f t="shared" si="15"/>
        <v>15000601500060992</v>
      </c>
    </row>
    <row r="824" spans="1:8" ht="15" customHeight="1" x14ac:dyDescent="0.25">
      <c r="A824" s="110" t="s">
        <v>5548</v>
      </c>
      <c r="B824" s="125" t="s">
        <v>712</v>
      </c>
      <c r="C824" s="138">
        <v>0</v>
      </c>
      <c r="D824" s="138">
        <v>0</v>
      </c>
      <c r="E824" s="138" t="e">
        <v>#DIV/0!</v>
      </c>
      <c r="F824" s="139">
        <v>0</v>
      </c>
      <c r="H824" t="str">
        <f t="shared" si="15"/>
        <v>15000601500060992</v>
      </c>
    </row>
    <row r="825" spans="1:8" ht="15" customHeight="1" x14ac:dyDescent="0.25">
      <c r="A825" s="110" t="s">
        <v>5549</v>
      </c>
      <c r="B825" s="125" t="s">
        <v>239</v>
      </c>
      <c r="C825" s="138">
        <v>0.41</v>
      </c>
      <c r="D825" s="138">
        <v>24.599999999999998</v>
      </c>
      <c r="E825" s="138">
        <v>146.34146341463415</v>
      </c>
      <c r="F825" s="139">
        <v>0.41</v>
      </c>
      <c r="H825" t="str">
        <f t="shared" si="15"/>
        <v>15000601500060993</v>
      </c>
    </row>
    <row r="826" spans="1:8" ht="15" customHeight="1" x14ac:dyDescent="0.25">
      <c r="A826" s="110" t="s">
        <v>5549</v>
      </c>
      <c r="B826" s="125" t="s">
        <v>713</v>
      </c>
      <c r="C826" s="138">
        <v>0</v>
      </c>
      <c r="D826" s="138">
        <v>0</v>
      </c>
      <c r="E826" s="138" t="e">
        <v>#DIV/0!</v>
      </c>
      <c r="F826" s="139">
        <v>0</v>
      </c>
      <c r="H826" t="str">
        <f t="shared" si="15"/>
        <v>15000601500060993</v>
      </c>
    </row>
    <row r="827" spans="1:8" ht="15" customHeight="1" x14ac:dyDescent="0.25">
      <c r="A827" s="110" t="s">
        <v>5550</v>
      </c>
      <c r="B827" s="125" t="s">
        <v>240</v>
      </c>
      <c r="C827" s="138">
        <v>0.45</v>
      </c>
      <c r="D827" s="138">
        <v>27</v>
      </c>
      <c r="E827" s="138">
        <v>133.33333333333334</v>
      </c>
      <c r="F827" s="139">
        <v>0.45</v>
      </c>
      <c r="H827" t="str">
        <f t="shared" si="15"/>
        <v>15000601500060994</v>
      </c>
    </row>
    <row r="828" spans="1:8" ht="15" customHeight="1" x14ac:dyDescent="0.25">
      <c r="A828" s="110" t="s">
        <v>5550</v>
      </c>
      <c r="B828" s="125" t="s">
        <v>714</v>
      </c>
      <c r="C828" s="138">
        <v>0</v>
      </c>
      <c r="D828" s="138">
        <v>0</v>
      </c>
      <c r="E828" s="138" t="e">
        <v>#DIV/0!</v>
      </c>
      <c r="F828" s="139">
        <v>0</v>
      </c>
      <c r="H828" t="str">
        <f t="shared" si="15"/>
        <v>15000601500060994</v>
      </c>
    </row>
    <row r="829" spans="1:8" ht="15" customHeight="1" x14ac:dyDescent="0.25">
      <c r="A829" s="110" t="s">
        <v>5551</v>
      </c>
      <c r="B829" s="125" t="s">
        <v>241</v>
      </c>
      <c r="C829" s="138">
        <v>0.45</v>
      </c>
      <c r="D829" s="138">
        <v>27</v>
      </c>
      <c r="E829" s="138">
        <v>133.33333333333334</v>
      </c>
      <c r="F829" s="139">
        <v>0.45</v>
      </c>
      <c r="H829" t="str">
        <f t="shared" si="15"/>
        <v>15000601500060995</v>
      </c>
    </row>
    <row r="830" spans="1:8" ht="15" customHeight="1" x14ac:dyDescent="0.25">
      <c r="A830" s="110" t="s">
        <v>5551</v>
      </c>
      <c r="B830" s="125" t="s">
        <v>715</v>
      </c>
      <c r="C830" s="138">
        <v>0</v>
      </c>
      <c r="D830" s="138">
        <v>0</v>
      </c>
      <c r="E830" s="138" t="e">
        <v>#DIV/0!</v>
      </c>
      <c r="F830" s="139">
        <v>0</v>
      </c>
      <c r="H830" t="str">
        <f t="shared" si="15"/>
        <v>15000601500060995</v>
      </c>
    </row>
    <row r="831" spans="1:8" ht="15" customHeight="1" x14ac:dyDescent="0.25">
      <c r="A831" s="110" t="s">
        <v>5552</v>
      </c>
      <c r="B831" s="125" t="s">
        <v>389</v>
      </c>
      <c r="C831" s="138">
        <v>1.18</v>
      </c>
      <c r="D831" s="138">
        <v>70.8</v>
      </c>
      <c r="E831" s="138">
        <v>50.847457627118644</v>
      </c>
      <c r="F831" s="139">
        <v>1.18</v>
      </c>
      <c r="H831" t="str">
        <f t="shared" si="15"/>
        <v>15000601500060996</v>
      </c>
    </row>
    <row r="832" spans="1:8" ht="15" customHeight="1" x14ac:dyDescent="0.25">
      <c r="A832" s="110" t="s">
        <v>5553</v>
      </c>
      <c r="B832" s="125" t="s">
        <v>390</v>
      </c>
      <c r="C832" s="138">
        <v>1.18</v>
      </c>
      <c r="D832" s="138">
        <v>70.8</v>
      </c>
      <c r="E832" s="138">
        <v>50.847457627118644</v>
      </c>
      <c r="F832" s="139">
        <v>1.18</v>
      </c>
      <c r="H832" t="str">
        <f t="shared" si="15"/>
        <v>15000601500060997</v>
      </c>
    </row>
    <row r="833" spans="1:8" ht="15" customHeight="1" x14ac:dyDescent="0.25">
      <c r="A833" s="110" t="s">
        <v>5554</v>
      </c>
      <c r="B833" s="125" t="s">
        <v>391</v>
      </c>
      <c r="C833" s="138">
        <v>1.25</v>
      </c>
      <c r="D833" s="138">
        <v>75</v>
      </c>
      <c r="E833" s="138">
        <v>48</v>
      </c>
      <c r="F833" s="139">
        <v>1.25</v>
      </c>
      <c r="H833" t="str">
        <f t="shared" si="15"/>
        <v>15000601500060998</v>
      </c>
    </row>
    <row r="834" spans="1:8" ht="15" customHeight="1" x14ac:dyDescent="0.25">
      <c r="A834" s="110" t="s">
        <v>5555</v>
      </c>
      <c r="B834" s="125" t="s">
        <v>392</v>
      </c>
      <c r="C834" s="138">
        <v>1.25</v>
      </c>
      <c r="D834" s="138">
        <v>75</v>
      </c>
      <c r="E834" s="138">
        <v>48</v>
      </c>
      <c r="F834" s="139">
        <v>1.25</v>
      </c>
      <c r="H834" t="str">
        <f t="shared" si="15"/>
        <v>15000601500060999</v>
      </c>
    </row>
    <row r="835" spans="1:8" ht="15" customHeight="1" x14ac:dyDescent="0.25">
      <c r="A835" s="110" t="s">
        <v>3904</v>
      </c>
      <c r="B835" s="125" t="s">
        <v>393</v>
      </c>
      <c r="C835" s="138">
        <v>0.62</v>
      </c>
      <c r="D835" s="138">
        <v>37.200000000000003</v>
      </c>
      <c r="E835" s="138">
        <v>96.774193548387089</v>
      </c>
      <c r="F835" s="139">
        <v>0.62</v>
      </c>
      <c r="G835" s="199">
        <v>15006</v>
      </c>
      <c r="H835" t="str">
        <f>CONCATENATE($G$835,A835)</f>
        <v>15006150061000</v>
      </c>
    </row>
    <row r="836" spans="1:8" ht="15" customHeight="1" x14ac:dyDescent="0.25">
      <c r="A836" s="110" t="s">
        <v>3904</v>
      </c>
      <c r="B836" s="125" t="s">
        <v>1748</v>
      </c>
      <c r="C836" s="138">
        <v>0</v>
      </c>
      <c r="D836" s="138">
        <v>0</v>
      </c>
      <c r="E836" s="138" t="e">
        <v>#DIV/0!</v>
      </c>
      <c r="F836" s="139">
        <v>0</v>
      </c>
      <c r="H836" t="str">
        <f t="shared" ref="H836:H899" si="16">CONCATENATE($G$835,A836)</f>
        <v>15006150061000</v>
      </c>
    </row>
    <row r="837" spans="1:8" ht="15" customHeight="1" x14ac:dyDescent="0.25">
      <c r="A837" s="110" t="s">
        <v>3905</v>
      </c>
      <c r="B837" s="125" t="s">
        <v>394</v>
      </c>
      <c r="C837" s="138">
        <v>0.62</v>
      </c>
      <c r="D837" s="138">
        <v>37.200000000000003</v>
      </c>
      <c r="E837" s="138">
        <v>96.774193548387089</v>
      </c>
      <c r="F837" s="139">
        <v>0.62</v>
      </c>
      <c r="H837" t="str">
        <f t="shared" si="16"/>
        <v>15006150061001</v>
      </c>
    </row>
    <row r="838" spans="1:8" ht="15" customHeight="1" x14ac:dyDescent="0.25">
      <c r="A838" s="110" t="s">
        <v>3908</v>
      </c>
      <c r="B838" s="125" t="s">
        <v>395</v>
      </c>
      <c r="C838" s="138">
        <v>0.66</v>
      </c>
      <c r="D838" s="138">
        <v>39.6</v>
      </c>
      <c r="E838" s="138">
        <v>90.909090909090907</v>
      </c>
      <c r="F838" s="139">
        <v>0.66</v>
      </c>
      <c r="H838" t="str">
        <f t="shared" si="16"/>
        <v>15006150061004</v>
      </c>
    </row>
    <row r="839" spans="1:8" ht="15" customHeight="1" x14ac:dyDescent="0.25">
      <c r="A839" s="110" t="s">
        <v>3909</v>
      </c>
      <c r="B839" s="125" t="s">
        <v>396</v>
      </c>
      <c r="C839" s="138">
        <v>0.66</v>
      </c>
      <c r="D839" s="138">
        <v>39.6</v>
      </c>
      <c r="E839" s="138">
        <v>90.909090909090907</v>
      </c>
      <c r="F839" s="139">
        <v>0.66</v>
      </c>
      <c r="H839" t="str">
        <f t="shared" si="16"/>
        <v>15006150061005</v>
      </c>
    </row>
    <row r="840" spans="1:8" ht="15" customHeight="1" x14ac:dyDescent="0.25">
      <c r="A840" s="110" t="s">
        <v>3910</v>
      </c>
      <c r="B840" s="125" t="s">
        <v>397</v>
      </c>
      <c r="C840" s="138">
        <v>0.41</v>
      </c>
      <c r="D840" s="138">
        <v>24.599999999999998</v>
      </c>
      <c r="E840" s="138">
        <v>146.34146341463415</v>
      </c>
      <c r="F840" s="139">
        <v>0.41</v>
      </c>
      <c r="H840" t="str">
        <f t="shared" si="16"/>
        <v>15006150061006</v>
      </c>
    </row>
    <row r="841" spans="1:8" ht="15" customHeight="1" x14ac:dyDescent="0.25">
      <c r="A841" s="110" t="s">
        <v>3911</v>
      </c>
      <c r="B841" s="125" t="s">
        <v>398</v>
      </c>
      <c r="C841" s="138">
        <v>0.41</v>
      </c>
      <c r="D841" s="138">
        <v>24.599999999999998</v>
      </c>
      <c r="E841" s="138">
        <v>146.34146341463415</v>
      </c>
      <c r="F841" s="139">
        <v>0.41</v>
      </c>
      <c r="H841" t="str">
        <f t="shared" si="16"/>
        <v>15006150061007</v>
      </c>
    </row>
    <row r="842" spans="1:8" ht="15" customHeight="1" x14ac:dyDescent="0.25">
      <c r="A842" s="110" t="s">
        <v>3912</v>
      </c>
      <c r="B842" s="125" t="s">
        <v>399</v>
      </c>
      <c r="C842" s="138">
        <v>0.41</v>
      </c>
      <c r="D842" s="138">
        <v>24.599999999999998</v>
      </c>
      <c r="E842" s="138">
        <v>146.34146341463415</v>
      </c>
      <c r="F842" s="139">
        <v>0.41</v>
      </c>
      <c r="H842" t="str">
        <f t="shared" si="16"/>
        <v>15006150061008</v>
      </c>
    </row>
    <row r="843" spans="1:8" ht="15" customHeight="1" x14ac:dyDescent="0.25">
      <c r="A843" s="110" t="s">
        <v>3913</v>
      </c>
      <c r="B843" s="125" t="s">
        <v>400</v>
      </c>
      <c r="C843" s="138">
        <v>0.41</v>
      </c>
      <c r="D843" s="138">
        <v>24.599999999999998</v>
      </c>
      <c r="E843" s="138">
        <v>146.34146341463415</v>
      </c>
      <c r="F843" s="139">
        <v>0.41</v>
      </c>
      <c r="H843" t="str">
        <f t="shared" si="16"/>
        <v>15006150061009</v>
      </c>
    </row>
    <row r="844" spans="1:8" ht="15" customHeight="1" x14ac:dyDescent="0.25">
      <c r="A844" s="110" t="s">
        <v>3914</v>
      </c>
      <c r="B844" s="125" t="s">
        <v>401</v>
      </c>
      <c r="C844" s="138">
        <v>0.1</v>
      </c>
      <c r="D844" s="138">
        <v>6</v>
      </c>
      <c r="E844" s="138">
        <v>600</v>
      </c>
      <c r="F844" s="139">
        <v>0.1</v>
      </c>
      <c r="H844" t="str">
        <f t="shared" si="16"/>
        <v>15006150061010</v>
      </c>
    </row>
    <row r="845" spans="1:8" ht="15" customHeight="1" x14ac:dyDescent="0.25">
      <c r="A845" s="110" t="s">
        <v>3914</v>
      </c>
      <c r="B845" s="125" t="s">
        <v>1749</v>
      </c>
      <c r="C845" s="138">
        <v>0</v>
      </c>
      <c r="D845" s="138">
        <v>0</v>
      </c>
      <c r="E845" s="138" t="e">
        <v>#DIV/0!</v>
      </c>
      <c r="F845" s="139">
        <v>0</v>
      </c>
      <c r="H845" t="str">
        <f t="shared" si="16"/>
        <v>15006150061010</v>
      </c>
    </row>
    <row r="846" spans="1:8" ht="15" customHeight="1" x14ac:dyDescent="0.25">
      <c r="A846" s="110" t="s">
        <v>3915</v>
      </c>
      <c r="B846" s="125" t="s">
        <v>402</v>
      </c>
      <c r="C846" s="138">
        <v>0.31</v>
      </c>
      <c r="D846" s="138">
        <v>18.600000000000001</v>
      </c>
      <c r="E846" s="138">
        <v>193.54838709677418</v>
      </c>
      <c r="F846" s="139">
        <v>0.31</v>
      </c>
      <c r="H846" t="str">
        <f t="shared" si="16"/>
        <v>15006150061011</v>
      </c>
    </row>
    <row r="847" spans="1:8" ht="15" customHeight="1" x14ac:dyDescent="0.25">
      <c r="A847" s="110" t="s">
        <v>3915</v>
      </c>
      <c r="B847" s="125" t="s">
        <v>1750</v>
      </c>
      <c r="C847" s="138">
        <v>0.18</v>
      </c>
      <c r="D847" s="138">
        <v>10.799999999999999</v>
      </c>
      <c r="E847" s="138">
        <v>333.33333333333337</v>
      </c>
      <c r="F847" s="139">
        <v>0.18</v>
      </c>
      <c r="H847" t="str">
        <f t="shared" si="16"/>
        <v>15006150061011</v>
      </c>
    </row>
    <row r="848" spans="1:8" ht="15" customHeight="1" x14ac:dyDescent="0.25">
      <c r="A848" s="110" t="s">
        <v>3916</v>
      </c>
      <c r="B848" s="125" t="s">
        <v>403</v>
      </c>
      <c r="C848" s="138">
        <v>0.52</v>
      </c>
      <c r="D848" s="138">
        <v>31.200000000000003</v>
      </c>
      <c r="E848" s="138">
        <v>115.38461538461537</v>
      </c>
      <c r="F848" s="139">
        <v>0.52</v>
      </c>
      <c r="H848" t="str">
        <f t="shared" si="16"/>
        <v>15006150061012</v>
      </c>
    </row>
    <row r="849" spans="1:8" ht="15" customHeight="1" x14ac:dyDescent="0.25">
      <c r="A849" s="110" t="s">
        <v>3917</v>
      </c>
      <c r="B849" s="125" t="s">
        <v>404</v>
      </c>
      <c r="C849" s="138">
        <v>0.52</v>
      </c>
      <c r="D849" s="138">
        <v>31.200000000000003</v>
      </c>
      <c r="E849" s="138">
        <v>115.38461538461537</v>
      </c>
      <c r="F849" s="139">
        <v>0.52</v>
      </c>
      <c r="H849" t="str">
        <f t="shared" si="16"/>
        <v>15006150061013</v>
      </c>
    </row>
    <row r="850" spans="1:8" ht="15" customHeight="1" x14ac:dyDescent="0.25">
      <c r="A850" s="110" t="s">
        <v>3918</v>
      </c>
      <c r="B850" s="125" t="s">
        <v>405</v>
      </c>
      <c r="C850" s="138">
        <v>0.31</v>
      </c>
      <c r="D850" s="138">
        <v>18.600000000000001</v>
      </c>
      <c r="E850" s="138">
        <v>193.54838709677418</v>
      </c>
      <c r="F850" s="139">
        <v>0.31</v>
      </c>
      <c r="H850" t="str">
        <f t="shared" si="16"/>
        <v>15006150061014</v>
      </c>
    </row>
    <row r="851" spans="1:8" ht="15" customHeight="1" x14ac:dyDescent="0.25">
      <c r="A851" s="110" t="s">
        <v>3919</v>
      </c>
      <c r="B851" s="125" t="s">
        <v>406</v>
      </c>
      <c r="C851" s="138">
        <v>0.31</v>
      </c>
      <c r="D851" s="138">
        <v>18.600000000000001</v>
      </c>
      <c r="E851" s="138">
        <v>193.54838709677418</v>
      </c>
      <c r="F851" s="139">
        <v>0.31</v>
      </c>
      <c r="H851" t="str">
        <f t="shared" si="16"/>
        <v>15006150061015</v>
      </c>
    </row>
    <row r="852" spans="1:8" ht="15" customHeight="1" x14ac:dyDescent="0.25">
      <c r="A852" s="110" t="s">
        <v>3920</v>
      </c>
      <c r="B852" s="125" t="s">
        <v>407</v>
      </c>
      <c r="C852" s="138">
        <v>0.59</v>
      </c>
      <c r="D852" s="138">
        <v>35.4</v>
      </c>
      <c r="E852" s="138">
        <v>101.69491525423729</v>
      </c>
      <c r="F852" s="139">
        <v>0.59</v>
      </c>
      <c r="H852" t="str">
        <f t="shared" si="16"/>
        <v>15006150061016</v>
      </c>
    </row>
    <row r="853" spans="1:8" ht="15" customHeight="1" x14ac:dyDescent="0.25">
      <c r="A853" s="110" t="s">
        <v>3921</v>
      </c>
      <c r="B853" s="125" t="s">
        <v>408</v>
      </c>
      <c r="C853" s="138">
        <v>0.59</v>
      </c>
      <c r="D853" s="138">
        <v>35.4</v>
      </c>
      <c r="E853" s="138">
        <v>101.69491525423729</v>
      </c>
      <c r="F853" s="139">
        <v>0.59</v>
      </c>
      <c r="H853" t="str">
        <f t="shared" si="16"/>
        <v>15006150061017</v>
      </c>
    </row>
    <row r="854" spans="1:8" ht="15" customHeight="1" x14ac:dyDescent="0.25">
      <c r="A854" s="110" t="s">
        <v>3922</v>
      </c>
      <c r="B854" s="125" t="s">
        <v>409</v>
      </c>
      <c r="C854" s="138">
        <v>0.52</v>
      </c>
      <c r="D854" s="138">
        <v>31.200000000000003</v>
      </c>
      <c r="E854" s="138">
        <v>115.38461538461537</v>
      </c>
      <c r="F854" s="139">
        <v>0.52</v>
      </c>
      <c r="H854" t="str">
        <f t="shared" si="16"/>
        <v>15006150061019</v>
      </c>
    </row>
    <row r="855" spans="1:8" ht="15" customHeight="1" x14ac:dyDescent="0.25">
      <c r="A855" s="110" t="s">
        <v>3923</v>
      </c>
      <c r="B855" s="125" t="s">
        <v>410</v>
      </c>
      <c r="C855" s="138">
        <v>0.52</v>
      </c>
      <c r="D855" s="138">
        <v>31.200000000000003</v>
      </c>
      <c r="E855" s="138">
        <v>115.38461538461537</v>
      </c>
      <c r="F855" s="139">
        <v>0.52</v>
      </c>
      <c r="H855" t="str">
        <f t="shared" si="16"/>
        <v>15006150061020</v>
      </c>
    </row>
    <row r="856" spans="1:8" ht="15" customHeight="1" x14ac:dyDescent="0.25">
      <c r="A856" s="110" t="s">
        <v>3924</v>
      </c>
      <c r="B856" s="125" t="s">
        <v>242</v>
      </c>
      <c r="C856" s="138">
        <v>0.35</v>
      </c>
      <c r="D856" s="138">
        <v>21</v>
      </c>
      <c r="E856" s="138">
        <v>171.42857142857142</v>
      </c>
      <c r="F856" s="139">
        <v>0.35</v>
      </c>
      <c r="H856" t="str">
        <f t="shared" si="16"/>
        <v>15006150061021</v>
      </c>
    </row>
    <row r="857" spans="1:8" ht="15" customHeight="1" x14ac:dyDescent="0.25">
      <c r="A857" s="110" t="s">
        <v>3925</v>
      </c>
      <c r="B857" s="125" t="s">
        <v>243</v>
      </c>
      <c r="C857" s="138">
        <v>0.35</v>
      </c>
      <c r="D857" s="138">
        <v>21</v>
      </c>
      <c r="E857" s="138">
        <v>171.42857142857142</v>
      </c>
      <c r="F857" s="139">
        <v>0.35</v>
      </c>
      <c r="H857" t="str">
        <f t="shared" si="16"/>
        <v>15006150061022</v>
      </c>
    </row>
    <row r="858" spans="1:8" ht="15" customHeight="1" x14ac:dyDescent="0.25">
      <c r="A858" s="110" t="s">
        <v>3926</v>
      </c>
      <c r="B858" s="125" t="s">
        <v>244</v>
      </c>
      <c r="C858" s="138">
        <v>0.36</v>
      </c>
      <c r="D858" s="138">
        <v>21.599999999999998</v>
      </c>
      <c r="E858" s="138">
        <v>166.66666666666669</v>
      </c>
      <c r="F858" s="139">
        <v>0.36</v>
      </c>
      <c r="H858" t="str">
        <f t="shared" si="16"/>
        <v>15006150061023</v>
      </c>
    </row>
    <row r="859" spans="1:8" ht="15" customHeight="1" x14ac:dyDescent="0.25">
      <c r="A859" s="110" t="s">
        <v>3927</v>
      </c>
      <c r="B859" s="125" t="s">
        <v>245</v>
      </c>
      <c r="C859" s="138">
        <v>0.36</v>
      </c>
      <c r="D859" s="138">
        <v>21.599999999999998</v>
      </c>
      <c r="E859" s="138">
        <v>166.66666666666669</v>
      </c>
      <c r="F859" s="139">
        <v>0.36</v>
      </c>
      <c r="H859" t="str">
        <f t="shared" si="16"/>
        <v>15006150061024</v>
      </c>
    </row>
    <row r="860" spans="1:8" ht="15" customHeight="1" x14ac:dyDescent="0.25">
      <c r="A860" s="110" t="s">
        <v>3928</v>
      </c>
      <c r="B860" s="125" t="s">
        <v>246</v>
      </c>
      <c r="C860" s="138">
        <v>0.86</v>
      </c>
      <c r="D860" s="138">
        <v>51.6</v>
      </c>
      <c r="E860" s="138">
        <v>69.767441860465112</v>
      </c>
      <c r="F860" s="139">
        <v>0.86</v>
      </c>
      <c r="H860" t="str">
        <f t="shared" si="16"/>
        <v>15006150061025</v>
      </c>
    </row>
    <row r="861" spans="1:8" ht="15" customHeight="1" x14ac:dyDescent="0.25">
      <c r="A861" s="110" t="s">
        <v>3929</v>
      </c>
      <c r="B861" s="125" t="s">
        <v>346</v>
      </c>
      <c r="C861" s="138">
        <v>0.86</v>
      </c>
      <c r="D861" s="138">
        <v>51.6</v>
      </c>
      <c r="E861" s="138">
        <v>69.767441860465112</v>
      </c>
      <c r="F861" s="139">
        <v>0.86</v>
      </c>
      <c r="H861" t="str">
        <f t="shared" si="16"/>
        <v>15006150061026</v>
      </c>
    </row>
    <row r="862" spans="1:8" ht="15" customHeight="1" x14ac:dyDescent="0.25">
      <c r="A862" s="110" t="s">
        <v>3930</v>
      </c>
      <c r="B862" s="125" t="s">
        <v>247</v>
      </c>
      <c r="C862" s="138">
        <v>0.36</v>
      </c>
      <c r="D862" s="138">
        <v>21.599999999999998</v>
      </c>
      <c r="E862" s="138">
        <v>166.66666666666669</v>
      </c>
      <c r="F862" s="139">
        <v>0.36</v>
      </c>
      <c r="H862" t="str">
        <f t="shared" si="16"/>
        <v>15006150061027</v>
      </c>
    </row>
    <row r="863" spans="1:8" ht="15" customHeight="1" x14ac:dyDescent="0.25">
      <c r="A863" s="110" t="s">
        <v>3931</v>
      </c>
      <c r="B863" s="125" t="s">
        <v>347</v>
      </c>
      <c r="C863" s="138">
        <v>0.95</v>
      </c>
      <c r="D863" s="138">
        <v>57</v>
      </c>
      <c r="E863" s="138">
        <v>63.157894736842103</v>
      </c>
      <c r="F863" s="139">
        <v>0.95</v>
      </c>
      <c r="H863" t="str">
        <f t="shared" si="16"/>
        <v>15006150061028</v>
      </c>
    </row>
    <row r="864" spans="1:8" ht="15" customHeight="1" x14ac:dyDescent="0.25">
      <c r="A864" s="110" t="s">
        <v>3932</v>
      </c>
      <c r="B864" s="125" t="s">
        <v>248</v>
      </c>
      <c r="C864" s="138">
        <v>0.95</v>
      </c>
      <c r="D864" s="138">
        <v>57</v>
      </c>
      <c r="E864" s="138">
        <v>63.157894736842103</v>
      </c>
      <c r="F864" s="139">
        <v>0.95</v>
      </c>
      <c r="H864" t="str">
        <f t="shared" si="16"/>
        <v>15006150061029</v>
      </c>
    </row>
    <row r="865" spans="1:8" ht="15" customHeight="1" x14ac:dyDescent="0.25">
      <c r="A865" s="110" t="s">
        <v>3933</v>
      </c>
      <c r="B865" s="125" t="s">
        <v>249</v>
      </c>
      <c r="C865" s="138">
        <v>0.44</v>
      </c>
      <c r="D865" s="138">
        <v>26.4</v>
      </c>
      <c r="E865" s="138">
        <v>136.36363636363637</v>
      </c>
      <c r="F865" s="139">
        <v>0.44</v>
      </c>
      <c r="H865" t="str">
        <f t="shared" si="16"/>
        <v>15006150061030</v>
      </c>
    </row>
    <row r="866" spans="1:8" ht="15" customHeight="1" x14ac:dyDescent="0.25">
      <c r="A866" s="110" t="s">
        <v>3934</v>
      </c>
      <c r="B866" s="125" t="s">
        <v>250</v>
      </c>
      <c r="C866" s="138">
        <v>0.44</v>
      </c>
      <c r="D866" s="138">
        <v>26.4</v>
      </c>
      <c r="E866" s="138">
        <v>136.36363636363637</v>
      </c>
      <c r="F866" s="139">
        <v>0.44</v>
      </c>
      <c r="H866" t="str">
        <f t="shared" si="16"/>
        <v>15006150061031</v>
      </c>
    </row>
    <row r="867" spans="1:8" ht="15" customHeight="1" x14ac:dyDescent="0.25">
      <c r="A867" s="110" t="s">
        <v>3935</v>
      </c>
      <c r="B867" s="125" t="s">
        <v>251</v>
      </c>
      <c r="C867" s="138">
        <v>0.77</v>
      </c>
      <c r="D867" s="138">
        <v>46.2</v>
      </c>
      <c r="E867" s="138">
        <v>77.922077922077918</v>
      </c>
      <c r="F867" s="139">
        <v>0.77</v>
      </c>
      <c r="H867" t="str">
        <f t="shared" si="16"/>
        <v>15006150061032</v>
      </c>
    </row>
    <row r="868" spans="1:8" ht="15" customHeight="1" x14ac:dyDescent="0.25">
      <c r="A868" s="110" t="s">
        <v>3936</v>
      </c>
      <c r="B868" s="125" t="s">
        <v>252</v>
      </c>
      <c r="C868" s="138">
        <v>0.77</v>
      </c>
      <c r="D868" s="138">
        <v>46.2</v>
      </c>
      <c r="E868" s="138">
        <v>77.922077922077918</v>
      </c>
      <c r="F868" s="139">
        <v>0.77</v>
      </c>
      <c r="H868" t="str">
        <f t="shared" si="16"/>
        <v>15006150061033</v>
      </c>
    </row>
    <row r="869" spans="1:8" ht="15" customHeight="1" x14ac:dyDescent="0.25">
      <c r="A869" s="110" t="s">
        <v>3937</v>
      </c>
      <c r="B869" s="125" t="s">
        <v>253</v>
      </c>
      <c r="C869" s="138">
        <v>0.69</v>
      </c>
      <c r="D869" s="138">
        <v>41.4</v>
      </c>
      <c r="E869" s="138">
        <v>86.956521739130437</v>
      </c>
      <c r="F869" s="139">
        <v>0.69</v>
      </c>
      <c r="H869" t="str">
        <f t="shared" si="16"/>
        <v>15006150061034</v>
      </c>
    </row>
    <row r="870" spans="1:8" ht="15" customHeight="1" x14ac:dyDescent="0.25">
      <c r="A870" s="110" t="s">
        <v>3938</v>
      </c>
      <c r="B870" s="125" t="s">
        <v>254</v>
      </c>
      <c r="C870" s="138">
        <v>0.69</v>
      </c>
      <c r="D870" s="138">
        <v>41.4</v>
      </c>
      <c r="E870" s="138">
        <v>86.956521739130437</v>
      </c>
      <c r="F870" s="139">
        <v>0.69</v>
      </c>
      <c r="H870" t="str">
        <f t="shared" si="16"/>
        <v>15006150061035</v>
      </c>
    </row>
    <row r="871" spans="1:8" ht="15" customHeight="1" x14ac:dyDescent="0.25">
      <c r="A871" s="110" t="s">
        <v>3939</v>
      </c>
      <c r="B871" s="125" t="s">
        <v>348</v>
      </c>
      <c r="C871" s="138">
        <v>0.69</v>
      </c>
      <c r="D871" s="138">
        <v>41.4</v>
      </c>
      <c r="E871" s="138">
        <v>86.956521739130437</v>
      </c>
      <c r="F871" s="139">
        <v>0.69</v>
      </c>
      <c r="H871" t="str">
        <f t="shared" si="16"/>
        <v>15006150061036</v>
      </c>
    </row>
    <row r="872" spans="1:8" ht="15" customHeight="1" x14ac:dyDescent="0.25">
      <c r="A872" s="110" t="s">
        <v>3940</v>
      </c>
      <c r="B872" s="125" t="s">
        <v>349</v>
      </c>
      <c r="C872" s="138">
        <v>0.69</v>
      </c>
      <c r="D872" s="138">
        <v>41.4</v>
      </c>
      <c r="E872" s="138">
        <v>86.956521739130437</v>
      </c>
      <c r="F872" s="139">
        <v>0.69</v>
      </c>
      <c r="H872" t="str">
        <f t="shared" si="16"/>
        <v>15006150061037</v>
      </c>
    </row>
    <row r="873" spans="1:8" ht="15" customHeight="1" x14ac:dyDescent="0.25">
      <c r="A873" s="110" t="s">
        <v>3941</v>
      </c>
      <c r="B873" s="125" t="s">
        <v>255</v>
      </c>
      <c r="C873" s="138">
        <v>0.99</v>
      </c>
      <c r="D873" s="138">
        <v>59.4</v>
      </c>
      <c r="E873" s="138">
        <v>60.606060606060609</v>
      </c>
      <c r="F873" s="139">
        <v>0.99</v>
      </c>
      <c r="H873" t="str">
        <f t="shared" si="16"/>
        <v>15006150061038</v>
      </c>
    </row>
    <row r="874" spans="1:8" ht="15" customHeight="1" x14ac:dyDescent="0.25">
      <c r="A874" s="110" t="s">
        <v>3942</v>
      </c>
      <c r="B874" s="125" t="s">
        <v>256</v>
      </c>
      <c r="C874" s="138">
        <v>0.99</v>
      </c>
      <c r="D874" s="138">
        <v>59.4</v>
      </c>
      <c r="E874" s="138">
        <v>60.606060606060609</v>
      </c>
      <c r="F874" s="139">
        <v>0.99</v>
      </c>
      <c r="H874" t="str">
        <f t="shared" si="16"/>
        <v>15006150061039</v>
      </c>
    </row>
    <row r="875" spans="1:8" ht="15" customHeight="1" x14ac:dyDescent="0.25">
      <c r="A875" s="110" t="s">
        <v>3943</v>
      </c>
      <c r="B875" s="125" t="s">
        <v>350</v>
      </c>
      <c r="C875" s="138">
        <v>0.44</v>
      </c>
      <c r="D875" s="138">
        <v>26.4</v>
      </c>
      <c r="E875" s="138">
        <v>136.36363636363637</v>
      </c>
      <c r="F875" s="139">
        <v>0.44</v>
      </c>
      <c r="H875" t="str">
        <f t="shared" si="16"/>
        <v>15006150061040</v>
      </c>
    </row>
    <row r="876" spans="1:8" ht="15" customHeight="1" x14ac:dyDescent="0.25">
      <c r="A876" s="110" t="s">
        <v>3943</v>
      </c>
      <c r="B876" s="125" t="s">
        <v>1751</v>
      </c>
      <c r="C876" s="138">
        <v>0.24</v>
      </c>
      <c r="D876" s="138">
        <v>14.399999999999999</v>
      </c>
      <c r="E876" s="138">
        <v>250.00000000000003</v>
      </c>
      <c r="F876" s="139">
        <v>0.24</v>
      </c>
      <c r="H876" t="str">
        <f t="shared" si="16"/>
        <v>15006150061040</v>
      </c>
    </row>
    <row r="877" spans="1:8" ht="15" customHeight="1" x14ac:dyDescent="0.25">
      <c r="A877" s="110" t="s">
        <v>3944</v>
      </c>
      <c r="B877" s="125" t="s">
        <v>351</v>
      </c>
      <c r="C877" s="138">
        <v>0.5</v>
      </c>
      <c r="D877" s="138">
        <v>30</v>
      </c>
      <c r="E877" s="138">
        <v>120</v>
      </c>
      <c r="F877" s="139">
        <v>0.5</v>
      </c>
      <c r="H877" t="str">
        <f t="shared" si="16"/>
        <v>15006150061041</v>
      </c>
    </row>
    <row r="878" spans="1:8" ht="15" customHeight="1" x14ac:dyDescent="0.25">
      <c r="A878" s="110" t="s">
        <v>3945</v>
      </c>
      <c r="B878" s="125" t="s">
        <v>257</v>
      </c>
      <c r="C878" s="138">
        <v>0.41</v>
      </c>
      <c r="D878" s="138">
        <v>24.599999999999998</v>
      </c>
      <c r="E878" s="138">
        <v>146.34146341463415</v>
      </c>
      <c r="F878" s="139">
        <v>0.41</v>
      </c>
      <c r="H878" t="str">
        <f t="shared" si="16"/>
        <v>15006150061042</v>
      </c>
    </row>
    <row r="879" spans="1:8" ht="15" customHeight="1" x14ac:dyDescent="0.25">
      <c r="A879" s="110" t="s">
        <v>3946</v>
      </c>
      <c r="B879" s="125" t="s">
        <v>258</v>
      </c>
      <c r="C879" s="138">
        <v>0.41</v>
      </c>
      <c r="D879" s="138">
        <v>24.599999999999998</v>
      </c>
      <c r="E879" s="138">
        <v>146.34146341463415</v>
      </c>
      <c r="F879" s="139">
        <v>0.41</v>
      </c>
      <c r="H879" t="str">
        <f t="shared" si="16"/>
        <v>15006150061043</v>
      </c>
    </row>
    <row r="880" spans="1:8" ht="15" customHeight="1" x14ac:dyDescent="0.25">
      <c r="A880" s="110" t="s">
        <v>3947</v>
      </c>
      <c r="B880" s="125" t="s">
        <v>259</v>
      </c>
      <c r="C880" s="138">
        <v>0.82</v>
      </c>
      <c r="D880" s="138">
        <v>49.199999999999996</v>
      </c>
      <c r="E880" s="138">
        <v>73.170731707317074</v>
      </c>
      <c r="F880" s="139">
        <v>0.82</v>
      </c>
      <c r="H880" t="str">
        <f t="shared" si="16"/>
        <v>15006150061044</v>
      </c>
    </row>
    <row r="881" spans="1:8" ht="15" customHeight="1" x14ac:dyDescent="0.25">
      <c r="A881" s="110" t="s">
        <v>3948</v>
      </c>
      <c r="B881" s="125" t="s">
        <v>260</v>
      </c>
      <c r="C881" s="138">
        <v>0.82</v>
      </c>
      <c r="D881" s="138">
        <v>49.199999999999996</v>
      </c>
      <c r="E881" s="138">
        <v>73.170731707317074</v>
      </c>
      <c r="F881" s="139">
        <v>0.82</v>
      </c>
      <c r="H881" t="str">
        <f t="shared" si="16"/>
        <v>15006150061045</v>
      </c>
    </row>
    <row r="882" spans="1:8" ht="15" customHeight="1" x14ac:dyDescent="0.25">
      <c r="A882" s="110" t="s">
        <v>3949</v>
      </c>
      <c r="B882" s="125" t="s">
        <v>352</v>
      </c>
      <c r="C882" s="138">
        <v>0.79</v>
      </c>
      <c r="D882" s="138">
        <v>47.400000000000006</v>
      </c>
      <c r="E882" s="138">
        <v>75.949367088607588</v>
      </c>
      <c r="F882" s="139">
        <v>0.79</v>
      </c>
      <c r="H882" t="str">
        <f t="shared" si="16"/>
        <v>15006150061046</v>
      </c>
    </row>
    <row r="883" spans="1:8" ht="15" customHeight="1" x14ac:dyDescent="0.25">
      <c r="A883" s="110" t="s">
        <v>3950</v>
      </c>
      <c r="B883" s="125" t="s">
        <v>144</v>
      </c>
      <c r="C883" s="138">
        <v>0.18</v>
      </c>
      <c r="D883" s="138">
        <v>10.799999999999999</v>
      </c>
      <c r="E883" s="138">
        <v>333.33333333333337</v>
      </c>
      <c r="F883" s="139">
        <v>0.18</v>
      </c>
      <c r="H883" t="str">
        <f t="shared" si="16"/>
        <v>15006150061047</v>
      </c>
    </row>
    <row r="884" spans="1:8" ht="15" customHeight="1" x14ac:dyDescent="0.25">
      <c r="A884" s="110" t="s">
        <v>3951</v>
      </c>
      <c r="B884" s="125" t="s">
        <v>145</v>
      </c>
      <c r="C884" s="138">
        <v>0.97</v>
      </c>
      <c r="D884" s="138">
        <v>58.199999999999996</v>
      </c>
      <c r="E884" s="138">
        <v>61.855670103092791</v>
      </c>
      <c r="F884" s="139">
        <v>0.97</v>
      </c>
      <c r="H884" t="str">
        <f t="shared" si="16"/>
        <v>15006150061048</v>
      </c>
    </row>
    <row r="885" spans="1:8" ht="15" customHeight="1" x14ac:dyDescent="0.25">
      <c r="A885" s="110" t="s">
        <v>3952</v>
      </c>
      <c r="B885" s="125" t="s">
        <v>261</v>
      </c>
      <c r="C885" s="138">
        <v>1.02</v>
      </c>
      <c r="D885" s="138">
        <v>61.2</v>
      </c>
      <c r="E885" s="138">
        <v>58.823529411764703</v>
      </c>
      <c r="F885" s="139">
        <v>1.02</v>
      </c>
      <c r="H885" t="str">
        <f t="shared" si="16"/>
        <v>15006150061049</v>
      </c>
    </row>
    <row r="886" spans="1:8" ht="15" customHeight="1" x14ac:dyDescent="0.25">
      <c r="A886" s="110" t="s">
        <v>5556</v>
      </c>
      <c r="B886" s="125" t="s">
        <v>1046</v>
      </c>
      <c r="C886" s="138">
        <v>0.51</v>
      </c>
      <c r="D886" s="138">
        <v>30.6</v>
      </c>
      <c r="E886" s="138">
        <v>117.64705882352941</v>
      </c>
      <c r="F886" s="139">
        <v>0.51</v>
      </c>
      <c r="H886" t="str">
        <f t="shared" si="16"/>
        <v>15006150061050</v>
      </c>
    </row>
    <row r="887" spans="1:8" ht="15" customHeight="1" x14ac:dyDescent="0.25">
      <c r="A887" s="110" t="s">
        <v>5556</v>
      </c>
      <c r="B887" s="125" t="s">
        <v>1752</v>
      </c>
      <c r="C887" s="138">
        <v>0.18</v>
      </c>
      <c r="D887" s="138">
        <v>10.799999999999999</v>
      </c>
      <c r="E887" s="138">
        <v>333.33333333333337</v>
      </c>
      <c r="F887" s="139">
        <v>0.18</v>
      </c>
      <c r="H887" t="str">
        <f t="shared" si="16"/>
        <v>15006150061050</v>
      </c>
    </row>
    <row r="888" spans="1:8" ht="15" customHeight="1" x14ac:dyDescent="0.25">
      <c r="A888" s="110" t="s">
        <v>3953</v>
      </c>
      <c r="B888" s="125" t="s">
        <v>146</v>
      </c>
      <c r="C888" s="138">
        <v>1.49</v>
      </c>
      <c r="D888" s="138">
        <v>89.4</v>
      </c>
      <c r="E888" s="138">
        <v>40.268456375838923</v>
      </c>
      <c r="F888" s="139">
        <v>1.49</v>
      </c>
      <c r="H888" t="str">
        <f t="shared" si="16"/>
        <v>15006150061051</v>
      </c>
    </row>
    <row r="889" spans="1:8" ht="15" customHeight="1" x14ac:dyDescent="0.25">
      <c r="A889" s="110" t="s">
        <v>3954</v>
      </c>
      <c r="B889" s="125" t="s">
        <v>147</v>
      </c>
      <c r="C889" s="138">
        <v>0.98</v>
      </c>
      <c r="D889" s="138">
        <v>58.8</v>
      </c>
      <c r="E889" s="138">
        <v>61.224489795918373</v>
      </c>
      <c r="F889" s="139">
        <v>0.98</v>
      </c>
      <c r="H889" t="str">
        <f t="shared" si="16"/>
        <v>15006150061052</v>
      </c>
    </row>
    <row r="890" spans="1:8" ht="15" customHeight="1" x14ac:dyDescent="0.25">
      <c r="A890" s="110" t="s">
        <v>3955</v>
      </c>
      <c r="B890" s="125" t="s">
        <v>148</v>
      </c>
      <c r="C890" s="138">
        <v>0.55000000000000004</v>
      </c>
      <c r="D890" s="138">
        <v>33</v>
      </c>
      <c r="E890" s="138">
        <v>109.09090909090909</v>
      </c>
      <c r="F890" s="139">
        <v>0.55000000000000004</v>
      </c>
      <c r="H890" t="str">
        <f t="shared" si="16"/>
        <v>15006150061053</v>
      </c>
    </row>
    <row r="891" spans="1:8" ht="15" customHeight="1" x14ac:dyDescent="0.25">
      <c r="A891" s="110" t="s">
        <v>3956</v>
      </c>
      <c r="B891" s="125" t="s">
        <v>149</v>
      </c>
      <c r="C891" s="138">
        <v>0.44</v>
      </c>
      <c r="D891" s="138">
        <v>26.4</v>
      </c>
      <c r="E891" s="138">
        <v>136.36363636363637</v>
      </c>
      <c r="F891" s="139">
        <v>0.44</v>
      </c>
      <c r="H891" t="str">
        <f t="shared" si="16"/>
        <v>15006150061054</v>
      </c>
    </row>
    <row r="892" spans="1:8" ht="15" customHeight="1" x14ac:dyDescent="0.25">
      <c r="A892" s="110" t="s">
        <v>3957</v>
      </c>
      <c r="B892" s="125" t="s">
        <v>150</v>
      </c>
      <c r="C892" s="138">
        <v>0.63</v>
      </c>
      <c r="D892" s="138">
        <v>37.799999999999997</v>
      </c>
      <c r="E892" s="138">
        <v>95.238095238095241</v>
      </c>
      <c r="F892" s="139">
        <v>0.63</v>
      </c>
      <c r="H892" t="str">
        <f t="shared" si="16"/>
        <v>15006150061055</v>
      </c>
    </row>
    <row r="893" spans="1:8" ht="15" customHeight="1" x14ac:dyDescent="0.25">
      <c r="A893" s="110" t="s">
        <v>3958</v>
      </c>
      <c r="B893" s="125" t="s">
        <v>151</v>
      </c>
      <c r="C893" s="138">
        <v>0.63</v>
      </c>
      <c r="D893" s="138">
        <v>37.799999999999997</v>
      </c>
      <c r="E893" s="138">
        <v>95.238095238095241</v>
      </c>
      <c r="F893" s="139">
        <v>0.63</v>
      </c>
      <c r="H893" t="str">
        <f t="shared" si="16"/>
        <v>15006150061056</v>
      </c>
    </row>
    <row r="894" spans="1:8" ht="15" customHeight="1" x14ac:dyDescent="0.25">
      <c r="A894" s="110" t="s">
        <v>3959</v>
      </c>
      <c r="B894" s="125" t="s">
        <v>152</v>
      </c>
      <c r="C894" s="138">
        <v>1.04</v>
      </c>
      <c r="D894" s="138">
        <v>62.400000000000006</v>
      </c>
      <c r="E894" s="138">
        <v>57.692307692307686</v>
      </c>
      <c r="F894" s="139">
        <v>1.04</v>
      </c>
      <c r="H894" t="str">
        <f t="shared" si="16"/>
        <v>15006150061057</v>
      </c>
    </row>
    <row r="895" spans="1:8" ht="15" customHeight="1" x14ac:dyDescent="0.25">
      <c r="A895" s="110" t="s">
        <v>3960</v>
      </c>
      <c r="B895" s="125" t="s">
        <v>353</v>
      </c>
      <c r="C895" s="138">
        <v>0.95</v>
      </c>
      <c r="D895" s="138">
        <v>57</v>
      </c>
      <c r="E895" s="138">
        <v>63.157894736842103</v>
      </c>
      <c r="F895" s="139">
        <v>0.95</v>
      </c>
      <c r="H895" t="str">
        <f t="shared" si="16"/>
        <v>15006150061058</v>
      </c>
    </row>
    <row r="896" spans="1:8" ht="15" customHeight="1" x14ac:dyDescent="0.25">
      <c r="A896" s="110" t="s">
        <v>3961</v>
      </c>
      <c r="B896" s="125" t="s">
        <v>354</v>
      </c>
      <c r="C896" s="138">
        <v>0.95</v>
      </c>
      <c r="D896" s="138">
        <v>57</v>
      </c>
      <c r="E896" s="138">
        <v>63.157894736842103</v>
      </c>
      <c r="F896" s="139">
        <v>0.95</v>
      </c>
      <c r="H896" t="str">
        <f t="shared" si="16"/>
        <v>15006150061059</v>
      </c>
    </row>
    <row r="897" spans="1:8" ht="15" customHeight="1" x14ac:dyDescent="0.25">
      <c r="A897" s="110" t="s">
        <v>3962</v>
      </c>
      <c r="B897" s="125" t="s">
        <v>355</v>
      </c>
      <c r="C897" s="138">
        <v>1.83</v>
      </c>
      <c r="D897" s="138">
        <v>109.80000000000001</v>
      </c>
      <c r="E897" s="138">
        <v>32.786885245901637</v>
      </c>
      <c r="F897" s="139">
        <v>1.83</v>
      </c>
      <c r="H897" t="str">
        <f t="shared" si="16"/>
        <v>15006150061060</v>
      </c>
    </row>
    <row r="898" spans="1:8" ht="15" customHeight="1" x14ac:dyDescent="0.25">
      <c r="A898" s="110" t="s">
        <v>3962</v>
      </c>
      <c r="B898" s="125" t="s">
        <v>1753</v>
      </c>
      <c r="C898" s="138">
        <v>0.18</v>
      </c>
      <c r="D898" s="138">
        <v>10.799999999999999</v>
      </c>
      <c r="E898" s="138">
        <v>333.33333333333337</v>
      </c>
      <c r="F898" s="139">
        <v>0.18</v>
      </c>
      <c r="H898" t="str">
        <f t="shared" si="16"/>
        <v>15006150061060</v>
      </c>
    </row>
    <row r="899" spans="1:8" ht="15" customHeight="1" x14ac:dyDescent="0.25">
      <c r="A899" s="110" t="s">
        <v>3963</v>
      </c>
      <c r="B899" s="125" t="s">
        <v>262</v>
      </c>
      <c r="C899" s="138">
        <v>1.66</v>
      </c>
      <c r="D899" s="138">
        <v>99.6</v>
      </c>
      <c r="E899" s="138">
        <v>36.144578313253014</v>
      </c>
      <c r="F899" s="139">
        <v>1.66</v>
      </c>
      <c r="H899" t="str">
        <f t="shared" si="16"/>
        <v>15006150061061</v>
      </c>
    </row>
    <row r="900" spans="1:8" ht="15" customHeight="1" x14ac:dyDescent="0.25">
      <c r="A900" s="110" t="s">
        <v>3964</v>
      </c>
      <c r="B900" s="125" t="s">
        <v>263</v>
      </c>
      <c r="C900" s="138">
        <v>1.08</v>
      </c>
      <c r="D900" s="138">
        <v>64.800000000000011</v>
      </c>
      <c r="E900" s="138">
        <v>55.555555555555543</v>
      </c>
      <c r="F900" s="139">
        <v>1.08</v>
      </c>
      <c r="H900" t="str">
        <f t="shared" ref="H900:H963" si="17">CONCATENATE($G$835,A900)</f>
        <v>15006150061062</v>
      </c>
    </row>
    <row r="901" spans="1:8" ht="15" customHeight="1" x14ac:dyDescent="0.25">
      <c r="A901" s="110" t="s">
        <v>3965</v>
      </c>
      <c r="B901" s="125" t="s">
        <v>153</v>
      </c>
      <c r="C901" s="138">
        <v>0.56999999999999995</v>
      </c>
      <c r="D901" s="138">
        <v>34.199999999999996</v>
      </c>
      <c r="E901" s="138">
        <v>105.26315789473685</v>
      </c>
      <c r="F901" s="139">
        <v>0.56999999999999995</v>
      </c>
      <c r="H901" t="str">
        <f t="shared" si="17"/>
        <v>15006150061063</v>
      </c>
    </row>
    <row r="902" spans="1:8" ht="15" customHeight="1" x14ac:dyDescent="0.25">
      <c r="A902" s="110" t="s">
        <v>3966</v>
      </c>
      <c r="B902" s="125" t="s">
        <v>154</v>
      </c>
      <c r="C902" s="138">
        <v>0.56999999999999995</v>
      </c>
      <c r="D902" s="138">
        <v>34.199999999999996</v>
      </c>
      <c r="E902" s="138">
        <v>105.26315789473685</v>
      </c>
      <c r="F902" s="139">
        <v>0.56999999999999995</v>
      </c>
      <c r="H902" t="str">
        <f t="shared" si="17"/>
        <v>15006150061064</v>
      </c>
    </row>
    <row r="903" spans="1:8" ht="15" customHeight="1" x14ac:dyDescent="0.25">
      <c r="A903" s="110" t="s">
        <v>3967</v>
      </c>
      <c r="B903" s="125" t="s">
        <v>356</v>
      </c>
      <c r="C903" s="138">
        <v>0.48</v>
      </c>
      <c r="D903" s="138">
        <v>28.799999999999997</v>
      </c>
      <c r="E903" s="138">
        <v>125.00000000000001</v>
      </c>
      <c r="F903" s="139">
        <v>0.48</v>
      </c>
      <c r="H903" t="str">
        <f t="shared" si="17"/>
        <v>15006150061065</v>
      </c>
    </row>
    <row r="904" spans="1:8" ht="15" customHeight="1" x14ac:dyDescent="0.25">
      <c r="A904" s="110" t="s">
        <v>3968</v>
      </c>
      <c r="B904" s="125" t="s">
        <v>357</v>
      </c>
      <c r="C904" s="138">
        <v>0.8</v>
      </c>
      <c r="D904" s="138">
        <v>48</v>
      </c>
      <c r="E904" s="138">
        <v>75</v>
      </c>
      <c r="F904" s="139">
        <v>0.8</v>
      </c>
      <c r="H904" t="str">
        <f t="shared" si="17"/>
        <v>15006150061066</v>
      </c>
    </row>
    <row r="905" spans="1:8" ht="15" customHeight="1" x14ac:dyDescent="0.25">
      <c r="A905" s="110" t="s">
        <v>3969</v>
      </c>
      <c r="B905" s="125" t="s">
        <v>155</v>
      </c>
      <c r="C905" s="138">
        <v>1.29</v>
      </c>
      <c r="D905" s="138">
        <v>77.400000000000006</v>
      </c>
      <c r="E905" s="138">
        <v>46.511627906976742</v>
      </c>
      <c r="F905" s="139">
        <v>1.29</v>
      </c>
      <c r="H905" t="str">
        <f t="shared" si="17"/>
        <v>15006150061067</v>
      </c>
    </row>
    <row r="906" spans="1:8" ht="15" customHeight="1" x14ac:dyDescent="0.25">
      <c r="A906" s="110" t="s">
        <v>3970</v>
      </c>
      <c r="B906" s="125" t="s">
        <v>492</v>
      </c>
      <c r="C906" s="138">
        <v>1.29</v>
      </c>
      <c r="D906" s="138">
        <v>77.400000000000006</v>
      </c>
      <c r="E906" s="138">
        <v>46.511627906976742</v>
      </c>
      <c r="F906" s="139">
        <v>1.29</v>
      </c>
      <c r="H906" t="str">
        <f t="shared" si="17"/>
        <v>15006150061068</v>
      </c>
    </row>
    <row r="907" spans="1:8" ht="15" customHeight="1" x14ac:dyDescent="0.25">
      <c r="A907" s="110" t="s">
        <v>3971</v>
      </c>
      <c r="B907" s="125" t="s">
        <v>358</v>
      </c>
      <c r="C907" s="138">
        <v>1.83</v>
      </c>
      <c r="D907" s="138">
        <v>109.80000000000001</v>
      </c>
      <c r="E907" s="138">
        <v>32.786885245901637</v>
      </c>
      <c r="F907" s="139">
        <v>1.83</v>
      </c>
      <c r="H907" t="str">
        <f t="shared" si="17"/>
        <v>15006150061069</v>
      </c>
    </row>
    <row r="908" spans="1:8" ht="15" customHeight="1" x14ac:dyDescent="0.25">
      <c r="A908" s="110" t="s">
        <v>3972</v>
      </c>
      <c r="B908" s="125" t="s">
        <v>1047</v>
      </c>
      <c r="C908" s="138">
        <v>0.65</v>
      </c>
      <c r="D908" s="138">
        <v>39</v>
      </c>
      <c r="E908" s="138">
        <v>92.307692307692307</v>
      </c>
      <c r="F908" s="139">
        <v>0.65</v>
      </c>
      <c r="H908" t="str">
        <f t="shared" si="17"/>
        <v>15006150061070</v>
      </c>
    </row>
    <row r="909" spans="1:8" ht="15" customHeight="1" x14ac:dyDescent="0.25">
      <c r="A909" s="110" t="s">
        <v>3972</v>
      </c>
      <c r="B909" s="125" t="s">
        <v>1754</v>
      </c>
      <c r="C909" s="138">
        <v>0.18</v>
      </c>
      <c r="D909" s="138">
        <v>10.799999999999999</v>
      </c>
      <c r="E909" s="138">
        <v>333.33333333333337</v>
      </c>
      <c r="F909" s="139">
        <v>0.18</v>
      </c>
      <c r="H909" t="str">
        <f t="shared" si="17"/>
        <v>15006150061070</v>
      </c>
    </row>
    <row r="910" spans="1:8" ht="15" customHeight="1" x14ac:dyDescent="0.25">
      <c r="A910" s="110" t="s">
        <v>3973</v>
      </c>
      <c r="B910" s="125" t="s">
        <v>1048</v>
      </c>
      <c r="C910" s="138">
        <v>0.65</v>
      </c>
      <c r="D910" s="138">
        <v>39</v>
      </c>
      <c r="E910" s="138">
        <v>92.307692307692307</v>
      </c>
      <c r="F910" s="139">
        <v>0.65</v>
      </c>
      <c r="H910" t="str">
        <f t="shared" si="17"/>
        <v>15006150061071</v>
      </c>
    </row>
    <row r="911" spans="1:8" ht="15" customHeight="1" x14ac:dyDescent="0.25">
      <c r="A911" s="110" t="s">
        <v>3974</v>
      </c>
      <c r="B911" s="125" t="s">
        <v>1049</v>
      </c>
      <c r="C911" s="138">
        <v>0.5</v>
      </c>
      <c r="D911" s="138">
        <v>30</v>
      </c>
      <c r="E911" s="138">
        <v>120</v>
      </c>
      <c r="F911" s="139">
        <v>0.5</v>
      </c>
      <c r="H911" t="str">
        <f t="shared" si="17"/>
        <v>15006150061072</v>
      </c>
    </row>
    <row r="912" spans="1:8" ht="15" customHeight="1" x14ac:dyDescent="0.25">
      <c r="A912" s="117" t="s">
        <v>3975</v>
      </c>
      <c r="B912" s="133" t="s">
        <v>165</v>
      </c>
      <c r="C912" s="145">
        <v>0.5</v>
      </c>
      <c r="D912" s="138">
        <v>30</v>
      </c>
      <c r="E912" s="138">
        <v>120</v>
      </c>
      <c r="F912" s="144">
        <v>0.5</v>
      </c>
      <c r="H912" t="str">
        <f t="shared" si="17"/>
        <v>15006150061073</v>
      </c>
    </row>
    <row r="913" spans="1:8" ht="15" customHeight="1" x14ac:dyDescent="0.25">
      <c r="A913" s="117" t="s">
        <v>3976</v>
      </c>
      <c r="B913" s="133" t="s">
        <v>166</v>
      </c>
      <c r="C913" s="145">
        <v>0.5</v>
      </c>
      <c r="D913" s="138">
        <v>30</v>
      </c>
      <c r="E913" s="138">
        <v>120</v>
      </c>
      <c r="F913" s="144">
        <v>0.5</v>
      </c>
      <c r="H913" t="str">
        <f t="shared" si="17"/>
        <v>15006150061074</v>
      </c>
    </row>
    <row r="914" spans="1:8" ht="15" customHeight="1" x14ac:dyDescent="0.25">
      <c r="A914" s="110" t="s">
        <v>3977</v>
      </c>
      <c r="B914" s="125" t="s">
        <v>1050</v>
      </c>
      <c r="C914" s="138">
        <v>0.92</v>
      </c>
      <c r="D914" s="138">
        <v>55.2</v>
      </c>
      <c r="E914" s="138">
        <v>65.217391304347828</v>
      </c>
      <c r="F914" s="139">
        <v>0.92</v>
      </c>
      <c r="H914" t="str">
        <f t="shared" si="17"/>
        <v>15006150061075</v>
      </c>
    </row>
    <row r="915" spans="1:8" ht="15" customHeight="1" x14ac:dyDescent="0.25">
      <c r="A915" s="110" t="s">
        <v>3978</v>
      </c>
      <c r="B915" s="125" t="s">
        <v>1051</v>
      </c>
      <c r="C915" s="138">
        <v>0.92</v>
      </c>
      <c r="D915" s="138">
        <v>55.2</v>
      </c>
      <c r="E915" s="138">
        <v>65.217391304347828</v>
      </c>
      <c r="F915" s="139">
        <v>0.92</v>
      </c>
      <c r="H915" t="str">
        <f t="shared" si="17"/>
        <v>15006150061076</v>
      </c>
    </row>
    <row r="916" spans="1:8" ht="15" customHeight="1" x14ac:dyDescent="0.25">
      <c r="A916" s="117" t="s">
        <v>3979</v>
      </c>
      <c r="B916" s="133" t="s">
        <v>161</v>
      </c>
      <c r="C916" s="145">
        <v>0.5</v>
      </c>
      <c r="D916" s="138">
        <v>30</v>
      </c>
      <c r="E916" s="138">
        <v>120</v>
      </c>
      <c r="F916" s="144">
        <v>0.5</v>
      </c>
      <c r="H916" t="str">
        <f t="shared" si="17"/>
        <v>15006150061077</v>
      </c>
    </row>
    <row r="917" spans="1:8" ht="15" customHeight="1" x14ac:dyDescent="0.25">
      <c r="A917" s="117" t="s">
        <v>3980</v>
      </c>
      <c r="B917" s="133" t="s">
        <v>164</v>
      </c>
      <c r="C917" s="145">
        <v>0.5</v>
      </c>
      <c r="D917" s="138">
        <v>30</v>
      </c>
      <c r="E917" s="138">
        <v>120</v>
      </c>
      <c r="F917" s="144">
        <v>0.5</v>
      </c>
      <c r="H917" t="str">
        <f t="shared" si="17"/>
        <v>15006150061078</v>
      </c>
    </row>
    <row r="918" spans="1:8" ht="15" customHeight="1" x14ac:dyDescent="0.25">
      <c r="A918" s="110" t="s">
        <v>3981</v>
      </c>
      <c r="B918" s="125" t="s">
        <v>156</v>
      </c>
      <c r="C918" s="138">
        <v>1.08</v>
      </c>
      <c r="D918" s="138">
        <v>64.800000000000011</v>
      </c>
      <c r="E918" s="138">
        <v>55.555555555555543</v>
      </c>
      <c r="F918" s="139">
        <v>1.08</v>
      </c>
      <c r="H918" t="str">
        <f t="shared" si="17"/>
        <v>15006150061079</v>
      </c>
    </row>
    <row r="919" spans="1:8" ht="15" customHeight="1" x14ac:dyDescent="0.25">
      <c r="A919" s="110" t="s">
        <v>3982</v>
      </c>
      <c r="B919" s="125" t="s">
        <v>548</v>
      </c>
      <c r="C919" s="138">
        <v>0.46</v>
      </c>
      <c r="D919" s="138">
        <v>27.6</v>
      </c>
      <c r="E919" s="138">
        <v>130.43478260869566</v>
      </c>
      <c r="F919" s="139">
        <v>0.46</v>
      </c>
      <c r="H919" t="str">
        <f t="shared" si="17"/>
        <v>15006150061080</v>
      </c>
    </row>
    <row r="920" spans="1:8" ht="15" customHeight="1" x14ac:dyDescent="0.25">
      <c r="A920" s="110" t="s">
        <v>3982</v>
      </c>
      <c r="B920" s="125" t="s">
        <v>1755</v>
      </c>
      <c r="C920" s="138">
        <v>0.18</v>
      </c>
      <c r="D920" s="138">
        <v>10.799999999999999</v>
      </c>
      <c r="E920" s="138">
        <v>333.33333333333337</v>
      </c>
      <c r="F920" s="139">
        <v>0.18</v>
      </c>
      <c r="H920" t="str">
        <f t="shared" si="17"/>
        <v>15006150061080</v>
      </c>
    </row>
    <row r="921" spans="1:8" ht="15" customHeight="1" x14ac:dyDescent="0.25">
      <c r="A921" s="110" t="s">
        <v>3983</v>
      </c>
      <c r="B921" s="125" t="s">
        <v>635</v>
      </c>
      <c r="C921" s="138">
        <v>0.42</v>
      </c>
      <c r="D921" s="138">
        <v>25.2</v>
      </c>
      <c r="E921" s="138">
        <v>142.85714285714286</v>
      </c>
      <c r="F921" s="139">
        <v>0.42</v>
      </c>
      <c r="H921" t="str">
        <f t="shared" si="17"/>
        <v>15006150061081</v>
      </c>
    </row>
    <row r="922" spans="1:8" ht="15" customHeight="1" x14ac:dyDescent="0.25">
      <c r="A922" s="110" t="s">
        <v>3984</v>
      </c>
      <c r="B922" s="125" t="s">
        <v>1052</v>
      </c>
      <c r="C922" s="138">
        <v>0.5</v>
      </c>
      <c r="D922" s="138">
        <v>30</v>
      </c>
      <c r="E922" s="138">
        <v>120</v>
      </c>
      <c r="F922" s="139">
        <v>0.5</v>
      </c>
      <c r="H922" t="str">
        <f t="shared" si="17"/>
        <v>15006150061082</v>
      </c>
    </row>
    <row r="923" spans="1:8" ht="15" customHeight="1" x14ac:dyDescent="0.25">
      <c r="A923" s="110" t="s">
        <v>3985</v>
      </c>
      <c r="B923" s="125" t="s">
        <v>1053</v>
      </c>
      <c r="C923" s="138">
        <v>0.5</v>
      </c>
      <c r="D923" s="138">
        <v>30</v>
      </c>
      <c r="E923" s="138">
        <v>120</v>
      </c>
      <c r="F923" s="139">
        <v>0.5</v>
      </c>
      <c r="H923" t="str">
        <f t="shared" si="17"/>
        <v>15006150061083</v>
      </c>
    </row>
    <row r="924" spans="1:8" ht="15" customHeight="1" x14ac:dyDescent="0.25">
      <c r="A924" s="110" t="s">
        <v>3986</v>
      </c>
      <c r="B924" s="125" t="s">
        <v>1054</v>
      </c>
      <c r="C924" s="138">
        <v>0.5</v>
      </c>
      <c r="D924" s="138">
        <v>30</v>
      </c>
      <c r="E924" s="138">
        <v>120</v>
      </c>
      <c r="F924" s="139">
        <v>0.5</v>
      </c>
      <c r="H924" t="str">
        <f t="shared" si="17"/>
        <v>15006150061084</v>
      </c>
    </row>
    <row r="925" spans="1:8" ht="15" customHeight="1" x14ac:dyDescent="0.25">
      <c r="A925" s="110" t="s">
        <v>3987</v>
      </c>
      <c r="B925" s="125" t="s">
        <v>1055</v>
      </c>
      <c r="C925" s="138">
        <v>0.5</v>
      </c>
      <c r="D925" s="138">
        <v>30</v>
      </c>
      <c r="E925" s="138">
        <v>120</v>
      </c>
      <c r="F925" s="139">
        <v>0.5</v>
      </c>
      <c r="H925" t="str">
        <f t="shared" si="17"/>
        <v>15006150061085</v>
      </c>
    </row>
    <row r="926" spans="1:8" ht="15" customHeight="1" x14ac:dyDescent="0.25">
      <c r="A926" s="110" t="s">
        <v>3987</v>
      </c>
      <c r="B926" s="125" t="s">
        <v>1756</v>
      </c>
      <c r="C926" s="138">
        <v>0.18</v>
      </c>
      <c r="D926" s="138">
        <v>10.799999999999999</v>
      </c>
      <c r="E926" s="138">
        <v>333.33333333333337</v>
      </c>
      <c r="F926" s="139">
        <v>0.18</v>
      </c>
      <c r="H926" t="str">
        <f t="shared" si="17"/>
        <v>15006150061085</v>
      </c>
    </row>
    <row r="927" spans="1:8" ht="15" customHeight="1" x14ac:dyDescent="0.25">
      <c r="A927" s="110" t="s">
        <v>3988</v>
      </c>
      <c r="B927" s="125" t="s">
        <v>636</v>
      </c>
      <c r="C927" s="138">
        <v>0.36</v>
      </c>
      <c r="D927" s="138">
        <v>21.599999999999998</v>
      </c>
      <c r="E927" s="138">
        <v>166.66666666666669</v>
      </c>
      <c r="F927" s="139">
        <v>0.36</v>
      </c>
      <c r="H927" t="str">
        <f t="shared" si="17"/>
        <v>15006150061086</v>
      </c>
    </row>
    <row r="928" spans="1:8" ht="15" customHeight="1" x14ac:dyDescent="0.25">
      <c r="A928" s="110" t="s">
        <v>3989</v>
      </c>
      <c r="B928" s="125" t="s">
        <v>637</v>
      </c>
      <c r="C928" s="138">
        <v>0.36</v>
      </c>
      <c r="D928" s="138">
        <v>21.599999999999998</v>
      </c>
      <c r="E928" s="138">
        <v>166.66666666666669</v>
      </c>
      <c r="F928" s="139">
        <v>0.36</v>
      </c>
      <c r="H928" t="str">
        <f t="shared" si="17"/>
        <v>15006150061087</v>
      </c>
    </row>
    <row r="929" spans="1:8" ht="15" customHeight="1" x14ac:dyDescent="0.25">
      <c r="A929" s="110" t="s">
        <v>3990</v>
      </c>
      <c r="B929" s="125" t="s">
        <v>638</v>
      </c>
      <c r="C929" s="138">
        <v>0.75</v>
      </c>
      <c r="D929" s="138">
        <v>45</v>
      </c>
      <c r="E929" s="138">
        <v>80</v>
      </c>
      <c r="F929" s="139">
        <v>0.75</v>
      </c>
      <c r="H929" t="str">
        <f t="shared" si="17"/>
        <v>15006150061088</v>
      </c>
    </row>
    <row r="930" spans="1:8" ht="15" customHeight="1" x14ac:dyDescent="0.25">
      <c r="A930" s="110" t="s">
        <v>3991</v>
      </c>
      <c r="B930" s="125" t="s">
        <v>639</v>
      </c>
      <c r="C930" s="138">
        <v>0.38</v>
      </c>
      <c r="D930" s="138">
        <v>22.8</v>
      </c>
      <c r="E930" s="138">
        <v>157.89473684210526</v>
      </c>
      <c r="F930" s="139">
        <v>0.38</v>
      </c>
      <c r="H930" t="str">
        <f t="shared" si="17"/>
        <v>15006150061089</v>
      </c>
    </row>
    <row r="931" spans="1:8" ht="15" customHeight="1" x14ac:dyDescent="0.25">
      <c r="A931" s="110" t="s">
        <v>3992</v>
      </c>
      <c r="B931" s="125" t="s">
        <v>640</v>
      </c>
      <c r="C931" s="138">
        <v>0.38</v>
      </c>
      <c r="D931" s="138">
        <v>22.8</v>
      </c>
      <c r="E931" s="138">
        <v>157.89473684210526</v>
      </c>
      <c r="F931" s="139">
        <v>0.38</v>
      </c>
      <c r="H931" t="str">
        <f t="shared" si="17"/>
        <v>15006150061090</v>
      </c>
    </row>
    <row r="932" spans="1:8" ht="15" customHeight="1" x14ac:dyDescent="0.25">
      <c r="A932" s="110" t="s">
        <v>3992</v>
      </c>
      <c r="B932" s="125" t="s">
        <v>1754</v>
      </c>
      <c r="C932" s="138">
        <v>0.18</v>
      </c>
      <c r="D932" s="138">
        <v>10.799999999999999</v>
      </c>
      <c r="E932" s="138">
        <v>333.33333333333337</v>
      </c>
      <c r="F932" s="139">
        <v>0.18</v>
      </c>
      <c r="H932" t="str">
        <f t="shared" si="17"/>
        <v>15006150061090</v>
      </c>
    </row>
    <row r="933" spans="1:8" ht="15" customHeight="1" x14ac:dyDescent="0.25">
      <c r="A933" s="110" t="s">
        <v>3993</v>
      </c>
      <c r="B933" s="125" t="s">
        <v>641</v>
      </c>
      <c r="C933" s="138">
        <v>0.9</v>
      </c>
      <c r="D933" s="138">
        <v>54</v>
      </c>
      <c r="E933" s="138">
        <v>66.666666666666671</v>
      </c>
      <c r="F933" s="139">
        <v>0.9</v>
      </c>
      <c r="H933" t="str">
        <f t="shared" si="17"/>
        <v>15006150061091</v>
      </c>
    </row>
    <row r="934" spans="1:8" ht="15" customHeight="1" x14ac:dyDescent="0.25">
      <c r="A934" s="110" t="s">
        <v>3994</v>
      </c>
      <c r="B934" s="125" t="s">
        <v>642</v>
      </c>
      <c r="C934" s="138">
        <v>0.9</v>
      </c>
      <c r="D934" s="138">
        <v>54</v>
      </c>
      <c r="E934" s="138">
        <v>66.666666666666671</v>
      </c>
      <c r="F934" s="139">
        <v>0.9</v>
      </c>
      <c r="H934" t="str">
        <f t="shared" si="17"/>
        <v>15006150061092</v>
      </c>
    </row>
    <row r="935" spans="1:8" ht="15" customHeight="1" x14ac:dyDescent="0.25">
      <c r="A935" s="110" t="s">
        <v>3995</v>
      </c>
      <c r="B935" s="125" t="s">
        <v>264</v>
      </c>
      <c r="C935" s="138">
        <v>0.91</v>
      </c>
      <c r="D935" s="138">
        <v>54.6</v>
      </c>
      <c r="E935" s="138">
        <v>65.934065934065927</v>
      </c>
      <c r="F935" s="139">
        <v>0.91</v>
      </c>
      <c r="H935" t="str">
        <f t="shared" si="17"/>
        <v>15006150061093</v>
      </c>
    </row>
    <row r="936" spans="1:8" ht="15" customHeight="1" x14ac:dyDescent="0.25">
      <c r="A936" s="110" t="s">
        <v>3996</v>
      </c>
      <c r="B936" s="125" t="s">
        <v>265</v>
      </c>
      <c r="C936" s="138">
        <v>0.89</v>
      </c>
      <c r="D936" s="138">
        <v>53.4</v>
      </c>
      <c r="E936" s="138">
        <v>67.415730337078656</v>
      </c>
      <c r="F936" s="139">
        <v>0.89</v>
      </c>
      <c r="H936" t="str">
        <f t="shared" si="17"/>
        <v>15006150061094</v>
      </c>
    </row>
    <row r="937" spans="1:8" ht="15" customHeight="1" x14ac:dyDescent="0.25">
      <c r="A937" s="110" t="s">
        <v>3997</v>
      </c>
      <c r="B937" s="125" t="s">
        <v>643</v>
      </c>
      <c r="C937" s="138">
        <v>0</v>
      </c>
      <c r="D937" s="138">
        <v>0</v>
      </c>
      <c r="E937" s="138" t="e">
        <v>#DIV/0!</v>
      </c>
      <c r="F937" s="139">
        <v>0</v>
      </c>
      <c r="H937" t="str">
        <f t="shared" si="17"/>
        <v>15006150061095</v>
      </c>
    </row>
    <row r="938" spans="1:8" ht="15" customHeight="1" x14ac:dyDescent="0.25">
      <c r="A938" s="110" t="s">
        <v>3997</v>
      </c>
      <c r="B938" s="125" t="s">
        <v>1755</v>
      </c>
      <c r="C938" s="138">
        <v>0.18</v>
      </c>
      <c r="D938" s="138">
        <v>10.799999999999999</v>
      </c>
      <c r="E938" s="138">
        <v>333.33333333333337</v>
      </c>
      <c r="F938" s="139">
        <v>0.18</v>
      </c>
      <c r="H938" t="str">
        <f t="shared" si="17"/>
        <v>15006150061095</v>
      </c>
    </row>
    <row r="939" spans="1:8" ht="15" customHeight="1" x14ac:dyDescent="0.25">
      <c r="A939" s="110" t="s">
        <v>3998</v>
      </c>
      <c r="B939" s="125" t="s">
        <v>644</v>
      </c>
      <c r="C939" s="138">
        <v>0</v>
      </c>
      <c r="D939" s="138">
        <v>0</v>
      </c>
      <c r="E939" s="138" t="e">
        <v>#DIV/0!</v>
      </c>
      <c r="F939" s="139">
        <v>0</v>
      </c>
      <c r="H939" t="str">
        <f t="shared" si="17"/>
        <v>15006150061096</v>
      </c>
    </row>
    <row r="940" spans="1:8" ht="15" customHeight="1" x14ac:dyDescent="0.25">
      <c r="A940" s="110" t="s">
        <v>3999</v>
      </c>
      <c r="B940" s="125" t="s">
        <v>1056</v>
      </c>
      <c r="C940" s="138">
        <v>0.83</v>
      </c>
      <c r="D940" s="138">
        <v>49.8</v>
      </c>
      <c r="E940" s="138">
        <v>72.289156626506028</v>
      </c>
      <c r="F940" s="139">
        <v>0.83</v>
      </c>
      <c r="H940" t="str">
        <f t="shared" si="17"/>
        <v>15006150061097</v>
      </c>
    </row>
    <row r="941" spans="1:8" ht="15" customHeight="1" x14ac:dyDescent="0.25">
      <c r="A941" s="110" t="s">
        <v>4000</v>
      </c>
      <c r="B941" s="125" t="s">
        <v>1057</v>
      </c>
      <c r="C941" s="138">
        <v>0.83</v>
      </c>
      <c r="D941" s="138">
        <v>49.8</v>
      </c>
      <c r="E941" s="138">
        <v>72.289156626506028</v>
      </c>
      <c r="F941" s="139">
        <v>0.83</v>
      </c>
      <c r="H941" t="str">
        <f t="shared" si="17"/>
        <v>15006150061098</v>
      </c>
    </row>
    <row r="942" spans="1:8" ht="15" customHeight="1" x14ac:dyDescent="0.25">
      <c r="A942" s="110" t="s">
        <v>4001</v>
      </c>
      <c r="B942" s="125" t="s">
        <v>645</v>
      </c>
      <c r="C942" s="138">
        <v>1</v>
      </c>
      <c r="D942" s="138">
        <v>60</v>
      </c>
      <c r="E942" s="138">
        <v>60</v>
      </c>
      <c r="F942" s="139">
        <v>1</v>
      </c>
      <c r="H942" t="str">
        <f t="shared" si="17"/>
        <v>15006150061099</v>
      </c>
    </row>
    <row r="943" spans="1:8" ht="15" customHeight="1" x14ac:dyDescent="0.25">
      <c r="A943" s="110" t="s">
        <v>4002</v>
      </c>
      <c r="B943" s="125" t="s">
        <v>266</v>
      </c>
      <c r="C943" s="138">
        <v>1.92</v>
      </c>
      <c r="D943" s="138">
        <v>115.19999999999999</v>
      </c>
      <c r="E943" s="138">
        <v>31.250000000000004</v>
      </c>
      <c r="F943" s="139">
        <v>1.92</v>
      </c>
      <c r="H943" t="str">
        <f t="shared" si="17"/>
        <v>15006150061100</v>
      </c>
    </row>
    <row r="944" spans="1:8" ht="15" customHeight="1" x14ac:dyDescent="0.25">
      <c r="A944" s="110" t="s">
        <v>4002</v>
      </c>
      <c r="B944" s="125" t="s">
        <v>1757</v>
      </c>
      <c r="C944" s="138">
        <v>0.24</v>
      </c>
      <c r="D944" s="138">
        <v>14.399999999999999</v>
      </c>
      <c r="E944" s="138">
        <v>250.00000000000003</v>
      </c>
      <c r="F944" s="139">
        <v>0.24</v>
      </c>
      <c r="H944" t="str">
        <f t="shared" si="17"/>
        <v>15006150061100</v>
      </c>
    </row>
    <row r="945" spans="1:8" ht="15" customHeight="1" x14ac:dyDescent="0.25">
      <c r="A945" s="110" t="s">
        <v>4003</v>
      </c>
      <c r="B945" s="125" t="s">
        <v>157</v>
      </c>
      <c r="C945" s="138">
        <v>0.52</v>
      </c>
      <c r="D945" s="138">
        <v>31.200000000000003</v>
      </c>
      <c r="E945" s="138">
        <v>115.38461538461537</v>
      </c>
      <c r="F945" s="139">
        <v>0.52</v>
      </c>
      <c r="H945" t="str">
        <f t="shared" si="17"/>
        <v>15006150061101</v>
      </c>
    </row>
    <row r="946" spans="1:8" ht="15" customHeight="1" x14ac:dyDescent="0.25">
      <c r="A946" s="110" t="s">
        <v>4004</v>
      </c>
      <c r="B946" s="125" t="s">
        <v>158</v>
      </c>
      <c r="C946" s="138">
        <v>1.92</v>
      </c>
      <c r="D946" s="138">
        <v>115.19999999999999</v>
      </c>
      <c r="E946" s="138">
        <v>31.250000000000004</v>
      </c>
      <c r="F946" s="139">
        <v>1.92</v>
      </c>
      <c r="H946" t="str">
        <f t="shared" si="17"/>
        <v>15006150061102</v>
      </c>
    </row>
    <row r="947" spans="1:8" ht="15" customHeight="1" x14ac:dyDescent="0.25">
      <c r="A947" s="110" t="s">
        <v>4005</v>
      </c>
      <c r="B947" s="125" t="s">
        <v>434</v>
      </c>
      <c r="C947" s="138">
        <v>2.0299999999999998</v>
      </c>
      <c r="D947" s="138">
        <v>121.79999999999998</v>
      </c>
      <c r="E947" s="138">
        <v>29.556650246305423</v>
      </c>
      <c r="F947" s="139">
        <v>2.0299999999999998</v>
      </c>
      <c r="H947" t="str">
        <f t="shared" si="17"/>
        <v>15006150061103</v>
      </c>
    </row>
    <row r="948" spans="1:8" ht="15" customHeight="1" x14ac:dyDescent="0.25">
      <c r="A948" s="110" t="s">
        <v>4006</v>
      </c>
      <c r="B948" s="125" t="s">
        <v>159</v>
      </c>
      <c r="C948" s="138">
        <v>0.45</v>
      </c>
      <c r="D948" s="138">
        <v>27</v>
      </c>
      <c r="E948" s="138">
        <v>133.33333333333334</v>
      </c>
      <c r="F948" s="139">
        <v>0.45</v>
      </c>
      <c r="H948" t="str">
        <f t="shared" si="17"/>
        <v>15006150061104</v>
      </c>
    </row>
    <row r="949" spans="1:8" ht="15" customHeight="1" x14ac:dyDescent="0.25">
      <c r="A949" s="110" t="s">
        <v>4007</v>
      </c>
      <c r="B949" s="125" t="s">
        <v>160</v>
      </c>
      <c r="C949" s="138">
        <v>0.45</v>
      </c>
      <c r="D949" s="138">
        <v>27</v>
      </c>
      <c r="E949" s="138">
        <v>133.33333333333334</v>
      </c>
      <c r="F949" s="139">
        <v>0.45</v>
      </c>
      <c r="H949" t="str">
        <f t="shared" si="17"/>
        <v>15006150061105</v>
      </c>
    </row>
    <row r="950" spans="1:8" ht="15" customHeight="1" x14ac:dyDescent="0.25">
      <c r="A950" s="110" t="s">
        <v>4008</v>
      </c>
      <c r="B950" s="125" t="s">
        <v>448</v>
      </c>
      <c r="C950" s="138">
        <v>0.49</v>
      </c>
      <c r="D950" s="138">
        <v>29.4</v>
      </c>
      <c r="E950" s="138">
        <v>122.44897959183675</v>
      </c>
      <c r="F950" s="139">
        <v>0.49</v>
      </c>
      <c r="H950" t="str">
        <f t="shared" si="17"/>
        <v>15006150061106</v>
      </c>
    </row>
    <row r="951" spans="1:8" ht="15" customHeight="1" x14ac:dyDescent="0.25">
      <c r="A951" s="110" t="s">
        <v>4009</v>
      </c>
      <c r="B951" s="125" t="s">
        <v>449</v>
      </c>
      <c r="C951" s="138">
        <v>0.47</v>
      </c>
      <c r="D951" s="138">
        <v>28.2</v>
      </c>
      <c r="E951" s="138">
        <v>127.65957446808511</v>
      </c>
      <c r="F951" s="139">
        <v>0.47</v>
      </c>
      <c r="H951" t="str">
        <f t="shared" si="17"/>
        <v>15006150061107</v>
      </c>
    </row>
    <row r="952" spans="1:8" ht="15" customHeight="1" x14ac:dyDescent="0.25">
      <c r="A952" s="110" t="s">
        <v>4010</v>
      </c>
      <c r="B952" s="125" t="s">
        <v>450</v>
      </c>
      <c r="C952" s="138">
        <v>0.47</v>
      </c>
      <c r="D952" s="138">
        <v>28.2</v>
      </c>
      <c r="E952" s="138">
        <v>127.65957446808511</v>
      </c>
      <c r="F952" s="139">
        <v>0.47</v>
      </c>
      <c r="H952" t="str">
        <f t="shared" si="17"/>
        <v>15006150061108</v>
      </c>
    </row>
    <row r="953" spans="1:8" ht="15" customHeight="1" x14ac:dyDescent="0.25">
      <c r="A953" s="110" t="s">
        <v>4011</v>
      </c>
      <c r="B953" s="125" t="s">
        <v>161</v>
      </c>
      <c r="C953" s="138">
        <v>0.59</v>
      </c>
      <c r="D953" s="138">
        <v>35.4</v>
      </c>
      <c r="E953" s="138">
        <v>101.69491525423729</v>
      </c>
      <c r="F953" s="139">
        <v>0.59</v>
      </c>
      <c r="H953" t="str">
        <f t="shared" si="17"/>
        <v>15006150061109</v>
      </c>
    </row>
    <row r="954" spans="1:8" ht="15" customHeight="1" x14ac:dyDescent="0.25">
      <c r="A954" s="110" t="s">
        <v>4012</v>
      </c>
      <c r="B954" s="125" t="s">
        <v>451</v>
      </c>
      <c r="C954" s="138">
        <v>0.46</v>
      </c>
      <c r="D954" s="138">
        <v>27.6</v>
      </c>
      <c r="E954" s="138">
        <v>130.43478260869566</v>
      </c>
      <c r="F954" s="139">
        <v>0.46</v>
      </c>
      <c r="H954" t="str">
        <f t="shared" si="17"/>
        <v>15006150061110</v>
      </c>
    </row>
    <row r="955" spans="1:8" ht="15" customHeight="1" x14ac:dyDescent="0.25">
      <c r="A955" s="110" t="s">
        <v>4012</v>
      </c>
      <c r="B955" s="125" t="s">
        <v>1758</v>
      </c>
      <c r="C955" s="138">
        <v>0.24</v>
      </c>
      <c r="D955" s="138">
        <v>14.399999999999999</v>
      </c>
      <c r="E955" s="138">
        <v>250.00000000000003</v>
      </c>
      <c r="F955" s="139">
        <v>0.24</v>
      </c>
      <c r="H955" t="str">
        <f t="shared" si="17"/>
        <v>15006150061110</v>
      </c>
    </row>
    <row r="956" spans="1:8" ht="15" customHeight="1" x14ac:dyDescent="0.25">
      <c r="A956" s="110" t="s">
        <v>4013</v>
      </c>
      <c r="B956" s="125" t="s">
        <v>452</v>
      </c>
      <c r="C956" s="138">
        <v>0.52</v>
      </c>
      <c r="D956" s="138">
        <v>31.200000000000003</v>
      </c>
      <c r="E956" s="138">
        <v>115.38461538461537</v>
      </c>
      <c r="F956" s="139">
        <v>0.52</v>
      </c>
      <c r="H956" t="str">
        <f t="shared" si="17"/>
        <v>15006150061111</v>
      </c>
    </row>
    <row r="957" spans="1:8" ht="15" customHeight="1" x14ac:dyDescent="0.25">
      <c r="A957" s="110" t="s">
        <v>4014</v>
      </c>
      <c r="B957" s="125" t="s">
        <v>1058</v>
      </c>
      <c r="C957" s="138">
        <v>0.33</v>
      </c>
      <c r="D957" s="138">
        <v>19.8</v>
      </c>
      <c r="E957" s="138">
        <v>181.81818181818181</v>
      </c>
      <c r="F957" s="139">
        <v>0.33</v>
      </c>
      <c r="H957" t="str">
        <f t="shared" si="17"/>
        <v>15006150061112</v>
      </c>
    </row>
    <row r="958" spans="1:8" ht="15" customHeight="1" x14ac:dyDescent="0.25">
      <c r="A958" s="110" t="s">
        <v>4015</v>
      </c>
      <c r="B958" s="125" t="s">
        <v>455</v>
      </c>
      <c r="C958" s="138">
        <v>0.54</v>
      </c>
      <c r="D958" s="138">
        <v>32.400000000000006</v>
      </c>
      <c r="E958" s="138">
        <v>111.11111111111109</v>
      </c>
      <c r="F958" s="139">
        <v>0.54</v>
      </c>
      <c r="H958" t="str">
        <f t="shared" si="17"/>
        <v>15006150061113</v>
      </c>
    </row>
    <row r="959" spans="1:8" ht="15" customHeight="1" x14ac:dyDescent="0.25">
      <c r="A959" s="110" t="s">
        <v>4016</v>
      </c>
      <c r="B959" s="125" t="s">
        <v>456</v>
      </c>
      <c r="C959" s="138">
        <v>0.46</v>
      </c>
      <c r="D959" s="138">
        <v>27.6</v>
      </c>
      <c r="E959" s="138">
        <v>130.43478260869566</v>
      </c>
      <c r="F959" s="139">
        <v>0.46</v>
      </c>
      <c r="H959" t="str">
        <f t="shared" si="17"/>
        <v>15006150061114</v>
      </c>
    </row>
    <row r="960" spans="1:8" ht="15" customHeight="1" x14ac:dyDescent="0.25">
      <c r="A960" s="110" t="s">
        <v>4017</v>
      </c>
      <c r="B960" s="125" t="s">
        <v>457</v>
      </c>
      <c r="C960" s="138">
        <v>0.54</v>
      </c>
      <c r="D960" s="138">
        <v>32.400000000000006</v>
      </c>
      <c r="E960" s="138">
        <v>111.11111111111109</v>
      </c>
      <c r="F960" s="139">
        <v>0.54</v>
      </c>
      <c r="H960" t="str">
        <f t="shared" si="17"/>
        <v>15006150061115</v>
      </c>
    </row>
    <row r="961" spans="1:8" ht="15" customHeight="1" x14ac:dyDescent="0.25">
      <c r="A961" s="110" t="s">
        <v>4018</v>
      </c>
      <c r="B961" s="125" t="s">
        <v>458</v>
      </c>
      <c r="C961" s="138">
        <v>0.46</v>
      </c>
      <c r="D961" s="138">
        <v>27.6</v>
      </c>
      <c r="E961" s="138">
        <v>130.43478260869566</v>
      </c>
      <c r="F961" s="139">
        <v>0.46</v>
      </c>
      <c r="H961" t="str">
        <f t="shared" si="17"/>
        <v>15006150061116</v>
      </c>
    </row>
    <row r="962" spans="1:8" ht="15" customHeight="1" x14ac:dyDescent="0.25">
      <c r="A962" s="110" t="s">
        <v>4019</v>
      </c>
      <c r="B962" s="125" t="s">
        <v>459</v>
      </c>
      <c r="C962" s="138">
        <v>0.43</v>
      </c>
      <c r="D962" s="138">
        <v>25.8</v>
      </c>
      <c r="E962" s="138">
        <v>139.53488372093022</v>
      </c>
      <c r="F962" s="139">
        <v>0.43</v>
      </c>
      <c r="H962" t="str">
        <f t="shared" si="17"/>
        <v>15006150061117</v>
      </c>
    </row>
    <row r="963" spans="1:8" ht="15" customHeight="1" x14ac:dyDescent="0.25">
      <c r="A963" s="110" t="s">
        <v>4020</v>
      </c>
      <c r="B963" s="125" t="s">
        <v>460</v>
      </c>
      <c r="C963" s="138">
        <v>0.46</v>
      </c>
      <c r="D963" s="138">
        <v>27.6</v>
      </c>
      <c r="E963" s="138">
        <v>130.43478260869566</v>
      </c>
      <c r="F963" s="139">
        <v>0.46</v>
      </c>
      <c r="H963" t="str">
        <f t="shared" si="17"/>
        <v>15006150061118</v>
      </c>
    </row>
    <row r="964" spans="1:8" ht="15" customHeight="1" x14ac:dyDescent="0.25">
      <c r="A964" s="110" t="s">
        <v>4021</v>
      </c>
      <c r="B964" s="125" t="s">
        <v>461</v>
      </c>
      <c r="C964" s="138">
        <v>0.46</v>
      </c>
      <c r="D964" s="138">
        <v>27.6</v>
      </c>
      <c r="E964" s="138">
        <v>130.43478260869566</v>
      </c>
      <c r="F964" s="139">
        <v>0.46</v>
      </c>
      <c r="H964" t="str">
        <f t="shared" ref="H964:H1027" si="18">CONCATENATE($G$835,A964)</f>
        <v>15006150061119</v>
      </c>
    </row>
    <row r="965" spans="1:8" ht="15" customHeight="1" x14ac:dyDescent="0.25">
      <c r="A965" s="110" t="s">
        <v>4022</v>
      </c>
      <c r="B965" s="125" t="s">
        <v>462</v>
      </c>
      <c r="C965" s="138">
        <v>0.55000000000000004</v>
      </c>
      <c r="D965" s="138">
        <v>33</v>
      </c>
      <c r="E965" s="138">
        <v>109.09090909090909</v>
      </c>
      <c r="F965" s="139">
        <v>0.55000000000000004</v>
      </c>
      <c r="H965" t="str">
        <f t="shared" si="18"/>
        <v>15006150061120</v>
      </c>
    </row>
    <row r="966" spans="1:8" ht="15" customHeight="1" x14ac:dyDescent="0.25">
      <c r="A966" s="110" t="s">
        <v>4023</v>
      </c>
      <c r="B966" s="125" t="s">
        <v>453</v>
      </c>
      <c r="C966" s="138">
        <v>0.48</v>
      </c>
      <c r="D966" s="138">
        <v>28.799999999999997</v>
      </c>
      <c r="E966" s="138">
        <v>125.00000000000001</v>
      </c>
      <c r="F966" s="139">
        <v>0.48</v>
      </c>
      <c r="H966" t="str">
        <f t="shared" si="18"/>
        <v>15006150061121</v>
      </c>
    </row>
    <row r="967" spans="1:8" ht="15" customHeight="1" x14ac:dyDescent="0.25">
      <c r="A967" s="110" t="s">
        <v>4024</v>
      </c>
      <c r="B967" s="125" t="s">
        <v>461</v>
      </c>
      <c r="C967" s="138">
        <v>0.46</v>
      </c>
      <c r="D967" s="138">
        <v>27.6</v>
      </c>
      <c r="E967" s="138">
        <v>130.43478260869566</v>
      </c>
      <c r="F967" s="139">
        <v>0.46</v>
      </c>
      <c r="H967" t="str">
        <f t="shared" si="18"/>
        <v>15006150061122</v>
      </c>
    </row>
    <row r="968" spans="1:8" ht="15" customHeight="1" x14ac:dyDescent="0.25">
      <c r="A968" s="110" t="s">
        <v>4025</v>
      </c>
      <c r="B968" s="125" t="s">
        <v>463</v>
      </c>
      <c r="C968" s="138">
        <v>0.54</v>
      </c>
      <c r="D968" s="138">
        <v>32.400000000000006</v>
      </c>
      <c r="E968" s="138">
        <v>111.11111111111109</v>
      </c>
      <c r="F968" s="139">
        <v>0.54</v>
      </c>
      <c r="H968" t="str">
        <f t="shared" si="18"/>
        <v>15006150061123</v>
      </c>
    </row>
    <row r="969" spans="1:8" ht="15" customHeight="1" x14ac:dyDescent="0.25">
      <c r="A969" s="110" t="s">
        <v>4026</v>
      </c>
      <c r="B969" s="125" t="s">
        <v>464</v>
      </c>
      <c r="C969" s="138">
        <v>0.47</v>
      </c>
      <c r="D969" s="138">
        <v>28.2</v>
      </c>
      <c r="E969" s="138">
        <v>127.65957446808511</v>
      </c>
      <c r="F969" s="139">
        <v>0.47</v>
      </c>
      <c r="H969" t="str">
        <f t="shared" si="18"/>
        <v>15006150061124</v>
      </c>
    </row>
    <row r="970" spans="1:8" ht="15" customHeight="1" x14ac:dyDescent="0.25">
      <c r="A970" s="110" t="s">
        <v>4027</v>
      </c>
      <c r="B970" s="125" t="s">
        <v>465</v>
      </c>
      <c r="C970" s="138">
        <v>0.54</v>
      </c>
      <c r="D970" s="138">
        <v>32.400000000000006</v>
      </c>
      <c r="E970" s="138">
        <v>111.11111111111109</v>
      </c>
      <c r="F970" s="139">
        <v>0.54</v>
      </c>
      <c r="H970" t="str">
        <f t="shared" si="18"/>
        <v>15006150061125</v>
      </c>
    </row>
    <row r="971" spans="1:8" ht="15" customHeight="1" x14ac:dyDescent="0.25">
      <c r="A971" s="110" t="s">
        <v>4028</v>
      </c>
      <c r="B971" s="125" t="s">
        <v>466</v>
      </c>
      <c r="C971" s="138">
        <v>0.55000000000000004</v>
      </c>
      <c r="D971" s="138">
        <v>33</v>
      </c>
      <c r="E971" s="138">
        <v>109.09090909090909</v>
      </c>
      <c r="F971" s="139">
        <v>0.55000000000000004</v>
      </c>
      <c r="H971" t="str">
        <f t="shared" si="18"/>
        <v>15006150061126</v>
      </c>
    </row>
    <row r="972" spans="1:8" ht="15" customHeight="1" x14ac:dyDescent="0.25">
      <c r="A972" s="110" t="s">
        <v>4029</v>
      </c>
      <c r="B972" s="125" t="s">
        <v>454</v>
      </c>
      <c r="C972" s="138">
        <v>0.55000000000000004</v>
      </c>
      <c r="D972" s="138">
        <v>33</v>
      </c>
      <c r="E972" s="138">
        <v>109.09090909090909</v>
      </c>
      <c r="F972" s="139">
        <v>0.55000000000000004</v>
      </c>
      <c r="H972" t="str">
        <f t="shared" si="18"/>
        <v>15006150061127</v>
      </c>
    </row>
    <row r="973" spans="1:8" ht="15" customHeight="1" x14ac:dyDescent="0.25">
      <c r="A973" s="110" t="s">
        <v>4030</v>
      </c>
      <c r="B973" s="125" t="s">
        <v>467</v>
      </c>
      <c r="C973" s="138">
        <v>0.46</v>
      </c>
      <c r="D973" s="138">
        <v>27.6</v>
      </c>
      <c r="E973" s="138">
        <v>130.43478260869566</v>
      </c>
      <c r="F973" s="139">
        <v>0.46</v>
      </c>
      <c r="H973" t="str">
        <f t="shared" si="18"/>
        <v>15006150061128</v>
      </c>
    </row>
    <row r="974" spans="1:8" ht="15" customHeight="1" x14ac:dyDescent="0.25">
      <c r="A974" s="110" t="s">
        <v>4031</v>
      </c>
      <c r="B974" s="125" t="s">
        <v>162</v>
      </c>
      <c r="C974" s="138">
        <v>0.45</v>
      </c>
      <c r="D974" s="138">
        <v>27</v>
      </c>
      <c r="E974" s="138">
        <v>133.33333333333334</v>
      </c>
      <c r="F974" s="139">
        <v>0.45</v>
      </c>
      <c r="H974" t="str">
        <f t="shared" si="18"/>
        <v>15006150061129</v>
      </c>
    </row>
    <row r="975" spans="1:8" ht="15" customHeight="1" x14ac:dyDescent="0.25">
      <c r="A975" s="110" t="s">
        <v>4032</v>
      </c>
      <c r="B975" s="125" t="s">
        <v>163</v>
      </c>
      <c r="C975" s="138">
        <v>0.45</v>
      </c>
      <c r="D975" s="138">
        <v>27</v>
      </c>
      <c r="E975" s="138">
        <v>133.33333333333334</v>
      </c>
      <c r="F975" s="139">
        <v>0.45</v>
      </c>
      <c r="H975" t="str">
        <f t="shared" si="18"/>
        <v>15006150061130</v>
      </c>
    </row>
    <row r="976" spans="1:8" ht="15" customHeight="1" x14ac:dyDescent="0.25">
      <c r="A976" s="110" t="s">
        <v>4033</v>
      </c>
      <c r="B976" s="125" t="s">
        <v>1059</v>
      </c>
      <c r="C976" s="138">
        <v>0.33</v>
      </c>
      <c r="D976" s="138">
        <v>19.8</v>
      </c>
      <c r="E976" s="138">
        <v>181.81818181818181</v>
      </c>
      <c r="F976" s="139">
        <v>0.33</v>
      </c>
      <c r="H976" t="str">
        <f t="shared" si="18"/>
        <v>15006150061131</v>
      </c>
    </row>
    <row r="977" spans="1:8" ht="15" customHeight="1" x14ac:dyDescent="0.25">
      <c r="A977" s="110" t="s">
        <v>4034</v>
      </c>
      <c r="B977" s="125" t="s">
        <v>164</v>
      </c>
      <c r="C977" s="138">
        <v>0.59</v>
      </c>
      <c r="D977" s="138">
        <v>35.4</v>
      </c>
      <c r="E977" s="138">
        <v>101.69491525423729</v>
      </c>
      <c r="F977" s="139">
        <v>0.59</v>
      </c>
      <c r="H977" t="str">
        <f t="shared" si="18"/>
        <v>15006150061132</v>
      </c>
    </row>
    <row r="978" spans="1:8" ht="15" customHeight="1" x14ac:dyDescent="0.25">
      <c r="A978" s="110" t="s">
        <v>4035</v>
      </c>
      <c r="B978" s="125" t="s">
        <v>468</v>
      </c>
      <c r="C978" s="138">
        <v>0.82</v>
      </c>
      <c r="D978" s="138">
        <v>49.199999999999996</v>
      </c>
      <c r="E978" s="138">
        <v>73.170731707317074</v>
      </c>
      <c r="F978" s="139">
        <v>0.82</v>
      </c>
      <c r="H978" t="str">
        <f t="shared" si="18"/>
        <v>15006150061133</v>
      </c>
    </row>
    <row r="979" spans="1:8" ht="15" customHeight="1" x14ac:dyDescent="0.25">
      <c r="A979" s="110" t="s">
        <v>4036</v>
      </c>
      <c r="B979" s="125" t="s">
        <v>165</v>
      </c>
      <c r="C979" s="138">
        <v>0.59</v>
      </c>
      <c r="D979" s="138">
        <v>35.4</v>
      </c>
      <c r="E979" s="138">
        <v>101.69491525423729</v>
      </c>
      <c r="F979" s="139">
        <v>0.59</v>
      </c>
      <c r="H979" t="str">
        <f t="shared" si="18"/>
        <v>15006150061134</v>
      </c>
    </row>
    <row r="980" spans="1:8" ht="15" customHeight="1" x14ac:dyDescent="0.25">
      <c r="A980" s="110" t="s">
        <v>4037</v>
      </c>
      <c r="B980" s="125" t="s">
        <v>166</v>
      </c>
      <c r="C980" s="138">
        <v>0.59</v>
      </c>
      <c r="D980" s="138">
        <v>35.4</v>
      </c>
      <c r="E980" s="138">
        <v>101.69491525423729</v>
      </c>
      <c r="F980" s="139">
        <v>0.59</v>
      </c>
      <c r="H980" t="str">
        <f t="shared" si="18"/>
        <v>15006150061135</v>
      </c>
    </row>
    <row r="981" spans="1:8" ht="15" customHeight="1" x14ac:dyDescent="0.25">
      <c r="A981" s="110" t="s">
        <v>4038</v>
      </c>
      <c r="B981" s="125" t="s">
        <v>459</v>
      </c>
      <c r="C981" s="138">
        <v>0.46</v>
      </c>
      <c r="D981" s="138">
        <v>27.6</v>
      </c>
      <c r="E981" s="138">
        <v>130.43478260869566</v>
      </c>
      <c r="F981" s="139">
        <v>0.46</v>
      </c>
      <c r="H981" t="str">
        <f t="shared" si="18"/>
        <v>15006150061136</v>
      </c>
    </row>
    <row r="982" spans="1:8" ht="15" customHeight="1" x14ac:dyDescent="0.25">
      <c r="A982" s="110" t="s">
        <v>4039</v>
      </c>
      <c r="B982" s="125" t="s">
        <v>167</v>
      </c>
      <c r="C982" s="138">
        <v>0.52</v>
      </c>
      <c r="D982" s="138">
        <v>31.200000000000003</v>
      </c>
      <c r="E982" s="138">
        <v>115.38461538461537</v>
      </c>
      <c r="F982" s="139">
        <v>0.52</v>
      </c>
      <c r="H982" t="str">
        <f t="shared" si="18"/>
        <v>15006150061137</v>
      </c>
    </row>
    <row r="983" spans="1:8" ht="15" customHeight="1" x14ac:dyDescent="0.25">
      <c r="A983" s="110" t="s">
        <v>4040</v>
      </c>
      <c r="B983" s="125" t="s">
        <v>168</v>
      </c>
      <c r="C983" s="138">
        <v>0.52</v>
      </c>
      <c r="D983" s="138">
        <v>31.200000000000003</v>
      </c>
      <c r="E983" s="138">
        <v>115.38461538461537</v>
      </c>
      <c r="F983" s="139">
        <v>0.52</v>
      </c>
      <c r="H983" t="str">
        <f t="shared" si="18"/>
        <v>15006150061138</v>
      </c>
    </row>
    <row r="984" spans="1:8" ht="15" customHeight="1" x14ac:dyDescent="0.25">
      <c r="A984" s="110" t="s">
        <v>4041</v>
      </c>
      <c r="B984" s="125" t="s">
        <v>167</v>
      </c>
      <c r="C984" s="138">
        <v>0.55000000000000004</v>
      </c>
      <c r="D984" s="138">
        <v>33</v>
      </c>
      <c r="E984" s="138">
        <v>109.09090909090909</v>
      </c>
      <c r="F984" s="139">
        <v>0.55000000000000004</v>
      </c>
      <c r="H984" t="str">
        <f t="shared" si="18"/>
        <v>15006150061139</v>
      </c>
    </row>
    <row r="985" spans="1:8" ht="15" customHeight="1" x14ac:dyDescent="0.25">
      <c r="A985" s="110" t="s">
        <v>4042</v>
      </c>
      <c r="B985" s="125" t="s">
        <v>359</v>
      </c>
      <c r="C985" s="138">
        <v>0.55000000000000004</v>
      </c>
      <c r="D985" s="138">
        <v>33</v>
      </c>
      <c r="E985" s="138">
        <v>109.09090909090909</v>
      </c>
      <c r="F985" s="139">
        <v>0.55000000000000004</v>
      </c>
      <c r="H985" t="str">
        <f t="shared" si="18"/>
        <v>15006150061140</v>
      </c>
    </row>
    <row r="986" spans="1:8" ht="15" customHeight="1" x14ac:dyDescent="0.25">
      <c r="A986" s="110" t="s">
        <v>4043</v>
      </c>
      <c r="B986" s="125" t="s">
        <v>169</v>
      </c>
      <c r="C986" s="138">
        <v>0.55000000000000004</v>
      </c>
      <c r="D986" s="138">
        <v>33</v>
      </c>
      <c r="E986" s="138">
        <v>109.09090909090909</v>
      </c>
      <c r="F986" s="139">
        <v>0.55000000000000004</v>
      </c>
      <c r="H986" t="str">
        <f t="shared" si="18"/>
        <v>15006150061141</v>
      </c>
    </row>
    <row r="987" spans="1:8" ht="15" customHeight="1" x14ac:dyDescent="0.25">
      <c r="A987" s="110" t="s">
        <v>4044</v>
      </c>
      <c r="B987" s="125" t="s">
        <v>360</v>
      </c>
      <c r="C987" s="138">
        <v>0.55000000000000004</v>
      </c>
      <c r="D987" s="138">
        <v>33</v>
      </c>
      <c r="E987" s="138">
        <v>109.09090909090909</v>
      </c>
      <c r="F987" s="139">
        <v>0.55000000000000004</v>
      </c>
      <c r="H987" t="str">
        <f t="shared" si="18"/>
        <v>15006150061142</v>
      </c>
    </row>
    <row r="988" spans="1:8" ht="15" customHeight="1" x14ac:dyDescent="0.25">
      <c r="A988" s="110" t="s">
        <v>4045</v>
      </c>
      <c r="B988" s="125" t="s">
        <v>267</v>
      </c>
      <c r="C988" s="138">
        <v>0.55000000000000004</v>
      </c>
      <c r="D988" s="138">
        <v>33</v>
      </c>
      <c r="E988" s="138">
        <v>109.09090909090909</v>
      </c>
      <c r="F988" s="139">
        <v>0.55000000000000004</v>
      </c>
      <c r="H988" t="str">
        <f t="shared" si="18"/>
        <v>15006150061143</v>
      </c>
    </row>
    <row r="989" spans="1:8" ht="15" customHeight="1" x14ac:dyDescent="0.25">
      <c r="A989" s="110" t="s">
        <v>4046</v>
      </c>
      <c r="B989" s="125" t="s">
        <v>170</v>
      </c>
      <c r="C989" s="138">
        <v>1.02</v>
      </c>
      <c r="D989" s="138">
        <v>61.2</v>
      </c>
      <c r="E989" s="138">
        <v>58.823529411764703</v>
      </c>
      <c r="F989" s="139">
        <v>1.02</v>
      </c>
      <c r="H989" t="str">
        <f t="shared" si="18"/>
        <v>15006150061144</v>
      </c>
    </row>
    <row r="990" spans="1:8" ht="15" customHeight="1" x14ac:dyDescent="0.25">
      <c r="A990" s="110" t="s">
        <v>5557</v>
      </c>
      <c r="B990" s="125" t="s">
        <v>795</v>
      </c>
      <c r="C990" s="138">
        <v>0.25</v>
      </c>
      <c r="D990" s="138">
        <v>15</v>
      </c>
      <c r="E990" s="138">
        <v>240</v>
      </c>
      <c r="F990" s="139">
        <v>0.25</v>
      </c>
      <c r="H990" t="str">
        <f t="shared" si="18"/>
        <v>15006150061145</v>
      </c>
    </row>
    <row r="991" spans="1:8" ht="15" customHeight="1" x14ac:dyDescent="0.25">
      <c r="A991" s="110" t="s">
        <v>5558</v>
      </c>
      <c r="B991" s="125" t="s">
        <v>796</v>
      </c>
      <c r="C991" s="138">
        <v>0.12</v>
      </c>
      <c r="D991" s="138">
        <v>7.1999999999999993</v>
      </c>
      <c r="E991" s="138">
        <v>500.00000000000006</v>
      </c>
      <c r="F991" s="139">
        <v>0.12</v>
      </c>
      <c r="H991" t="str">
        <f t="shared" si="18"/>
        <v>15006150061146</v>
      </c>
    </row>
    <row r="992" spans="1:8" ht="15" customHeight="1" x14ac:dyDescent="0.25">
      <c r="A992" s="110" t="s">
        <v>4047</v>
      </c>
      <c r="B992" s="125" t="s">
        <v>268</v>
      </c>
      <c r="C992" s="138">
        <v>0.35</v>
      </c>
      <c r="D992" s="138">
        <v>21</v>
      </c>
      <c r="E992" s="138">
        <v>171.42857142857142</v>
      </c>
      <c r="F992" s="139">
        <v>0.35</v>
      </c>
      <c r="H992" t="str">
        <f t="shared" si="18"/>
        <v>15006150061147</v>
      </c>
    </row>
    <row r="993" spans="1:8" ht="15" customHeight="1" x14ac:dyDescent="0.25">
      <c r="A993" s="110" t="s">
        <v>4048</v>
      </c>
      <c r="B993" s="125" t="s">
        <v>171</v>
      </c>
      <c r="C993" s="138">
        <v>0.37</v>
      </c>
      <c r="D993" s="138">
        <v>22.2</v>
      </c>
      <c r="E993" s="138">
        <v>162.16216216216216</v>
      </c>
      <c r="F993" s="139">
        <v>0.37</v>
      </c>
      <c r="H993" t="str">
        <f t="shared" si="18"/>
        <v>15006150061148</v>
      </c>
    </row>
    <row r="994" spans="1:8" ht="15" customHeight="1" x14ac:dyDescent="0.25">
      <c r="A994" s="110" t="s">
        <v>4049</v>
      </c>
      <c r="B994" s="125" t="s">
        <v>172</v>
      </c>
      <c r="C994" s="138">
        <v>1.81</v>
      </c>
      <c r="D994" s="138">
        <v>108.60000000000001</v>
      </c>
      <c r="E994" s="138">
        <v>33.149171270718227</v>
      </c>
      <c r="F994" s="139">
        <v>1.81</v>
      </c>
      <c r="H994" t="str">
        <f t="shared" si="18"/>
        <v>15006150061149</v>
      </c>
    </row>
    <row r="995" spans="1:8" ht="15" customHeight="1" x14ac:dyDescent="0.25">
      <c r="A995" s="110" t="s">
        <v>4050</v>
      </c>
      <c r="B995" s="125" t="s">
        <v>361</v>
      </c>
      <c r="C995" s="138">
        <v>1.78</v>
      </c>
      <c r="D995" s="138">
        <v>106.8</v>
      </c>
      <c r="E995" s="138">
        <v>33.707865168539328</v>
      </c>
      <c r="F995" s="139">
        <v>1.78</v>
      </c>
      <c r="H995" t="str">
        <f t="shared" si="18"/>
        <v>15006150061150</v>
      </c>
    </row>
    <row r="996" spans="1:8" ht="15" customHeight="1" x14ac:dyDescent="0.25">
      <c r="A996" s="110" t="s">
        <v>4051</v>
      </c>
      <c r="B996" s="125" t="s">
        <v>1060</v>
      </c>
      <c r="C996" s="138">
        <v>0.33</v>
      </c>
      <c r="D996" s="138">
        <v>19.8</v>
      </c>
      <c r="E996" s="138">
        <v>181.81818181818181</v>
      </c>
      <c r="F996" s="139">
        <v>0.33</v>
      </c>
      <c r="H996" t="str">
        <f t="shared" si="18"/>
        <v>15006150061151</v>
      </c>
    </row>
    <row r="997" spans="1:8" ht="15" customHeight="1" x14ac:dyDescent="0.25">
      <c r="A997" s="110" t="s">
        <v>4052</v>
      </c>
      <c r="B997" s="125" t="s">
        <v>173</v>
      </c>
      <c r="C997" s="138">
        <v>0.55000000000000004</v>
      </c>
      <c r="D997" s="138">
        <v>33</v>
      </c>
      <c r="E997" s="138">
        <v>109.09090909090909</v>
      </c>
      <c r="F997" s="139">
        <v>0.55000000000000004</v>
      </c>
      <c r="H997" t="str">
        <f t="shared" si="18"/>
        <v>15006150061152</v>
      </c>
    </row>
    <row r="998" spans="1:8" ht="15" customHeight="1" x14ac:dyDescent="0.25">
      <c r="A998" s="110" t="s">
        <v>4053</v>
      </c>
      <c r="B998" s="125" t="s">
        <v>362</v>
      </c>
      <c r="C998" s="138">
        <v>0.55000000000000004</v>
      </c>
      <c r="D998" s="138">
        <v>33</v>
      </c>
      <c r="E998" s="138">
        <v>109.09090909090909</v>
      </c>
      <c r="F998" s="139">
        <v>0.55000000000000004</v>
      </c>
      <c r="H998" t="str">
        <f t="shared" si="18"/>
        <v>15006150061153</v>
      </c>
    </row>
    <row r="999" spans="1:8" ht="15" customHeight="1" x14ac:dyDescent="0.25">
      <c r="A999" s="110" t="s">
        <v>4054</v>
      </c>
      <c r="B999" s="125" t="s">
        <v>529</v>
      </c>
      <c r="C999" s="138">
        <v>0.5</v>
      </c>
      <c r="D999" s="138">
        <v>30</v>
      </c>
      <c r="E999" s="138">
        <v>120</v>
      </c>
      <c r="F999" s="139">
        <v>0.5</v>
      </c>
      <c r="H999" t="str">
        <f t="shared" si="18"/>
        <v>15006150061154</v>
      </c>
    </row>
    <row r="1000" spans="1:8" ht="15" customHeight="1" x14ac:dyDescent="0.25">
      <c r="A1000" s="110" t="s">
        <v>4055</v>
      </c>
      <c r="B1000" s="125" t="s">
        <v>646</v>
      </c>
      <c r="C1000" s="138">
        <v>0.33</v>
      </c>
      <c r="D1000" s="138">
        <v>19.8</v>
      </c>
      <c r="E1000" s="138">
        <v>181.81818181818181</v>
      </c>
      <c r="F1000" s="139">
        <v>0.33</v>
      </c>
      <c r="H1000" t="str">
        <f t="shared" si="18"/>
        <v>15006150061155</v>
      </c>
    </row>
    <row r="1001" spans="1:8" ht="15" customHeight="1" x14ac:dyDescent="0.25">
      <c r="A1001" s="110" t="s">
        <v>4056</v>
      </c>
      <c r="B1001" s="125" t="s">
        <v>174</v>
      </c>
      <c r="C1001" s="138">
        <v>1.67</v>
      </c>
      <c r="D1001" s="138">
        <v>100.19999999999999</v>
      </c>
      <c r="E1001" s="138">
        <v>35.928143712574851</v>
      </c>
      <c r="F1001" s="139">
        <v>1.67</v>
      </c>
      <c r="H1001" t="str">
        <f t="shared" si="18"/>
        <v>15006150061156</v>
      </c>
    </row>
    <row r="1002" spans="1:8" ht="15" customHeight="1" x14ac:dyDescent="0.25">
      <c r="A1002" s="110" t="s">
        <v>4057</v>
      </c>
      <c r="B1002" s="125" t="s">
        <v>490</v>
      </c>
      <c r="C1002" s="138">
        <v>1.78</v>
      </c>
      <c r="D1002" s="138">
        <v>106.8</v>
      </c>
      <c r="E1002" s="138">
        <v>33.707865168539328</v>
      </c>
      <c r="F1002" s="139">
        <v>1.78</v>
      </c>
      <c r="H1002" t="str">
        <f t="shared" si="18"/>
        <v>15006150061157</v>
      </c>
    </row>
    <row r="1003" spans="1:8" ht="15" customHeight="1" x14ac:dyDescent="0.25">
      <c r="A1003" s="110" t="s">
        <v>4058</v>
      </c>
      <c r="B1003" s="125" t="s">
        <v>443</v>
      </c>
      <c r="C1003" s="138">
        <v>0.5</v>
      </c>
      <c r="D1003" s="138">
        <v>30</v>
      </c>
      <c r="E1003" s="138">
        <v>120</v>
      </c>
      <c r="F1003" s="139">
        <v>0.5</v>
      </c>
      <c r="H1003" t="str">
        <f t="shared" si="18"/>
        <v>15006150061158</v>
      </c>
    </row>
    <row r="1004" spans="1:8" ht="15" customHeight="1" x14ac:dyDescent="0.25">
      <c r="A1004" s="110" t="s">
        <v>4059</v>
      </c>
      <c r="B1004" s="125" t="s">
        <v>444</v>
      </c>
      <c r="C1004" s="138">
        <v>0.25</v>
      </c>
      <c r="D1004" s="138">
        <v>15</v>
      </c>
      <c r="E1004" s="138">
        <v>240</v>
      </c>
      <c r="F1004" s="139">
        <v>0.25</v>
      </c>
      <c r="H1004" t="str">
        <f t="shared" si="18"/>
        <v>15006150061159</v>
      </c>
    </row>
    <row r="1005" spans="1:8" ht="15" customHeight="1" x14ac:dyDescent="0.25">
      <c r="A1005" s="110" t="s">
        <v>4060</v>
      </c>
      <c r="B1005" s="125" t="s">
        <v>428</v>
      </c>
      <c r="C1005" s="138">
        <v>0.4</v>
      </c>
      <c r="D1005" s="138">
        <v>24</v>
      </c>
      <c r="E1005" s="138">
        <v>150</v>
      </c>
      <c r="F1005" s="139">
        <v>0.4</v>
      </c>
      <c r="H1005" t="str">
        <f t="shared" si="18"/>
        <v>15006150061160</v>
      </c>
    </row>
    <row r="1006" spans="1:8" ht="15" customHeight="1" x14ac:dyDescent="0.25">
      <c r="A1006" s="110" t="s">
        <v>4061</v>
      </c>
      <c r="B1006" s="125" t="s">
        <v>175</v>
      </c>
      <c r="C1006" s="138">
        <v>0.79</v>
      </c>
      <c r="D1006" s="138">
        <v>47.400000000000006</v>
      </c>
      <c r="E1006" s="138">
        <v>75.949367088607588</v>
      </c>
      <c r="F1006" s="139">
        <v>0.79</v>
      </c>
      <c r="H1006" t="str">
        <f t="shared" si="18"/>
        <v>15006150061161</v>
      </c>
    </row>
    <row r="1007" spans="1:8" ht="15" customHeight="1" x14ac:dyDescent="0.25">
      <c r="A1007" s="110" t="s">
        <v>4062</v>
      </c>
      <c r="B1007" s="125" t="s">
        <v>429</v>
      </c>
      <c r="C1007" s="138">
        <v>0.75</v>
      </c>
      <c r="D1007" s="138">
        <v>45</v>
      </c>
      <c r="E1007" s="138">
        <v>80</v>
      </c>
      <c r="F1007" s="139">
        <v>0.75</v>
      </c>
      <c r="H1007" t="str">
        <f t="shared" si="18"/>
        <v>15006150061162</v>
      </c>
    </row>
    <row r="1008" spans="1:8" ht="15" customHeight="1" x14ac:dyDescent="0.25">
      <c r="A1008" s="110" t="s">
        <v>5559</v>
      </c>
      <c r="B1008" s="125" t="s">
        <v>430</v>
      </c>
      <c r="C1008" s="138">
        <v>0.85</v>
      </c>
      <c r="D1008" s="138">
        <v>51</v>
      </c>
      <c r="E1008" s="138">
        <v>70.588235294117652</v>
      </c>
      <c r="F1008" s="139">
        <v>0.85</v>
      </c>
      <c r="H1008" t="str">
        <f t="shared" si="18"/>
        <v>15006150061163</v>
      </c>
    </row>
    <row r="1009" spans="1:8" ht="15" customHeight="1" x14ac:dyDescent="0.25">
      <c r="A1009" s="110" t="s">
        <v>5560</v>
      </c>
      <c r="B1009" s="125" t="s">
        <v>431</v>
      </c>
      <c r="C1009" s="138">
        <v>0.85</v>
      </c>
      <c r="D1009" s="138">
        <v>51</v>
      </c>
      <c r="E1009" s="138">
        <v>70.588235294117652</v>
      </c>
      <c r="F1009" s="139">
        <v>0.85</v>
      </c>
      <c r="H1009" t="str">
        <f t="shared" si="18"/>
        <v>15006150061164</v>
      </c>
    </row>
    <row r="1010" spans="1:8" ht="15" customHeight="1" x14ac:dyDescent="0.25">
      <c r="A1010" s="110" t="s">
        <v>4063</v>
      </c>
      <c r="B1010" s="125" t="s">
        <v>432</v>
      </c>
      <c r="C1010" s="138">
        <v>0.5</v>
      </c>
      <c r="D1010" s="138">
        <v>30</v>
      </c>
      <c r="E1010" s="138">
        <v>120</v>
      </c>
      <c r="F1010" s="139">
        <v>0.5</v>
      </c>
      <c r="H1010" t="str">
        <f t="shared" si="18"/>
        <v>15006150061165</v>
      </c>
    </row>
    <row r="1011" spans="1:8" ht="15" customHeight="1" x14ac:dyDescent="0.25">
      <c r="A1011" s="110" t="s">
        <v>4064</v>
      </c>
      <c r="B1011" s="125" t="s">
        <v>797</v>
      </c>
      <c r="C1011" s="138">
        <v>0.33</v>
      </c>
      <c r="D1011" s="138">
        <v>19.8</v>
      </c>
      <c r="E1011" s="138">
        <v>181.81818181818181</v>
      </c>
      <c r="F1011" s="139">
        <v>0.33</v>
      </c>
      <c r="H1011" t="str">
        <f t="shared" si="18"/>
        <v>15006150061166</v>
      </c>
    </row>
    <row r="1012" spans="1:8" ht="15" customHeight="1" x14ac:dyDescent="0.25">
      <c r="A1012" s="110" t="s">
        <v>4066</v>
      </c>
      <c r="B1012" s="125" t="s">
        <v>1061</v>
      </c>
      <c r="C1012" s="138">
        <v>0.5</v>
      </c>
      <c r="D1012" s="138">
        <v>30</v>
      </c>
      <c r="E1012" s="138">
        <v>120</v>
      </c>
      <c r="F1012" s="139">
        <v>0.5</v>
      </c>
      <c r="H1012" t="str">
        <f t="shared" si="18"/>
        <v>15006150061168</v>
      </c>
    </row>
    <row r="1013" spans="1:8" ht="15" customHeight="1" x14ac:dyDescent="0.25">
      <c r="A1013" s="110" t="s">
        <v>4067</v>
      </c>
      <c r="B1013" s="125" t="s">
        <v>1062</v>
      </c>
      <c r="C1013" s="138">
        <v>0.5</v>
      </c>
      <c r="D1013" s="138">
        <v>30</v>
      </c>
      <c r="E1013" s="138">
        <v>120</v>
      </c>
      <c r="F1013" s="139">
        <v>0.5</v>
      </c>
      <c r="H1013" t="str">
        <f t="shared" si="18"/>
        <v>15006150061169</v>
      </c>
    </row>
    <row r="1014" spans="1:8" ht="15" customHeight="1" x14ac:dyDescent="0.25">
      <c r="A1014" s="110" t="s">
        <v>4069</v>
      </c>
      <c r="B1014" s="125" t="s">
        <v>426</v>
      </c>
      <c r="C1014" s="138">
        <v>0.54</v>
      </c>
      <c r="D1014" s="138">
        <v>32.400000000000006</v>
      </c>
      <c r="E1014" s="138">
        <v>111.11111111111109</v>
      </c>
      <c r="F1014" s="139">
        <v>0.54</v>
      </c>
      <c r="H1014" t="str">
        <f t="shared" si="18"/>
        <v>15006150061171</v>
      </c>
    </row>
    <row r="1015" spans="1:8" ht="15" customHeight="1" x14ac:dyDescent="0.25">
      <c r="A1015" s="110" t="s">
        <v>4070</v>
      </c>
      <c r="B1015" s="125" t="s">
        <v>427</v>
      </c>
      <c r="C1015" s="138">
        <v>0.54</v>
      </c>
      <c r="D1015" s="138">
        <v>32.400000000000006</v>
      </c>
      <c r="E1015" s="138">
        <v>111.11111111111109</v>
      </c>
      <c r="F1015" s="139">
        <v>0.54</v>
      </c>
      <c r="H1015" t="str">
        <f t="shared" si="18"/>
        <v>15006150061172</v>
      </c>
    </row>
    <row r="1016" spans="1:8" ht="15" customHeight="1" x14ac:dyDescent="0.25">
      <c r="A1016" s="110" t="s">
        <v>4071</v>
      </c>
      <c r="B1016" s="125" t="s">
        <v>363</v>
      </c>
      <c r="C1016" s="138">
        <v>0.7</v>
      </c>
      <c r="D1016" s="138">
        <v>42</v>
      </c>
      <c r="E1016" s="138">
        <v>85.714285714285708</v>
      </c>
      <c r="F1016" s="139">
        <v>0.7</v>
      </c>
      <c r="H1016" t="str">
        <f t="shared" si="18"/>
        <v>15006150061173</v>
      </c>
    </row>
    <row r="1017" spans="1:8" ht="15" customHeight="1" x14ac:dyDescent="0.25">
      <c r="A1017" s="110" t="s">
        <v>4072</v>
      </c>
      <c r="B1017" s="125" t="s">
        <v>364</v>
      </c>
      <c r="C1017" s="138">
        <v>0.7</v>
      </c>
      <c r="D1017" s="138">
        <v>42</v>
      </c>
      <c r="E1017" s="138">
        <v>85.714285714285708</v>
      </c>
      <c r="F1017" s="139">
        <v>0.7</v>
      </c>
      <c r="H1017" t="str">
        <f t="shared" si="18"/>
        <v>15006150061174</v>
      </c>
    </row>
    <row r="1018" spans="1:8" ht="15" customHeight="1" x14ac:dyDescent="0.25">
      <c r="A1018" s="110" t="s">
        <v>4073</v>
      </c>
      <c r="B1018" s="125" t="s">
        <v>269</v>
      </c>
      <c r="C1018" s="138">
        <v>0.56000000000000005</v>
      </c>
      <c r="D1018" s="138">
        <v>33.6</v>
      </c>
      <c r="E1018" s="138">
        <v>107.14285714285714</v>
      </c>
      <c r="F1018" s="139">
        <v>0.56000000000000005</v>
      </c>
      <c r="H1018" t="str">
        <f t="shared" si="18"/>
        <v>15006150061175</v>
      </c>
    </row>
    <row r="1019" spans="1:8" ht="15" customHeight="1" x14ac:dyDescent="0.25">
      <c r="A1019" s="110" t="s">
        <v>4074</v>
      </c>
      <c r="B1019" s="125" t="s">
        <v>270</v>
      </c>
      <c r="C1019" s="138">
        <v>0.56000000000000005</v>
      </c>
      <c r="D1019" s="138">
        <v>33.6</v>
      </c>
      <c r="E1019" s="138">
        <v>107.14285714285714</v>
      </c>
      <c r="F1019" s="139">
        <v>0.56000000000000005</v>
      </c>
      <c r="H1019" t="str">
        <f t="shared" si="18"/>
        <v>15006150061176</v>
      </c>
    </row>
    <row r="1020" spans="1:8" ht="15" customHeight="1" x14ac:dyDescent="0.25">
      <c r="A1020" s="110" t="s">
        <v>4075</v>
      </c>
      <c r="B1020" s="125" t="s">
        <v>271</v>
      </c>
      <c r="C1020" s="138">
        <v>0.32</v>
      </c>
      <c r="D1020" s="138">
        <v>19.2</v>
      </c>
      <c r="E1020" s="138">
        <v>187.5</v>
      </c>
      <c r="F1020" s="139">
        <v>0.32</v>
      </c>
      <c r="H1020" t="str">
        <f t="shared" si="18"/>
        <v>15006150061177</v>
      </c>
    </row>
    <row r="1021" spans="1:8" ht="15" customHeight="1" x14ac:dyDescent="0.25">
      <c r="A1021" s="110" t="s">
        <v>5561</v>
      </c>
      <c r="B1021" s="125" t="s">
        <v>433</v>
      </c>
      <c r="C1021" s="138">
        <v>0.54</v>
      </c>
      <c r="D1021" s="138">
        <v>32.400000000000006</v>
      </c>
      <c r="E1021" s="138">
        <v>111.11111111111109</v>
      </c>
      <c r="F1021" s="139">
        <v>0.54</v>
      </c>
      <c r="H1021" t="str">
        <f t="shared" si="18"/>
        <v>15006150061178</v>
      </c>
    </row>
    <row r="1022" spans="1:8" ht="15" customHeight="1" x14ac:dyDescent="0.25">
      <c r="A1022" s="110" t="s">
        <v>4076</v>
      </c>
      <c r="B1022" s="125" t="s">
        <v>272</v>
      </c>
      <c r="C1022" s="138">
        <v>0.87</v>
      </c>
      <c r="D1022" s="138">
        <v>52.2</v>
      </c>
      <c r="E1022" s="138">
        <v>68.965517241379303</v>
      </c>
      <c r="F1022" s="139">
        <v>0.87</v>
      </c>
      <c r="H1022" t="str">
        <f t="shared" si="18"/>
        <v>15006150061179</v>
      </c>
    </row>
    <row r="1023" spans="1:8" ht="15" customHeight="1" x14ac:dyDescent="0.25">
      <c r="A1023" s="110" t="s">
        <v>4077</v>
      </c>
      <c r="B1023" s="125" t="s">
        <v>1063</v>
      </c>
      <c r="C1023" s="138">
        <v>0.87</v>
      </c>
      <c r="D1023" s="138">
        <v>52.2</v>
      </c>
      <c r="E1023" s="138">
        <v>68.965517241379303</v>
      </c>
      <c r="F1023" s="139">
        <v>0.87</v>
      </c>
      <c r="H1023" t="str">
        <f t="shared" si="18"/>
        <v>15006150061180</v>
      </c>
    </row>
    <row r="1024" spans="1:8" ht="15" customHeight="1" x14ac:dyDescent="0.25">
      <c r="A1024" s="110" t="s">
        <v>4078</v>
      </c>
      <c r="B1024" s="125" t="s">
        <v>365</v>
      </c>
      <c r="C1024" s="138">
        <v>0.3</v>
      </c>
      <c r="D1024" s="138">
        <v>18</v>
      </c>
      <c r="E1024" s="138">
        <v>200</v>
      </c>
      <c r="F1024" s="139">
        <v>0.3</v>
      </c>
      <c r="H1024" t="str">
        <f t="shared" si="18"/>
        <v>15006150061181</v>
      </c>
    </row>
    <row r="1025" spans="1:8" ht="15" customHeight="1" x14ac:dyDescent="0.25">
      <c r="A1025" s="110" t="s">
        <v>4079</v>
      </c>
      <c r="B1025" s="125" t="s">
        <v>366</v>
      </c>
      <c r="C1025" s="138">
        <v>0.3</v>
      </c>
      <c r="D1025" s="138">
        <v>18</v>
      </c>
      <c r="E1025" s="138">
        <v>200</v>
      </c>
      <c r="F1025" s="139">
        <v>0.3</v>
      </c>
      <c r="H1025" t="str">
        <f t="shared" si="18"/>
        <v>15006150061182</v>
      </c>
    </row>
    <row r="1026" spans="1:8" ht="15" customHeight="1" x14ac:dyDescent="0.25">
      <c r="A1026" s="110" t="s">
        <v>4080</v>
      </c>
      <c r="B1026" s="125" t="s">
        <v>273</v>
      </c>
      <c r="C1026" s="138">
        <v>0.8</v>
      </c>
      <c r="D1026" s="138">
        <v>48</v>
      </c>
      <c r="E1026" s="138">
        <v>75</v>
      </c>
      <c r="F1026" s="139">
        <v>0.8</v>
      </c>
      <c r="H1026" t="str">
        <f t="shared" si="18"/>
        <v>15006150061183</v>
      </c>
    </row>
    <row r="1027" spans="1:8" ht="15" customHeight="1" x14ac:dyDescent="0.25">
      <c r="A1027" s="110" t="s">
        <v>4081</v>
      </c>
      <c r="B1027" s="125" t="s">
        <v>274</v>
      </c>
      <c r="C1027" s="138">
        <v>0.8</v>
      </c>
      <c r="D1027" s="138">
        <v>48</v>
      </c>
      <c r="E1027" s="138">
        <v>75</v>
      </c>
      <c r="F1027" s="139">
        <v>0.8</v>
      </c>
      <c r="H1027" t="str">
        <f t="shared" si="18"/>
        <v>15006150061184</v>
      </c>
    </row>
    <row r="1028" spans="1:8" ht="15" customHeight="1" x14ac:dyDescent="0.25">
      <c r="A1028" s="110" t="s">
        <v>4082</v>
      </c>
      <c r="B1028" s="125" t="s">
        <v>275</v>
      </c>
      <c r="C1028" s="138">
        <v>0.42</v>
      </c>
      <c r="D1028" s="138">
        <v>25.2</v>
      </c>
      <c r="E1028" s="138">
        <v>142.85714285714286</v>
      </c>
      <c r="F1028" s="139">
        <v>0.42</v>
      </c>
      <c r="H1028" t="str">
        <f t="shared" ref="H1028:H1091" si="19">CONCATENATE($G$835,A1028)</f>
        <v>15006150061185</v>
      </c>
    </row>
    <row r="1029" spans="1:8" ht="15" customHeight="1" x14ac:dyDescent="0.25">
      <c r="A1029" s="110" t="s">
        <v>4083</v>
      </c>
      <c r="B1029" s="125" t="s">
        <v>276</v>
      </c>
      <c r="C1029" s="138">
        <v>0.42</v>
      </c>
      <c r="D1029" s="138">
        <v>25.2</v>
      </c>
      <c r="E1029" s="138">
        <v>142.85714285714286</v>
      </c>
      <c r="F1029" s="139">
        <v>0.42</v>
      </c>
      <c r="H1029" t="str">
        <f t="shared" si="19"/>
        <v>15006150061186</v>
      </c>
    </row>
    <row r="1030" spans="1:8" ht="15" customHeight="1" x14ac:dyDescent="0.25">
      <c r="A1030" s="110" t="s">
        <v>4084</v>
      </c>
      <c r="B1030" s="125" t="s">
        <v>277</v>
      </c>
      <c r="C1030" s="138">
        <v>0.78</v>
      </c>
      <c r="D1030" s="138">
        <v>46.800000000000004</v>
      </c>
      <c r="E1030" s="138">
        <v>76.92307692307692</v>
      </c>
      <c r="F1030" s="139">
        <v>0.78</v>
      </c>
      <c r="H1030" t="str">
        <f t="shared" si="19"/>
        <v>15006150061187</v>
      </c>
    </row>
    <row r="1031" spans="1:8" ht="15" customHeight="1" x14ac:dyDescent="0.25">
      <c r="A1031" s="110" t="s">
        <v>4085</v>
      </c>
      <c r="B1031" s="125" t="s">
        <v>1064</v>
      </c>
      <c r="C1031" s="138">
        <v>0.78</v>
      </c>
      <c r="D1031" s="138">
        <v>46.800000000000004</v>
      </c>
      <c r="E1031" s="138">
        <v>76.92307692307692</v>
      </c>
      <c r="F1031" s="139">
        <v>0.78</v>
      </c>
      <c r="H1031" t="str">
        <f t="shared" si="19"/>
        <v>15006150061188</v>
      </c>
    </row>
    <row r="1032" spans="1:8" ht="15" customHeight="1" x14ac:dyDescent="0.25">
      <c r="A1032" s="110" t="s">
        <v>4086</v>
      </c>
      <c r="B1032" s="125" t="s">
        <v>278</v>
      </c>
      <c r="C1032" s="138">
        <v>0.71</v>
      </c>
      <c r="D1032" s="138">
        <v>42.599999999999994</v>
      </c>
      <c r="E1032" s="138">
        <v>84.507042253521135</v>
      </c>
      <c r="F1032" s="139">
        <v>0.71</v>
      </c>
      <c r="H1032" t="str">
        <f t="shared" si="19"/>
        <v>15006150061189</v>
      </c>
    </row>
    <row r="1033" spans="1:8" ht="15" customHeight="1" x14ac:dyDescent="0.25">
      <c r="A1033" s="110" t="s">
        <v>4087</v>
      </c>
      <c r="B1033" s="125" t="s">
        <v>1065</v>
      </c>
      <c r="C1033" s="138">
        <v>0.71</v>
      </c>
      <c r="D1033" s="138">
        <v>42.599999999999994</v>
      </c>
      <c r="E1033" s="138">
        <v>84.507042253521135</v>
      </c>
      <c r="F1033" s="139">
        <v>0.71</v>
      </c>
      <c r="H1033" t="str">
        <f t="shared" si="19"/>
        <v>15006150061190</v>
      </c>
    </row>
    <row r="1034" spans="1:8" ht="15" customHeight="1" x14ac:dyDescent="0.25">
      <c r="A1034" s="110" t="s">
        <v>4088</v>
      </c>
      <c r="B1034" s="125" t="s">
        <v>411</v>
      </c>
      <c r="C1034" s="138">
        <v>0.38</v>
      </c>
      <c r="D1034" s="138">
        <v>22.8</v>
      </c>
      <c r="E1034" s="138">
        <v>157.89473684210526</v>
      </c>
      <c r="F1034" s="139">
        <v>0.38</v>
      </c>
      <c r="H1034" t="str">
        <f t="shared" si="19"/>
        <v>15006150061191</v>
      </c>
    </row>
    <row r="1035" spans="1:8" ht="15" customHeight="1" x14ac:dyDescent="0.25">
      <c r="A1035" s="110" t="s">
        <v>4089</v>
      </c>
      <c r="B1035" s="125" t="s">
        <v>412</v>
      </c>
      <c r="C1035" s="138">
        <v>0.38</v>
      </c>
      <c r="D1035" s="138">
        <v>22.8</v>
      </c>
      <c r="E1035" s="138">
        <v>157.89473684210526</v>
      </c>
      <c r="F1035" s="139">
        <v>0.38</v>
      </c>
      <c r="H1035" t="str">
        <f t="shared" si="19"/>
        <v>15006150061192</v>
      </c>
    </row>
    <row r="1036" spans="1:8" ht="15" customHeight="1" x14ac:dyDescent="0.25">
      <c r="A1036" s="110" t="s">
        <v>4090</v>
      </c>
      <c r="B1036" s="125" t="s">
        <v>413</v>
      </c>
      <c r="C1036" s="138">
        <v>0.39</v>
      </c>
      <c r="D1036" s="138">
        <v>23.400000000000002</v>
      </c>
      <c r="E1036" s="138">
        <v>153.84615384615384</v>
      </c>
      <c r="F1036" s="139">
        <v>0.39</v>
      </c>
      <c r="H1036" t="str">
        <f t="shared" si="19"/>
        <v>15006150061193</v>
      </c>
    </row>
    <row r="1037" spans="1:8" ht="15" customHeight="1" x14ac:dyDescent="0.25">
      <c r="A1037" s="110" t="s">
        <v>4091</v>
      </c>
      <c r="B1037" s="125" t="s">
        <v>414</v>
      </c>
      <c r="C1037" s="138">
        <v>0.39</v>
      </c>
      <c r="D1037" s="138">
        <v>23.400000000000002</v>
      </c>
      <c r="E1037" s="138">
        <v>153.84615384615384</v>
      </c>
      <c r="F1037" s="139">
        <v>0.39</v>
      </c>
      <c r="H1037" t="str">
        <f t="shared" si="19"/>
        <v>15006150061194</v>
      </c>
    </row>
    <row r="1038" spans="1:8" ht="15" customHeight="1" x14ac:dyDescent="0.25">
      <c r="A1038" s="110" t="s">
        <v>4092</v>
      </c>
      <c r="B1038" s="125" t="s">
        <v>415</v>
      </c>
      <c r="C1038" s="138">
        <v>0.94</v>
      </c>
      <c r="D1038" s="138">
        <v>56.4</v>
      </c>
      <c r="E1038" s="138">
        <v>63.829787234042556</v>
      </c>
      <c r="F1038" s="139">
        <v>0.94</v>
      </c>
      <c r="H1038" t="str">
        <f t="shared" si="19"/>
        <v>15006150061195</v>
      </c>
    </row>
    <row r="1039" spans="1:8" ht="15" customHeight="1" x14ac:dyDescent="0.25">
      <c r="A1039" s="110" t="s">
        <v>4093</v>
      </c>
      <c r="B1039" s="125" t="s">
        <v>416</v>
      </c>
      <c r="C1039" s="138">
        <v>0.94</v>
      </c>
      <c r="D1039" s="138">
        <v>56.4</v>
      </c>
      <c r="E1039" s="138">
        <v>63.829787234042556</v>
      </c>
      <c r="F1039" s="139">
        <v>0.94</v>
      </c>
      <c r="H1039" t="str">
        <f t="shared" si="19"/>
        <v>15006150061196</v>
      </c>
    </row>
    <row r="1040" spans="1:8" ht="15" customHeight="1" x14ac:dyDescent="0.25">
      <c r="A1040" s="110" t="s">
        <v>4094</v>
      </c>
      <c r="B1040" s="125" t="s">
        <v>417</v>
      </c>
      <c r="C1040" s="138">
        <v>0.94</v>
      </c>
      <c r="D1040" s="138">
        <v>56.4</v>
      </c>
      <c r="E1040" s="138">
        <v>63.829787234042556</v>
      </c>
      <c r="F1040" s="139">
        <v>0.94</v>
      </c>
      <c r="H1040" t="str">
        <f t="shared" si="19"/>
        <v>15006150061197</v>
      </c>
    </row>
    <row r="1041" spans="1:8" ht="15" customHeight="1" x14ac:dyDescent="0.25">
      <c r="A1041" s="110" t="s">
        <v>4095</v>
      </c>
      <c r="B1041" s="125" t="s">
        <v>418</v>
      </c>
      <c r="C1041" s="138">
        <v>0.94</v>
      </c>
      <c r="D1041" s="138">
        <v>56.4</v>
      </c>
      <c r="E1041" s="138">
        <v>63.829787234042556</v>
      </c>
      <c r="F1041" s="139">
        <v>0.94</v>
      </c>
      <c r="H1041" t="str">
        <f t="shared" si="19"/>
        <v>15006150061198</v>
      </c>
    </row>
    <row r="1042" spans="1:8" ht="15" customHeight="1" x14ac:dyDescent="0.25">
      <c r="A1042" s="110" t="s">
        <v>4096</v>
      </c>
      <c r="B1042" s="125" t="s">
        <v>419</v>
      </c>
      <c r="C1042" s="138">
        <v>0.81</v>
      </c>
      <c r="D1042" s="138">
        <v>48.6</v>
      </c>
      <c r="E1042" s="138">
        <v>74.074074074074076</v>
      </c>
      <c r="F1042" s="139">
        <v>0.81</v>
      </c>
      <c r="H1042" t="str">
        <f t="shared" si="19"/>
        <v>15006150061199</v>
      </c>
    </row>
    <row r="1043" spans="1:8" ht="15" customHeight="1" x14ac:dyDescent="0.25">
      <c r="A1043" s="110" t="s">
        <v>4097</v>
      </c>
      <c r="B1043" s="125" t="s">
        <v>420</v>
      </c>
      <c r="C1043" s="138">
        <v>0.81</v>
      </c>
      <c r="D1043" s="138">
        <v>48.6</v>
      </c>
      <c r="E1043" s="138">
        <v>74.074074074074076</v>
      </c>
      <c r="F1043" s="139">
        <v>0.81</v>
      </c>
      <c r="H1043" t="str">
        <f t="shared" si="19"/>
        <v>15006150061200</v>
      </c>
    </row>
    <row r="1044" spans="1:8" ht="15" customHeight="1" x14ac:dyDescent="0.25">
      <c r="A1044" s="110" t="s">
        <v>4098</v>
      </c>
      <c r="B1044" s="125" t="s">
        <v>505</v>
      </c>
      <c r="C1044" s="138">
        <v>0.48</v>
      </c>
      <c r="D1044" s="138">
        <v>28.799999999999997</v>
      </c>
      <c r="E1044" s="138">
        <v>125.00000000000001</v>
      </c>
      <c r="F1044" s="139">
        <v>0.48</v>
      </c>
      <c r="H1044" t="str">
        <f t="shared" si="19"/>
        <v>15006150061201</v>
      </c>
    </row>
    <row r="1045" spans="1:8" ht="15" customHeight="1" x14ac:dyDescent="0.25">
      <c r="A1045" s="110" t="s">
        <v>4099</v>
      </c>
      <c r="B1045" s="125" t="s">
        <v>506</v>
      </c>
      <c r="C1045" s="138">
        <v>0.49</v>
      </c>
      <c r="D1045" s="138">
        <v>29.4</v>
      </c>
      <c r="E1045" s="138">
        <v>122.44897959183675</v>
      </c>
      <c r="F1045" s="139">
        <v>0.49</v>
      </c>
      <c r="H1045" t="str">
        <f t="shared" si="19"/>
        <v>15006150061202</v>
      </c>
    </row>
    <row r="1046" spans="1:8" ht="15" customHeight="1" x14ac:dyDescent="0.25">
      <c r="A1046" s="110" t="s">
        <v>4100</v>
      </c>
      <c r="B1046" s="125" t="s">
        <v>507</v>
      </c>
      <c r="C1046" s="138">
        <v>1.25</v>
      </c>
      <c r="D1046" s="138">
        <v>75</v>
      </c>
      <c r="E1046" s="138">
        <v>48</v>
      </c>
      <c r="F1046" s="139">
        <v>1.25</v>
      </c>
      <c r="H1046" t="str">
        <f t="shared" si="19"/>
        <v>15006150061203</v>
      </c>
    </row>
    <row r="1047" spans="1:8" ht="15" customHeight="1" x14ac:dyDescent="0.25">
      <c r="A1047" s="110" t="s">
        <v>4101</v>
      </c>
      <c r="B1047" s="125" t="s">
        <v>508</v>
      </c>
      <c r="C1047" s="138">
        <v>1.25</v>
      </c>
      <c r="D1047" s="138">
        <v>75</v>
      </c>
      <c r="E1047" s="138">
        <v>48</v>
      </c>
      <c r="F1047" s="139">
        <v>1.25</v>
      </c>
      <c r="H1047" t="str">
        <f t="shared" si="19"/>
        <v>15006150061204</v>
      </c>
    </row>
    <row r="1048" spans="1:8" ht="15" customHeight="1" x14ac:dyDescent="0.25">
      <c r="A1048" s="110" t="s">
        <v>4102</v>
      </c>
      <c r="B1048" s="125" t="s">
        <v>1066</v>
      </c>
      <c r="C1048" s="138">
        <v>0.46</v>
      </c>
      <c r="D1048" s="138">
        <v>27.6</v>
      </c>
      <c r="E1048" s="138">
        <v>130.43478260869566</v>
      </c>
      <c r="F1048" s="139">
        <v>0.46</v>
      </c>
      <c r="H1048" t="str">
        <f t="shared" si="19"/>
        <v>15006150061205</v>
      </c>
    </row>
    <row r="1049" spans="1:8" ht="15" customHeight="1" x14ac:dyDescent="0.25">
      <c r="A1049" s="110" t="s">
        <v>4103</v>
      </c>
      <c r="B1049" s="125" t="s">
        <v>1067</v>
      </c>
      <c r="C1049" s="138">
        <v>0.54</v>
      </c>
      <c r="D1049" s="138">
        <v>32.400000000000006</v>
      </c>
      <c r="E1049" s="138">
        <v>111.11111111111109</v>
      </c>
      <c r="F1049" s="139">
        <v>0.54</v>
      </c>
      <c r="H1049" t="str">
        <f t="shared" si="19"/>
        <v>15006150061206</v>
      </c>
    </row>
    <row r="1050" spans="1:8" ht="15" customHeight="1" x14ac:dyDescent="0.25">
      <c r="A1050" s="110" t="s">
        <v>4104</v>
      </c>
      <c r="B1050" s="125" t="s">
        <v>1068</v>
      </c>
      <c r="C1050" s="138">
        <v>0.54</v>
      </c>
      <c r="D1050" s="138">
        <v>32.400000000000006</v>
      </c>
      <c r="E1050" s="138">
        <v>111.11111111111109</v>
      </c>
      <c r="F1050" s="139">
        <v>0.54</v>
      </c>
      <c r="H1050" t="str">
        <f t="shared" si="19"/>
        <v>15006150061207</v>
      </c>
    </row>
    <row r="1051" spans="1:8" ht="15" customHeight="1" x14ac:dyDescent="0.25">
      <c r="A1051" s="110" t="s">
        <v>4105</v>
      </c>
      <c r="B1051" s="125" t="s">
        <v>1069</v>
      </c>
      <c r="C1051" s="138">
        <v>0.54</v>
      </c>
      <c r="D1051" s="138">
        <v>32.400000000000006</v>
      </c>
      <c r="E1051" s="138">
        <v>111.11111111111109</v>
      </c>
      <c r="F1051" s="139">
        <v>0.54</v>
      </c>
      <c r="H1051" t="str">
        <f t="shared" si="19"/>
        <v>15006150061208</v>
      </c>
    </row>
    <row r="1052" spans="1:8" ht="15" customHeight="1" x14ac:dyDescent="0.25">
      <c r="A1052" s="110" t="s">
        <v>4106</v>
      </c>
      <c r="B1052" s="125" t="s">
        <v>1070</v>
      </c>
      <c r="C1052" s="138">
        <v>0.54</v>
      </c>
      <c r="D1052" s="138">
        <v>32.400000000000006</v>
      </c>
      <c r="E1052" s="138">
        <v>111.11111111111109</v>
      </c>
      <c r="F1052" s="139">
        <v>0.54</v>
      </c>
      <c r="H1052" t="str">
        <f t="shared" si="19"/>
        <v>15006150061209</v>
      </c>
    </row>
    <row r="1053" spans="1:8" ht="15" customHeight="1" x14ac:dyDescent="0.25">
      <c r="A1053" s="110" t="s">
        <v>4107</v>
      </c>
      <c r="B1053" s="125" t="s">
        <v>1071</v>
      </c>
      <c r="C1053" s="138">
        <v>0.46</v>
      </c>
      <c r="D1053" s="138">
        <v>27.6</v>
      </c>
      <c r="E1053" s="138">
        <v>130.43478260869566</v>
      </c>
      <c r="F1053" s="139">
        <v>0.46</v>
      </c>
      <c r="H1053" t="str">
        <f t="shared" si="19"/>
        <v>15006150061210</v>
      </c>
    </row>
    <row r="1054" spans="1:8" ht="15" customHeight="1" x14ac:dyDescent="0.25">
      <c r="A1054" s="110" t="s">
        <v>4107</v>
      </c>
      <c r="B1054" s="125" t="s">
        <v>1759</v>
      </c>
      <c r="C1054" s="138">
        <v>0.24</v>
      </c>
      <c r="D1054" s="138">
        <v>14.399999999999999</v>
      </c>
      <c r="E1054" s="138">
        <v>250.00000000000003</v>
      </c>
      <c r="F1054" s="139">
        <v>0.24</v>
      </c>
      <c r="H1054" t="str">
        <f t="shared" si="19"/>
        <v>15006150061210</v>
      </c>
    </row>
    <row r="1055" spans="1:8" ht="15" customHeight="1" x14ac:dyDescent="0.25">
      <c r="A1055" s="110" t="s">
        <v>4108</v>
      </c>
      <c r="B1055" s="125" t="s">
        <v>469</v>
      </c>
      <c r="C1055" s="138">
        <v>0.61</v>
      </c>
      <c r="D1055" s="138">
        <v>36.6</v>
      </c>
      <c r="E1055" s="138">
        <v>98.360655737704917</v>
      </c>
      <c r="F1055" s="139">
        <v>0.61</v>
      </c>
      <c r="H1055" t="str">
        <f t="shared" si="19"/>
        <v>15006150061211</v>
      </c>
    </row>
    <row r="1056" spans="1:8" ht="15" customHeight="1" x14ac:dyDescent="0.25">
      <c r="A1056" s="110" t="s">
        <v>4109</v>
      </c>
      <c r="B1056" s="125" t="s">
        <v>470</v>
      </c>
      <c r="C1056" s="138">
        <v>0.61</v>
      </c>
      <c r="D1056" s="138">
        <v>36.6</v>
      </c>
      <c r="E1056" s="138">
        <v>98.360655737704917</v>
      </c>
      <c r="F1056" s="139">
        <v>0.61</v>
      </c>
      <c r="H1056" t="str">
        <f t="shared" si="19"/>
        <v>15006150061212</v>
      </c>
    </row>
    <row r="1057" spans="1:8" ht="15" customHeight="1" x14ac:dyDescent="0.25">
      <c r="A1057" s="110" t="s">
        <v>4110</v>
      </c>
      <c r="B1057" s="125" t="s">
        <v>471</v>
      </c>
      <c r="C1057" s="138">
        <v>0.68</v>
      </c>
      <c r="D1057" s="138">
        <v>40.800000000000004</v>
      </c>
      <c r="E1057" s="138">
        <v>88.235294117647044</v>
      </c>
      <c r="F1057" s="139">
        <v>0.68</v>
      </c>
      <c r="H1057" t="str">
        <f t="shared" si="19"/>
        <v>15006150061213</v>
      </c>
    </row>
    <row r="1058" spans="1:8" ht="15" customHeight="1" x14ac:dyDescent="0.25">
      <c r="A1058" s="110" t="s">
        <v>4111</v>
      </c>
      <c r="B1058" s="125" t="s">
        <v>472</v>
      </c>
      <c r="C1058" s="138">
        <v>0.68</v>
      </c>
      <c r="D1058" s="138">
        <v>40.800000000000004</v>
      </c>
      <c r="E1058" s="138">
        <v>88.235294117647044</v>
      </c>
      <c r="F1058" s="139">
        <v>0.68</v>
      </c>
      <c r="H1058" t="str">
        <f t="shared" si="19"/>
        <v>15006150061214</v>
      </c>
    </row>
    <row r="1059" spans="1:8" ht="15" customHeight="1" x14ac:dyDescent="0.25">
      <c r="A1059" s="110" t="s">
        <v>4112</v>
      </c>
      <c r="B1059" s="125" t="s">
        <v>473</v>
      </c>
      <c r="C1059" s="138">
        <v>1</v>
      </c>
      <c r="D1059" s="138">
        <v>60</v>
      </c>
      <c r="E1059" s="138">
        <v>60</v>
      </c>
      <c r="F1059" s="139">
        <v>1</v>
      </c>
      <c r="H1059" t="str">
        <f t="shared" si="19"/>
        <v>15006150061215</v>
      </c>
    </row>
    <row r="1060" spans="1:8" ht="15" customHeight="1" x14ac:dyDescent="0.25">
      <c r="A1060" s="110" t="s">
        <v>4112</v>
      </c>
      <c r="B1060" s="125" t="s">
        <v>1760</v>
      </c>
      <c r="C1060" s="138">
        <v>0.1</v>
      </c>
      <c r="D1060" s="138">
        <v>6</v>
      </c>
      <c r="E1060" s="138">
        <v>600</v>
      </c>
      <c r="F1060" s="139">
        <v>0.1</v>
      </c>
      <c r="H1060" t="str">
        <f t="shared" si="19"/>
        <v>15006150061215</v>
      </c>
    </row>
    <row r="1061" spans="1:8" ht="15" customHeight="1" x14ac:dyDescent="0.25">
      <c r="A1061" s="110" t="s">
        <v>4113</v>
      </c>
      <c r="B1061" s="125" t="s">
        <v>474</v>
      </c>
      <c r="C1061" s="138">
        <v>1</v>
      </c>
      <c r="D1061" s="138">
        <v>60</v>
      </c>
      <c r="E1061" s="138">
        <v>60</v>
      </c>
      <c r="F1061" s="139">
        <v>1</v>
      </c>
      <c r="H1061" t="str">
        <f t="shared" si="19"/>
        <v>15006150061216</v>
      </c>
    </row>
    <row r="1062" spans="1:8" ht="15" customHeight="1" x14ac:dyDescent="0.25">
      <c r="A1062" s="110" t="s">
        <v>4114</v>
      </c>
      <c r="B1062" s="125" t="s">
        <v>1072</v>
      </c>
      <c r="C1062" s="138">
        <v>0.41</v>
      </c>
      <c r="D1062" s="138">
        <v>24.599999999999998</v>
      </c>
      <c r="E1062" s="138">
        <v>146.34146341463415</v>
      </c>
      <c r="F1062" s="139">
        <v>0.41</v>
      </c>
      <c r="H1062" t="str">
        <f t="shared" si="19"/>
        <v>15006150061217</v>
      </c>
    </row>
    <row r="1063" spans="1:8" ht="15" customHeight="1" x14ac:dyDescent="0.25">
      <c r="A1063" s="110" t="s">
        <v>4115</v>
      </c>
      <c r="B1063" s="125" t="s">
        <v>1073</v>
      </c>
      <c r="C1063" s="138">
        <v>0.41</v>
      </c>
      <c r="D1063" s="138">
        <v>24.599999999999998</v>
      </c>
      <c r="E1063" s="138">
        <v>146.34146341463415</v>
      </c>
      <c r="F1063" s="139">
        <v>0.41</v>
      </c>
      <c r="H1063" t="str">
        <f t="shared" si="19"/>
        <v>15006150061218</v>
      </c>
    </row>
    <row r="1064" spans="1:8" ht="15" customHeight="1" x14ac:dyDescent="0.25">
      <c r="A1064" s="110" t="s">
        <v>4116</v>
      </c>
      <c r="B1064" s="125" t="s">
        <v>475</v>
      </c>
      <c r="C1064" s="138">
        <v>0.56999999999999995</v>
      </c>
      <c r="D1064" s="138">
        <v>34.199999999999996</v>
      </c>
      <c r="E1064" s="138">
        <v>105.26315789473685</v>
      </c>
      <c r="F1064" s="139">
        <v>0.56999999999999995</v>
      </c>
      <c r="H1064" t="str">
        <f t="shared" si="19"/>
        <v>15006150061219</v>
      </c>
    </row>
    <row r="1065" spans="1:8" ht="15" customHeight="1" x14ac:dyDescent="0.25">
      <c r="A1065" s="110" t="s">
        <v>4117</v>
      </c>
      <c r="B1065" s="125" t="s">
        <v>476</v>
      </c>
      <c r="C1065" s="138">
        <v>0.56999999999999995</v>
      </c>
      <c r="D1065" s="138">
        <v>34.199999999999996</v>
      </c>
      <c r="E1065" s="138">
        <v>105.26315789473685</v>
      </c>
      <c r="F1065" s="139">
        <v>0.56999999999999995</v>
      </c>
      <c r="H1065" t="str">
        <f t="shared" si="19"/>
        <v>15006150061220</v>
      </c>
    </row>
    <row r="1066" spans="1:8" ht="15" customHeight="1" x14ac:dyDescent="0.25">
      <c r="A1066" s="110" t="s">
        <v>4118</v>
      </c>
      <c r="B1066" s="125" t="s">
        <v>477</v>
      </c>
      <c r="C1066" s="138">
        <v>0.34</v>
      </c>
      <c r="D1066" s="138">
        <v>20.400000000000002</v>
      </c>
      <c r="E1066" s="138">
        <v>176.47058823529409</v>
      </c>
      <c r="F1066" s="139">
        <v>0.34</v>
      </c>
      <c r="H1066" t="str">
        <f t="shared" si="19"/>
        <v>15006150061221</v>
      </c>
    </row>
    <row r="1067" spans="1:8" ht="15" customHeight="1" x14ac:dyDescent="0.25">
      <c r="A1067" s="110" t="s">
        <v>4119</v>
      </c>
      <c r="B1067" s="125" t="s">
        <v>478</v>
      </c>
      <c r="C1067" s="138">
        <v>0.34</v>
      </c>
      <c r="D1067" s="138">
        <v>20.400000000000002</v>
      </c>
      <c r="E1067" s="138">
        <v>176.47058823529409</v>
      </c>
      <c r="F1067" s="139">
        <v>0.34</v>
      </c>
      <c r="H1067" t="str">
        <f t="shared" si="19"/>
        <v>15006150061222</v>
      </c>
    </row>
    <row r="1068" spans="1:8" ht="15" customHeight="1" x14ac:dyDescent="0.25">
      <c r="A1068" s="110" t="s">
        <v>4119</v>
      </c>
      <c r="B1068" s="125" t="s">
        <v>1761</v>
      </c>
      <c r="C1068" s="138">
        <v>0.2</v>
      </c>
      <c r="D1068" s="138">
        <v>12</v>
      </c>
      <c r="E1068" s="138">
        <v>300</v>
      </c>
      <c r="F1068" s="139">
        <v>0.2</v>
      </c>
      <c r="H1068" t="str">
        <f t="shared" si="19"/>
        <v>15006150061222</v>
      </c>
    </row>
    <row r="1069" spans="1:8" ht="15" customHeight="1" x14ac:dyDescent="0.25">
      <c r="A1069" s="110" t="s">
        <v>4120</v>
      </c>
      <c r="B1069" s="125" t="s">
        <v>479</v>
      </c>
      <c r="C1069" s="138">
        <v>0.41</v>
      </c>
      <c r="D1069" s="138">
        <v>24.599999999999998</v>
      </c>
      <c r="E1069" s="138">
        <v>146.34146341463415</v>
      </c>
      <c r="F1069" s="139">
        <v>0.41</v>
      </c>
      <c r="H1069" t="str">
        <f t="shared" si="19"/>
        <v>15006150061223</v>
      </c>
    </row>
    <row r="1070" spans="1:8" ht="15" customHeight="1" x14ac:dyDescent="0.25">
      <c r="A1070" s="110" t="s">
        <v>4121</v>
      </c>
      <c r="B1070" s="125" t="s">
        <v>1074</v>
      </c>
      <c r="C1070" s="138">
        <v>0.41</v>
      </c>
      <c r="D1070" s="138">
        <v>24.599999999999998</v>
      </c>
      <c r="E1070" s="138">
        <v>146.34146341463415</v>
      </c>
      <c r="F1070" s="139">
        <v>0.41</v>
      </c>
      <c r="H1070" t="str">
        <f t="shared" si="19"/>
        <v>15006150061224</v>
      </c>
    </row>
    <row r="1071" spans="1:8" ht="15" customHeight="1" x14ac:dyDescent="0.25">
      <c r="A1071" s="110" t="s">
        <v>4122</v>
      </c>
      <c r="B1071" s="125" t="s">
        <v>480</v>
      </c>
      <c r="C1071" s="138">
        <v>1.58</v>
      </c>
      <c r="D1071" s="138">
        <v>94.800000000000011</v>
      </c>
      <c r="E1071" s="138">
        <v>37.974683544303794</v>
      </c>
      <c r="F1071" s="139">
        <v>1.58</v>
      </c>
      <c r="H1071" t="str">
        <f t="shared" si="19"/>
        <v>15006150061225</v>
      </c>
    </row>
    <row r="1072" spans="1:8" ht="15" customHeight="1" x14ac:dyDescent="0.25">
      <c r="A1072" s="110" t="s">
        <v>4123</v>
      </c>
      <c r="B1072" s="125" t="s">
        <v>481</v>
      </c>
      <c r="C1072" s="138">
        <v>1.58</v>
      </c>
      <c r="D1072" s="138">
        <v>94.800000000000011</v>
      </c>
      <c r="E1072" s="138">
        <v>37.974683544303794</v>
      </c>
      <c r="F1072" s="139">
        <v>1.58</v>
      </c>
      <c r="H1072" t="str">
        <f t="shared" si="19"/>
        <v>15006150061226</v>
      </c>
    </row>
    <row r="1073" spans="1:8" ht="15" customHeight="1" x14ac:dyDescent="0.25">
      <c r="A1073" s="110" t="s">
        <v>4124</v>
      </c>
      <c r="B1073" s="125" t="s">
        <v>482</v>
      </c>
      <c r="C1073" s="138">
        <v>0.68</v>
      </c>
      <c r="D1073" s="138">
        <v>40.800000000000004</v>
      </c>
      <c r="E1073" s="138">
        <v>88.235294117647044</v>
      </c>
      <c r="F1073" s="139">
        <v>0.68</v>
      </c>
      <c r="H1073" t="str">
        <f t="shared" si="19"/>
        <v>15006150061227</v>
      </c>
    </row>
    <row r="1074" spans="1:8" ht="15" customHeight="1" x14ac:dyDescent="0.25">
      <c r="A1074" s="110" t="s">
        <v>4125</v>
      </c>
      <c r="B1074" s="125" t="s">
        <v>1075</v>
      </c>
      <c r="C1074" s="138">
        <v>0.68</v>
      </c>
      <c r="D1074" s="138">
        <v>40.800000000000004</v>
      </c>
      <c r="E1074" s="138">
        <v>88.235294117647044</v>
      </c>
      <c r="F1074" s="139">
        <v>0.68</v>
      </c>
      <c r="H1074" t="str">
        <f t="shared" si="19"/>
        <v>15006150061228</v>
      </c>
    </row>
    <row r="1075" spans="1:8" ht="15" customHeight="1" x14ac:dyDescent="0.25">
      <c r="A1075" s="110" t="s">
        <v>4126</v>
      </c>
      <c r="B1075" s="125" t="s">
        <v>483</v>
      </c>
      <c r="C1075" s="138">
        <v>0.94</v>
      </c>
      <c r="D1075" s="138">
        <v>56.4</v>
      </c>
      <c r="E1075" s="138">
        <v>63.829787234042556</v>
      </c>
      <c r="F1075" s="139">
        <v>0.94</v>
      </c>
      <c r="H1075" t="str">
        <f t="shared" si="19"/>
        <v>15006150061229</v>
      </c>
    </row>
    <row r="1076" spans="1:8" ht="15" customHeight="1" x14ac:dyDescent="0.25">
      <c r="A1076" s="110" t="s">
        <v>4127</v>
      </c>
      <c r="B1076" s="125" t="s">
        <v>484</v>
      </c>
      <c r="C1076" s="138">
        <v>0.94</v>
      </c>
      <c r="D1076" s="138">
        <v>56.4</v>
      </c>
      <c r="E1076" s="138">
        <v>63.829787234042556</v>
      </c>
      <c r="F1076" s="139">
        <v>0.94</v>
      </c>
      <c r="H1076" t="str">
        <f t="shared" si="19"/>
        <v>15006150061230</v>
      </c>
    </row>
    <row r="1077" spans="1:8" ht="15" customHeight="1" x14ac:dyDescent="0.25">
      <c r="A1077" s="110" t="s">
        <v>4128</v>
      </c>
      <c r="B1077" s="125" t="s">
        <v>485</v>
      </c>
      <c r="C1077" s="138">
        <v>0.98</v>
      </c>
      <c r="D1077" s="138">
        <v>58.8</v>
      </c>
      <c r="E1077" s="138">
        <v>61.224489795918373</v>
      </c>
      <c r="F1077" s="139">
        <v>0.98</v>
      </c>
      <c r="H1077" t="str">
        <f t="shared" si="19"/>
        <v>15006150061231</v>
      </c>
    </row>
    <row r="1078" spans="1:8" ht="15" customHeight="1" x14ac:dyDescent="0.25">
      <c r="A1078" s="110" t="s">
        <v>4129</v>
      </c>
      <c r="B1078" s="125" t="s">
        <v>486</v>
      </c>
      <c r="C1078" s="138">
        <v>0.98</v>
      </c>
      <c r="D1078" s="138">
        <v>58.8</v>
      </c>
      <c r="E1078" s="138">
        <v>61.224489795918373</v>
      </c>
      <c r="F1078" s="139">
        <v>0.98</v>
      </c>
      <c r="H1078" t="str">
        <f t="shared" si="19"/>
        <v>15006150061232</v>
      </c>
    </row>
    <row r="1079" spans="1:8" ht="15" customHeight="1" x14ac:dyDescent="0.25">
      <c r="A1079" s="110" t="s">
        <v>4130</v>
      </c>
      <c r="B1079" s="125" t="s">
        <v>487</v>
      </c>
      <c r="C1079" s="138">
        <v>0.8</v>
      </c>
      <c r="D1079" s="138">
        <v>48</v>
      </c>
      <c r="E1079" s="138">
        <v>75</v>
      </c>
      <c r="F1079" s="139">
        <v>0.8</v>
      </c>
      <c r="H1079" t="str">
        <f t="shared" si="19"/>
        <v>15006150061233</v>
      </c>
    </row>
    <row r="1080" spans="1:8" ht="15" customHeight="1" x14ac:dyDescent="0.25">
      <c r="A1080" s="110" t="s">
        <v>4131</v>
      </c>
      <c r="B1080" s="125" t="s">
        <v>488</v>
      </c>
      <c r="C1080" s="138">
        <v>0.8</v>
      </c>
      <c r="D1080" s="138">
        <v>48</v>
      </c>
      <c r="E1080" s="138">
        <v>75</v>
      </c>
      <c r="F1080" s="139">
        <v>0.8</v>
      </c>
      <c r="H1080" t="str">
        <f t="shared" si="19"/>
        <v>15006150061234</v>
      </c>
    </row>
    <row r="1081" spans="1:8" ht="15" customHeight="1" x14ac:dyDescent="0.25">
      <c r="A1081" s="110" t="s">
        <v>4132</v>
      </c>
      <c r="B1081" s="125" t="s">
        <v>1076</v>
      </c>
      <c r="C1081" s="138">
        <v>0.5</v>
      </c>
      <c r="D1081" s="138">
        <v>30</v>
      </c>
      <c r="E1081" s="138">
        <v>120</v>
      </c>
      <c r="F1081" s="139">
        <v>0.5</v>
      </c>
      <c r="H1081" t="str">
        <f t="shared" si="19"/>
        <v>15006150061235</v>
      </c>
    </row>
    <row r="1082" spans="1:8" ht="15" customHeight="1" x14ac:dyDescent="0.25">
      <c r="A1082" s="110" t="s">
        <v>4132</v>
      </c>
      <c r="B1082" s="125" t="s">
        <v>1762</v>
      </c>
      <c r="C1082" s="138">
        <v>0.7</v>
      </c>
      <c r="D1082" s="138">
        <v>42</v>
      </c>
      <c r="E1082" s="138">
        <v>85.714285714285708</v>
      </c>
      <c r="F1082" s="139">
        <v>0.7</v>
      </c>
      <c r="H1082" t="str">
        <f t="shared" si="19"/>
        <v>15006150061235</v>
      </c>
    </row>
    <row r="1083" spans="1:8" ht="15" customHeight="1" x14ac:dyDescent="0.25">
      <c r="A1083" s="110" t="s">
        <v>4133</v>
      </c>
      <c r="B1083" s="125" t="s">
        <v>1077</v>
      </c>
      <c r="C1083" s="138">
        <v>0.51</v>
      </c>
      <c r="D1083" s="138">
        <v>30.6</v>
      </c>
      <c r="E1083" s="138">
        <v>117.64705882352941</v>
      </c>
      <c r="F1083" s="139">
        <v>0.51</v>
      </c>
      <c r="H1083" t="str">
        <f t="shared" si="19"/>
        <v>15006150061236</v>
      </c>
    </row>
    <row r="1084" spans="1:8" ht="15" customHeight="1" x14ac:dyDescent="0.25">
      <c r="A1084" s="110" t="s">
        <v>4134</v>
      </c>
      <c r="B1084" s="125" t="s">
        <v>1078</v>
      </c>
      <c r="C1084" s="138">
        <v>0.5</v>
      </c>
      <c r="D1084" s="138">
        <v>30</v>
      </c>
      <c r="E1084" s="138">
        <v>120</v>
      </c>
      <c r="F1084" s="139">
        <v>0.5</v>
      </c>
      <c r="H1084" t="str">
        <f t="shared" si="19"/>
        <v>15006150061237</v>
      </c>
    </row>
    <row r="1085" spans="1:8" ht="15" customHeight="1" x14ac:dyDescent="0.25">
      <c r="A1085" s="110" t="s">
        <v>4135</v>
      </c>
      <c r="B1085" s="125" t="s">
        <v>1079</v>
      </c>
      <c r="C1085" s="138">
        <v>0.47</v>
      </c>
      <c r="D1085" s="138">
        <v>28.2</v>
      </c>
      <c r="E1085" s="138">
        <v>127.65957446808511</v>
      </c>
      <c r="F1085" s="139">
        <v>0.47</v>
      </c>
      <c r="H1085" t="str">
        <f t="shared" si="19"/>
        <v>15006150061238</v>
      </c>
    </row>
    <row r="1086" spans="1:8" ht="15" customHeight="1" x14ac:dyDescent="0.25">
      <c r="A1086" s="110" t="s">
        <v>4136</v>
      </c>
      <c r="B1086" s="125" t="s">
        <v>1080</v>
      </c>
      <c r="C1086" s="138">
        <v>0.47</v>
      </c>
      <c r="D1086" s="138">
        <v>28.2</v>
      </c>
      <c r="E1086" s="138">
        <v>127.65957446808511</v>
      </c>
      <c r="F1086" s="139">
        <v>0.47</v>
      </c>
      <c r="H1086" t="str">
        <f t="shared" si="19"/>
        <v>15006150061239</v>
      </c>
    </row>
    <row r="1087" spans="1:8" ht="15" customHeight="1" x14ac:dyDescent="0.25">
      <c r="A1087" s="110" t="s">
        <v>4137</v>
      </c>
      <c r="B1087" s="125" t="s">
        <v>1081</v>
      </c>
      <c r="C1087" s="138">
        <v>0.46</v>
      </c>
      <c r="D1087" s="138">
        <v>27.6</v>
      </c>
      <c r="E1087" s="138">
        <v>130.43478260869566</v>
      </c>
      <c r="F1087" s="139">
        <v>0.46</v>
      </c>
      <c r="H1087" t="str">
        <f t="shared" si="19"/>
        <v>15006150061240</v>
      </c>
    </row>
    <row r="1088" spans="1:8" ht="15" customHeight="1" x14ac:dyDescent="0.25">
      <c r="A1088" s="110" t="s">
        <v>4137</v>
      </c>
      <c r="B1088" s="125" t="s">
        <v>1760</v>
      </c>
      <c r="C1088" s="138">
        <v>0.7</v>
      </c>
      <c r="D1088" s="138">
        <v>42</v>
      </c>
      <c r="E1088" s="138">
        <v>85.714285714285708</v>
      </c>
      <c r="F1088" s="139">
        <v>0.7</v>
      </c>
      <c r="H1088" t="str">
        <f t="shared" si="19"/>
        <v>15006150061240</v>
      </c>
    </row>
    <row r="1089" spans="1:8" ht="15" customHeight="1" x14ac:dyDescent="0.25">
      <c r="A1089" s="110" t="s">
        <v>4138</v>
      </c>
      <c r="B1089" s="125" t="s">
        <v>1082</v>
      </c>
      <c r="C1089" s="138">
        <v>0.46</v>
      </c>
      <c r="D1089" s="138">
        <v>27.6</v>
      </c>
      <c r="E1089" s="138">
        <v>130.43478260869566</v>
      </c>
      <c r="F1089" s="139">
        <v>0.46</v>
      </c>
      <c r="H1089" t="str">
        <f t="shared" si="19"/>
        <v>15006150061241</v>
      </c>
    </row>
    <row r="1090" spans="1:8" ht="15" customHeight="1" x14ac:dyDescent="0.25">
      <c r="A1090" s="110" t="s">
        <v>4139</v>
      </c>
      <c r="B1090" s="125" t="s">
        <v>1083</v>
      </c>
      <c r="C1090" s="138">
        <v>0.45</v>
      </c>
      <c r="D1090" s="138">
        <v>27</v>
      </c>
      <c r="E1090" s="138">
        <v>133.33333333333334</v>
      </c>
      <c r="F1090" s="139">
        <v>0.45</v>
      </c>
      <c r="H1090" t="str">
        <f t="shared" si="19"/>
        <v>15006150061242</v>
      </c>
    </row>
    <row r="1091" spans="1:8" ht="15" customHeight="1" x14ac:dyDescent="0.25">
      <c r="A1091" s="110" t="s">
        <v>4140</v>
      </c>
      <c r="B1091" s="125" t="s">
        <v>1084</v>
      </c>
      <c r="C1091" s="138">
        <v>0.45</v>
      </c>
      <c r="D1091" s="138">
        <v>27</v>
      </c>
      <c r="E1091" s="138">
        <v>133.33333333333334</v>
      </c>
      <c r="F1091" s="139">
        <v>0.45</v>
      </c>
      <c r="H1091" t="str">
        <f t="shared" si="19"/>
        <v>15006150061243</v>
      </c>
    </row>
    <row r="1092" spans="1:8" ht="15" customHeight="1" x14ac:dyDescent="0.25">
      <c r="A1092" s="110" t="s">
        <v>4141</v>
      </c>
      <c r="B1092" s="125" t="s">
        <v>1085</v>
      </c>
      <c r="C1092" s="138">
        <v>0.86</v>
      </c>
      <c r="D1092" s="138">
        <v>51.6</v>
      </c>
      <c r="E1092" s="138">
        <v>69.767441860465112</v>
      </c>
      <c r="F1092" s="139">
        <v>0.86</v>
      </c>
      <c r="H1092" t="str">
        <f t="shared" ref="H1092:H1155" si="20">CONCATENATE($G$835,A1092)</f>
        <v>15006150061244</v>
      </c>
    </row>
    <row r="1093" spans="1:8" ht="15" customHeight="1" x14ac:dyDescent="0.25">
      <c r="A1093" s="110" t="s">
        <v>4142</v>
      </c>
      <c r="B1093" s="125" t="s">
        <v>1086</v>
      </c>
      <c r="C1093" s="138">
        <v>0.86</v>
      </c>
      <c r="D1093" s="138">
        <v>51.6</v>
      </c>
      <c r="E1093" s="138">
        <v>69.767441860465112</v>
      </c>
      <c r="F1093" s="139">
        <v>0.86</v>
      </c>
      <c r="H1093" t="str">
        <f t="shared" si="20"/>
        <v>15006150061245</v>
      </c>
    </row>
    <row r="1094" spans="1:8" ht="15" customHeight="1" x14ac:dyDescent="0.25">
      <c r="A1094" s="110" t="s">
        <v>4143</v>
      </c>
      <c r="B1094" s="125" t="s">
        <v>1087</v>
      </c>
      <c r="C1094" s="138">
        <v>0.86</v>
      </c>
      <c r="D1094" s="138">
        <v>51.6</v>
      </c>
      <c r="E1094" s="138">
        <v>69.767441860465112</v>
      </c>
      <c r="F1094" s="139">
        <v>0.86</v>
      </c>
      <c r="H1094" t="str">
        <f t="shared" si="20"/>
        <v>15006150061246</v>
      </c>
    </row>
    <row r="1095" spans="1:8" ht="15" customHeight="1" x14ac:dyDescent="0.25">
      <c r="A1095" s="110" t="s">
        <v>4144</v>
      </c>
      <c r="B1095" s="125" t="s">
        <v>1088</v>
      </c>
      <c r="C1095" s="138">
        <v>0.86</v>
      </c>
      <c r="D1095" s="138">
        <v>51.6</v>
      </c>
      <c r="E1095" s="138">
        <v>69.767441860465112</v>
      </c>
      <c r="F1095" s="139">
        <v>0.86</v>
      </c>
      <c r="H1095" t="str">
        <f t="shared" si="20"/>
        <v>15006150061247</v>
      </c>
    </row>
    <row r="1096" spans="1:8" ht="15" customHeight="1" x14ac:dyDescent="0.25">
      <c r="A1096" s="110" t="s">
        <v>4145</v>
      </c>
      <c r="B1096" s="125" t="s">
        <v>1089</v>
      </c>
      <c r="C1096" s="138">
        <v>2.67</v>
      </c>
      <c r="D1096" s="138">
        <v>160.19999999999999</v>
      </c>
      <c r="E1096" s="138">
        <v>22.471910112359552</v>
      </c>
      <c r="F1096" s="139">
        <v>2.67</v>
      </c>
      <c r="H1096" t="str">
        <f t="shared" si="20"/>
        <v>15006150061248</v>
      </c>
    </row>
    <row r="1097" spans="1:8" ht="15" customHeight="1" x14ac:dyDescent="0.25">
      <c r="A1097" s="110" t="s">
        <v>4146</v>
      </c>
      <c r="B1097" s="125" t="s">
        <v>1090</v>
      </c>
      <c r="C1097" s="138">
        <v>2.67</v>
      </c>
      <c r="D1097" s="138">
        <v>160.19999999999999</v>
      </c>
      <c r="E1097" s="138">
        <v>22.471910112359552</v>
      </c>
      <c r="F1097" s="139">
        <v>2.67</v>
      </c>
      <c r="H1097" t="str">
        <f t="shared" si="20"/>
        <v>15006150061249</v>
      </c>
    </row>
    <row r="1098" spans="1:8" ht="15" customHeight="1" x14ac:dyDescent="0.25">
      <c r="A1098" s="110" t="s">
        <v>4147</v>
      </c>
      <c r="B1098" s="125" t="s">
        <v>1091</v>
      </c>
      <c r="C1098" s="138">
        <v>0.7</v>
      </c>
      <c r="D1098" s="138">
        <v>42</v>
      </c>
      <c r="E1098" s="138">
        <v>85.714285714285708</v>
      </c>
      <c r="F1098" s="139">
        <v>0.7</v>
      </c>
      <c r="H1098" t="str">
        <f t="shared" si="20"/>
        <v>15006150061250</v>
      </c>
    </row>
    <row r="1099" spans="1:8" ht="15" customHeight="1" x14ac:dyDescent="0.25">
      <c r="A1099" s="110" t="s">
        <v>4147</v>
      </c>
      <c r="B1099" s="125" t="s">
        <v>1763</v>
      </c>
      <c r="C1099" s="138">
        <v>0.66</v>
      </c>
      <c r="D1099" s="138">
        <v>39.6</v>
      </c>
      <c r="E1099" s="138">
        <v>90.909090909090907</v>
      </c>
      <c r="F1099" s="139">
        <v>0.66</v>
      </c>
      <c r="H1099" t="str">
        <f t="shared" si="20"/>
        <v>15006150061250</v>
      </c>
    </row>
    <row r="1100" spans="1:8" ht="15" customHeight="1" x14ac:dyDescent="0.25">
      <c r="A1100" s="110" t="s">
        <v>3436</v>
      </c>
      <c r="B1100" s="125" t="s">
        <v>1092</v>
      </c>
      <c r="C1100" s="138">
        <v>0.7</v>
      </c>
      <c r="D1100" s="138">
        <v>42</v>
      </c>
      <c r="E1100" s="138">
        <v>85.714285714285708</v>
      </c>
      <c r="F1100" s="139">
        <v>0.7</v>
      </c>
      <c r="H1100" t="str">
        <f t="shared" si="20"/>
        <v>15006150061251</v>
      </c>
    </row>
    <row r="1101" spans="1:8" ht="15" customHeight="1" x14ac:dyDescent="0.25">
      <c r="A1101" s="110" t="s">
        <v>4148</v>
      </c>
      <c r="B1101" s="125" t="s">
        <v>1093</v>
      </c>
      <c r="C1101" s="138">
        <v>0.7</v>
      </c>
      <c r="D1101" s="138">
        <v>42</v>
      </c>
      <c r="E1101" s="138">
        <v>85.714285714285708</v>
      </c>
      <c r="F1101" s="139">
        <v>0.7</v>
      </c>
      <c r="H1101" t="str">
        <f t="shared" si="20"/>
        <v>15006150061252</v>
      </c>
    </row>
    <row r="1102" spans="1:8" ht="15" customHeight="1" x14ac:dyDescent="0.25">
      <c r="A1102" s="110" t="s">
        <v>4149</v>
      </c>
      <c r="B1102" s="125" t="s">
        <v>1094</v>
      </c>
      <c r="C1102" s="138">
        <v>0.4</v>
      </c>
      <c r="D1102" s="138">
        <v>24</v>
      </c>
      <c r="E1102" s="138">
        <v>150</v>
      </c>
      <c r="F1102" s="139">
        <v>0.4</v>
      </c>
      <c r="H1102" t="str">
        <f t="shared" si="20"/>
        <v>15006150061253</v>
      </c>
    </row>
    <row r="1103" spans="1:8" ht="15" customHeight="1" x14ac:dyDescent="0.25">
      <c r="A1103" s="110" t="s">
        <v>4150</v>
      </c>
      <c r="B1103" s="125" t="s">
        <v>1095</v>
      </c>
      <c r="C1103" s="138">
        <v>0.7</v>
      </c>
      <c r="D1103" s="138">
        <v>42</v>
      </c>
      <c r="E1103" s="138">
        <v>85.714285714285708</v>
      </c>
      <c r="F1103" s="139">
        <v>0.7</v>
      </c>
      <c r="H1103" t="str">
        <f t="shared" si="20"/>
        <v>15006150061254</v>
      </c>
    </row>
    <row r="1104" spans="1:8" ht="15" customHeight="1" x14ac:dyDescent="0.25">
      <c r="A1104" s="110" t="s">
        <v>3437</v>
      </c>
      <c r="B1104" s="125" t="s">
        <v>1096</v>
      </c>
      <c r="C1104" s="138">
        <v>0.7</v>
      </c>
      <c r="D1104" s="138">
        <v>42</v>
      </c>
      <c r="E1104" s="138">
        <v>85.714285714285708</v>
      </c>
      <c r="F1104" s="139">
        <v>0.7</v>
      </c>
      <c r="H1104" t="str">
        <f t="shared" si="20"/>
        <v>15006150061255</v>
      </c>
    </row>
    <row r="1105" spans="1:8" ht="15" customHeight="1" x14ac:dyDescent="0.25">
      <c r="A1105" s="110" t="s">
        <v>3437</v>
      </c>
      <c r="B1105" s="125" t="s">
        <v>1764</v>
      </c>
      <c r="C1105" s="138">
        <v>0.66</v>
      </c>
      <c r="D1105" s="138">
        <v>39.6</v>
      </c>
      <c r="E1105" s="138">
        <v>90.909090909090907</v>
      </c>
      <c r="F1105" s="139">
        <v>0.66</v>
      </c>
      <c r="H1105" t="str">
        <f t="shared" si="20"/>
        <v>15006150061255</v>
      </c>
    </row>
    <row r="1106" spans="1:8" ht="15" customHeight="1" x14ac:dyDescent="0.25">
      <c r="A1106" s="110" t="s">
        <v>4151</v>
      </c>
      <c r="B1106" s="125" t="s">
        <v>1097</v>
      </c>
      <c r="C1106" s="138">
        <v>0.7</v>
      </c>
      <c r="D1106" s="138">
        <v>42</v>
      </c>
      <c r="E1106" s="138">
        <v>85.714285714285708</v>
      </c>
      <c r="F1106" s="139">
        <v>0.7</v>
      </c>
      <c r="H1106" t="str">
        <f t="shared" si="20"/>
        <v>15006150061256</v>
      </c>
    </row>
    <row r="1107" spans="1:8" ht="15" customHeight="1" x14ac:dyDescent="0.25">
      <c r="A1107" s="110" t="s">
        <v>4152</v>
      </c>
      <c r="B1107" s="125" t="s">
        <v>1098</v>
      </c>
      <c r="C1107" s="138">
        <v>0.7</v>
      </c>
      <c r="D1107" s="138">
        <v>42</v>
      </c>
      <c r="E1107" s="138">
        <v>85.714285714285708</v>
      </c>
      <c r="F1107" s="139">
        <v>0.7</v>
      </c>
      <c r="H1107" t="str">
        <f t="shared" si="20"/>
        <v>15006150061257</v>
      </c>
    </row>
    <row r="1108" spans="1:8" ht="15" customHeight="1" x14ac:dyDescent="0.25">
      <c r="A1108" s="110" t="s">
        <v>4153</v>
      </c>
      <c r="B1108" s="125" t="s">
        <v>1099</v>
      </c>
      <c r="C1108" s="138">
        <v>0.4</v>
      </c>
      <c r="D1108" s="138">
        <v>24</v>
      </c>
      <c r="E1108" s="138">
        <v>150</v>
      </c>
      <c r="F1108" s="139">
        <v>0.4</v>
      </c>
      <c r="H1108" t="str">
        <f t="shared" si="20"/>
        <v>15006150061258</v>
      </c>
    </row>
    <row r="1109" spans="1:8" ht="15" customHeight="1" x14ac:dyDescent="0.25">
      <c r="A1109" s="110" t="s">
        <v>4154</v>
      </c>
      <c r="B1109" s="125" t="s">
        <v>1100</v>
      </c>
      <c r="C1109" s="138">
        <v>0.4</v>
      </c>
      <c r="D1109" s="138">
        <v>24</v>
      </c>
      <c r="E1109" s="138">
        <v>150</v>
      </c>
      <c r="F1109" s="139">
        <v>0.4</v>
      </c>
      <c r="H1109" t="str">
        <f t="shared" si="20"/>
        <v>15006150061259</v>
      </c>
    </row>
    <row r="1110" spans="1:8" ht="15" customHeight="1" x14ac:dyDescent="0.25">
      <c r="A1110" s="110" t="s">
        <v>4155</v>
      </c>
      <c r="B1110" s="125" t="s">
        <v>1765</v>
      </c>
      <c r="C1110" s="138">
        <v>0.66</v>
      </c>
      <c r="D1110" s="138">
        <v>39.6</v>
      </c>
      <c r="E1110" s="138">
        <v>90.909090909090907</v>
      </c>
      <c r="F1110" s="139">
        <v>0.66</v>
      </c>
      <c r="H1110" t="str">
        <f t="shared" si="20"/>
        <v>15006150061260</v>
      </c>
    </row>
    <row r="1111" spans="1:8" ht="15" customHeight="1" x14ac:dyDescent="0.25">
      <c r="A1111" s="110" t="s">
        <v>4156</v>
      </c>
      <c r="B1111" s="125" t="s">
        <v>555</v>
      </c>
      <c r="C1111" s="138">
        <v>0.97</v>
      </c>
      <c r="D1111" s="138">
        <v>58.199999999999996</v>
      </c>
      <c r="E1111" s="138">
        <v>61.855670103092791</v>
      </c>
      <c r="F1111" s="139">
        <v>0.97</v>
      </c>
      <c r="H1111" t="str">
        <f t="shared" si="20"/>
        <v>15006150061261</v>
      </c>
    </row>
    <row r="1112" spans="1:8" ht="15" customHeight="1" x14ac:dyDescent="0.25">
      <c r="A1112" s="110" t="s">
        <v>4157</v>
      </c>
      <c r="B1112" s="125" t="s">
        <v>1101</v>
      </c>
      <c r="C1112" s="138">
        <v>0.97</v>
      </c>
      <c r="D1112" s="138">
        <v>58.199999999999996</v>
      </c>
      <c r="E1112" s="138">
        <v>61.855670103092791</v>
      </c>
      <c r="F1112" s="139">
        <v>0.97</v>
      </c>
      <c r="H1112" t="str">
        <f t="shared" si="20"/>
        <v>15006150061262</v>
      </c>
    </row>
    <row r="1113" spans="1:8" ht="15" customHeight="1" x14ac:dyDescent="0.25">
      <c r="A1113" s="110" t="s">
        <v>4158</v>
      </c>
      <c r="B1113" s="125" t="s">
        <v>1102</v>
      </c>
      <c r="C1113" s="138">
        <v>0.4</v>
      </c>
      <c r="D1113" s="138">
        <v>24</v>
      </c>
      <c r="E1113" s="138">
        <v>150</v>
      </c>
      <c r="F1113" s="139">
        <v>0.4</v>
      </c>
      <c r="H1113" t="str">
        <f t="shared" si="20"/>
        <v>15006150061263</v>
      </c>
    </row>
    <row r="1114" spans="1:8" ht="15" customHeight="1" x14ac:dyDescent="0.25">
      <c r="A1114" s="110" t="s">
        <v>4159</v>
      </c>
      <c r="B1114" s="125" t="s">
        <v>556</v>
      </c>
      <c r="C1114" s="138">
        <v>0.4</v>
      </c>
      <c r="D1114" s="138">
        <v>24</v>
      </c>
      <c r="E1114" s="138">
        <v>150</v>
      </c>
      <c r="F1114" s="139">
        <v>0.4</v>
      </c>
      <c r="H1114" t="str">
        <f t="shared" si="20"/>
        <v>15006150061264</v>
      </c>
    </row>
    <row r="1115" spans="1:8" ht="15" customHeight="1" x14ac:dyDescent="0.25">
      <c r="A1115" s="110" t="s">
        <v>4160</v>
      </c>
      <c r="B1115" s="125" t="s">
        <v>1103</v>
      </c>
      <c r="C1115" s="138">
        <v>0.75</v>
      </c>
      <c r="D1115" s="138">
        <v>45</v>
      </c>
      <c r="E1115" s="138">
        <v>80</v>
      </c>
      <c r="F1115" s="139">
        <v>0.75</v>
      </c>
      <c r="H1115" t="str">
        <f t="shared" si="20"/>
        <v>15006150061265</v>
      </c>
    </row>
    <row r="1116" spans="1:8" ht="15" customHeight="1" x14ac:dyDescent="0.25">
      <c r="A1116" s="110" t="s">
        <v>4160</v>
      </c>
      <c r="B1116" s="125" t="s">
        <v>1766</v>
      </c>
      <c r="C1116" s="138">
        <v>0.66</v>
      </c>
      <c r="D1116" s="138">
        <v>39.6</v>
      </c>
      <c r="E1116" s="138">
        <v>90.909090909090907</v>
      </c>
      <c r="F1116" s="139">
        <v>0.66</v>
      </c>
      <c r="H1116" t="str">
        <f t="shared" si="20"/>
        <v>15006150061265</v>
      </c>
    </row>
    <row r="1117" spans="1:8" ht="15" customHeight="1" x14ac:dyDescent="0.25">
      <c r="A1117" s="110" t="s">
        <v>4161</v>
      </c>
      <c r="B1117" s="125" t="s">
        <v>1104</v>
      </c>
      <c r="C1117" s="138">
        <v>0.75</v>
      </c>
      <c r="D1117" s="138">
        <v>45</v>
      </c>
      <c r="E1117" s="138">
        <v>80</v>
      </c>
      <c r="F1117" s="139">
        <v>0.75</v>
      </c>
      <c r="H1117" t="str">
        <f t="shared" si="20"/>
        <v>15006150061266</v>
      </c>
    </row>
    <row r="1118" spans="1:8" ht="15" customHeight="1" x14ac:dyDescent="0.25">
      <c r="A1118" s="110" t="s">
        <v>4162</v>
      </c>
      <c r="B1118" s="125" t="s">
        <v>1105</v>
      </c>
      <c r="C1118" s="138">
        <v>0.75</v>
      </c>
      <c r="D1118" s="138">
        <v>45</v>
      </c>
      <c r="E1118" s="138">
        <v>80</v>
      </c>
      <c r="F1118" s="139">
        <v>0.75</v>
      </c>
      <c r="H1118" t="str">
        <f t="shared" si="20"/>
        <v>15006150061267</v>
      </c>
    </row>
    <row r="1119" spans="1:8" ht="15" customHeight="1" x14ac:dyDescent="0.25">
      <c r="A1119" s="110" t="s">
        <v>4163</v>
      </c>
      <c r="B1119" s="125" t="s">
        <v>542</v>
      </c>
      <c r="C1119" s="138">
        <v>0.47</v>
      </c>
      <c r="D1119" s="138">
        <v>28.2</v>
      </c>
      <c r="E1119" s="138">
        <v>127.65957446808511</v>
      </c>
      <c r="F1119" s="139">
        <v>0.47</v>
      </c>
      <c r="H1119" t="str">
        <f t="shared" si="20"/>
        <v>15006150061268</v>
      </c>
    </row>
    <row r="1120" spans="1:8" ht="15" customHeight="1" x14ac:dyDescent="0.25">
      <c r="A1120" s="110" t="s">
        <v>4164</v>
      </c>
      <c r="B1120" s="125" t="s">
        <v>543</v>
      </c>
      <c r="C1120" s="138">
        <v>0.47</v>
      </c>
      <c r="D1120" s="138">
        <v>28.2</v>
      </c>
      <c r="E1120" s="138">
        <v>127.65957446808511</v>
      </c>
      <c r="F1120" s="139">
        <v>0.47</v>
      </c>
      <c r="H1120" t="str">
        <f t="shared" si="20"/>
        <v>15006150061269</v>
      </c>
    </row>
    <row r="1121" spans="1:8" ht="15" customHeight="1" x14ac:dyDescent="0.25">
      <c r="A1121" s="110" t="s">
        <v>4165</v>
      </c>
      <c r="B1121" s="125" t="s">
        <v>1106</v>
      </c>
      <c r="C1121" s="138">
        <v>0.56999999999999995</v>
      </c>
      <c r="D1121" s="138">
        <v>34.199999999999996</v>
      </c>
      <c r="E1121" s="138">
        <v>105.26315789473685</v>
      </c>
      <c r="F1121" s="139">
        <v>0.56999999999999995</v>
      </c>
      <c r="H1121" t="str">
        <f t="shared" si="20"/>
        <v>15006150061270</v>
      </c>
    </row>
    <row r="1122" spans="1:8" ht="15" customHeight="1" x14ac:dyDescent="0.25">
      <c r="A1122" s="110" t="s">
        <v>4165</v>
      </c>
      <c r="B1122" s="125" t="s">
        <v>1767</v>
      </c>
      <c r="C1122" s="138">
        <v>0.66</v>
      </c>
      <c r="D1122" s="138">
        <v>39.6</v>
      </c>
      <c r="E1122" s="138">
        <v>90.909090909090907</v>
      </c>
      <c r="F1122" s="139">
        <v>0.66</v>
      </c>
      <c r="H1122" t="str">
        <f t="shared" si="20"/>
        <v>15006150061270</v>
      </c>
    </row>
    <row r="1123" spans="1:8" ht="15" customHeight="1" x14ac:dyDescent="0.25">
      <c r="A1123" s="110" t="s">
        <v>4166</v>
      </c>
      <c r="B1123" s="125" t="s">
        <v>1107</v>
      </c>
      <c r="C1123" s="138">
        <v>0.56999999999999995</v>
      </c>
      <c r="D1123" s="138">
        <v>34.199999999999996</v>
      </c>
      <c r="E1123" s="138">
        <v>105.26315789473685</v>
      </c>
      <c r="F1123" s="139">
        <v>0.56999999999999995</v>
      </c>
      <c r="H1123" t="str">
        <f t="shared" si="20"/>
        <v>15006150061271</v>
      </c>
    </row>
    <row r="1124" spans="1:8" ht="15" customHeight="1" x14ac:dyDescent="0.25">
      <c r="A1124" s="110" t="s">
        <v>4167</v>
      </c>
      <c r="B1124" s="125" t="s">
        <v>1108</v>
      </c>
      <c r="C1124" s="138">
        <v>0.5</v>
      </c>
      <c r="D1124" s="138">
        <v>30</v>
      </c>
      <c r="E1124" s="138">
        <v>120</v>
      </c>
      <c r="F1124" s="139">
        <v>0.5</v>
      </c>
      <c r="H1124" t="str">
        <f t="shared" si="20"/>
        <v>15006150061272</v>
      </c>
    </row>
    <row r="1125" spans="1:8" ht="15" customHeight="1" x14ac:dyDescent="0.25">
      <c r="A1125" s="110" t="s">
        <v>4168</v>
      </c>
      <c r="B1125" s="125" t="s">
        <v>1109</v>
      </c>
      <c r="C1125" s="138">
        <v>0.5</v>
      </c>
      <c r="D1125" s="138">
        <v>30</v>
      </c>
      <c r="E1125" s="138">
        <v>120</v>
      </c>
      <c r="F1125" s="139">
        <v>0.5</v>
      </c>
      <c r="H1125" t="str">
        <f t="shared" si="20"/>
        <v>15006150061273</v>
      </c>
    </row>
    <row r="1126" spans="1:8" ht="15" customHeight="1" x14ac:dyDescent="0.25">
      <c r="A1126" s="110" t="s">
        <v>4169</v>
      </c>
      <c r="B1126" s="125" t="s">
        <v>1110</v>
      </c>
      <c r="C1126" s="138">
        <v>0.09</v>
      </c>
      <c r="D1126" s="138">
        <v>5.3999999999999995</v>
      </c>
      <c r="E1126" s="138">
        <v>666.66666666666674</v>
      </c>
      <c r="F1126" s="139">
        <v>0.09</v>
      </c>
      <c r="H1126" t="str">
        <f t="shared" si="20"/>
        <v>15006150061274</v>
      </c>
    </row>
    <row r="1127" spans="1:8" ht="15" customHeight="1" x14ac:dyDescent="0.25">
      <c r="A1127" s="110" t="s">
        <v>4170</v>
      </c>
      <c r="B1127" s="125" t="s">
        <v>1111</v>
      </c>
      <c r="C1127" s="138">
        <v>0.5</v>
      </c>
      <c r="D1127" s="138">
        <v>30</v>
      </c>
      <c r="E1127" s="138">
        <v>120</v>
      </c>
      <c r="F1127" s="139">
        <v>0.5</v>
      </c>
      <c r="H1127" t="str">
        <f t="shared" si="20"/>
        <v>15006150061275</v>
      </c>
    </row>
    <row r="1128" spans="1:8" ht="15" customHeight="1" x14ac:dyDescent="0.25">
      <c r="A1128" s="110" t="s">
        <v>4171</v>
      </c>
      <c r="B1128" s="125" t="s">
        <v>610</v>
      </c>
      <c r="C1128" s="138">
        <v>0.5</v>
      </c>
      <c r="D1128" s="138">
        <v>30</v>
      </c>
      <c r="E1128" s="138">
        <v>120</v>
      </c>
      <c r="F1128" s="139">
        <v>0.5</v>
      </c>
      <c r="H1128" t="str">
        <f t="shared" si="20"/>
        <v>15006150061276</v>
      </c>
    </row>
    <row r="1129" spans="1:8" ht="15" customHeight="1" x14ac:dyDescent="0.25">
      <c r="A1129" s="110" t="s">
        <v>4172</v>
      </c>
      <c r="B1129" s="125" t="s">
        <v>611</v>
      </c>
      <c r="C1129" s="138">
        <v>0.5</v>
      </c>
      <c r="D1129" s="138">
        <v>30</v>
      </c>
      <c r="E1129" s="138">
        <v>120</v>
      </c>
      <c r="F1129" s="139">
        <v>0.5</v>
      </c>
      <c r="H1129" t="str">
        <f t="shared" si="20"/>
        <v>15006150061277</v>
      </c>
    </row>
    <row r="1130" spans="1:8" ht="15" customHeight="1" x14ac:dyDescent="0.25">
      <c r="A1130" s="110" t="s">
        <v>4173</v>
      </c>
      <c r="B1130" s="125" t="s">
        <v>612</v>
      </c>
      <c r="C1130" s="138">
        <v>0.67</v>
      </c>
      <c r="D1130" s="138">
        <v>40.200000000000003</v>
      </c>
      <c r="E1130" s="138">
        <v>89.552238805970148</v>
      </c>
      <c r="F1130" s="139">
        <v>0.67</v>
      </c>
      <c r="H1130" t="str">
        <f t="shared" si="20"/>
        <v>15006150061278</v>
      </c>
    </row>
    <row r="1131" spans="1:8" ht="15" customHeight="1" x14ac:dyDescent="0.25">
      <c r="A1131" s="110" t="s">
        <v>4174</v>
      </c>
      <c r="B1131" s="125" t="s">
        <v>613</v>
      </c>
      <c r="C1131" s="138">
        <v>0.67</v>
      </c>
      <c r="D1131" s="138">
        <v>40.200000000000003</v>
      </c>
      <c r="E1131" s="138">
        <v>89.552238805970148</v>
      </c>
      <c r="F1131" s="139">
        <v>0.67</v>
      </c>
      <c r="H1131" t="str">
        <f t="shared" si="20"/>
        <v>15006150061279</v>
      </c>
    </row>
    <row r="1132" spans="1:8" ht="15" customHeight="1" x14ac:dyDescent="0.25">
      <c r="A1132" s="110" t="s">
        <v>4175</v>
      </c>
      <c r="B1132" s="125" t="s">
        <v>614</v>
      </c>
      <c r="C1132" s="138">
        <v>0.75</v>
      </c>
      <c r="D1132" s="138">
        <v>45</v>
      </c>
      <c r="E1132" s="138">
        <v>80</v>
      </c>
      <c r="F1132" s="139">
        <v>0.75</v>
      </c>
      <c r="H1132" t="str">
        <f t="shared" si="20"/>
        <v>15006150061280</v>
      </c>
    </row>
    <row r="1133" spans="1:8" ht="15" customHeight="1" x14ac:dyDescent="0.25">
      <c r="A1133" s="110" t="s">
        <v>4176</v>
      </c>
      <c r="B1133" s="125" t="s">
        <v>615</v>
      </c>
      <c r="C1133" s="138">
        <v>0.75</v>
      </c>
      <c r="D1133" s="138">
        <v>45</v>
      </c>
      <c r="E1133" s="138">
        <v>80</v>
      </c>
      <c r="F1133" s="139">
        <v>0.75</v>
      </c>
      <c r="H1133" t="str">
        <f t="shared" si="20"/>
        <v>15006150061281</v>
      </c>
    </row>
    <row r="1134" spans="1:8" ht="15" customHeight="1" x14ac:dyDescent="0.25">
      <c r="A1134" s="110" t="s">
        <v>4177</v>
      </c>
      <c r="B1134" s="125" t="s">
        <v>616</v>
      </c>
      <c r="C1134" s="138">
        <v>0.6</v>
      </c>
      <c r="D1134" s="138">
        <v>36</v>
      </c>
      <c r="E1134" s="138">
        <v>100</v>
      </c>
      <c r="F1134" s="139">
        <v>0.6</v>
      </c>
      <c r="H1134" t="str">
        <f t="shared" si="20"/>
        <v>15006150061282</v>
      </c>
    </row>
    <row r="1135" spans="1:8" ht="15" customHeight="1" x14ac:dyDescent="0.25">
      <c r="A1135" s="110" t="s">
        <v>4178</v>
      </c>
      <c r="B1135" s="125" t="s">
        <v>617</v>
      </c>
      <c r="C1135" s="138">
        <v>0.6</v>
      </c>
      <c r="D1135" s="138">
        <v>36</v>
      </c>
      <c r="E1135" s="138">
        <v>100</v>
      </c>
      <c r="F1135" s="139">
        <v>0.6</v>
      </c>
      <c r="H1135" t="str">
        <f t="shared" si="20"/>
        <v>15006150061283</v>
      </c>
    </row>
    <row r="1136" spans="1:8" ht="15" customHeight="1" x14ac:dyDescent="0.25">
      <c r="A1136" s="110" t="s">
        <v>4179</v>
      </c>
      <c r="B1136" s="125" t="s">
        <v>618</v>
      </c>
      <c r="C1136" s="138">
        <v>0.6</v>
      </c>
      <c r="D1136" s="138">
        <v>36</v>
      </c>
      <c r="E1136" s="138">
        <v>100</v>
      </c>
      <c r="F1136" s="139">
        <v>0.6</v>
      </c>
      <c r="H1136" t="str">
        <f t="shared" si="20"/>
        <v>15006150061284</v>
      </c>
    </row>
    <row r="1137" spans="1:8" ht="15" customHeight="1" x14ac:dyDescent="0.25">
      <c r="A1137" s="110" t="s">
        <v>4180</v>
      </c>
      <c r="B1137" s="125" t="s">
        <v>619</v>
      </c>
      <c r="C1137" s="138">
        <v>0.6</v>
      </c>
      <c r="D1137" s="138">
        <v>36</v>
      </c>
      <c r="E1137" s="138">
        <v>100</v>
      </c>
      <c r="F1137" s="139">
        <v>0.6</v>
      </c>
      <c r="H1137" t="str">
        <f t="shared" si="20"/>
        <v>15006150061285</v>
      </c>
    </row>
    <row r="1138" spans="1:8" ht="15" customHeight="1" x14ac:dyDescent="0.25">
      <c r="A1138" s="110" t="s">
        <v>4180</v>
      </c>
      <c r="B1138" s="125" t="s">
        <v>1768</v>
      </c>
      <c r="C1138" s="138">
        <v>0.66</v>
      </c>
      <c r="D1138" s="138">
        <v>39.6</v>
      </c>
      <c r="E1138" s="138">
        <v>90.909090909090907</v>
      </c>
      <c r="F1138" s="139">
        <v>0.66</v>
      </c>
      <c r="H1138" t="str">
        <f t="shared" si="20"/>
        <v>15006150061285</v>
      </c>
    </row>
    <row r="1139" spans="1:8" ht="15" customHeight="1" x14ac:dyDescent="0.25">
      <c r="A1139" s="110" t="s">
        <v>4181</v>
      </c>
      <c r="B1139" s="125" t="s">
        <v>620</v>
      </c>
      <c r="C1139" s="138">
        <v>0.54</v>
      </c>
      <c r="D1139" s="138">
        <v>32.400000000000006</v>
      </c>
      <c r="E1139" s="138">
        <v>111.11111111111109</v>
      </c>
      <c r="F1139" s="139">
        <v>0.54</v>
      </c>
      <c r="H1139" t="str">
        <f t="shared" si="20"/>
        <v>15006150061286</v>
      </c>
    </row>
    <row r="1140" spans="1:8" ht="15" customHeight="1" x14ac:dyDescent="0.25">
      <c r="A1140" s="110" t="s">
        <v>4182</v>
      </c>
      <c r="B1140" s="125" t="s">
        <v>621</v>
      </c>
      <c r="C1140" s="138">
        <v>0.54</v>
      </c>
      <c r="D1140" s="138">
        <v>32.400000000000006</v>
      </c>
      <c r="E1140" s="138">
        <v>111.11111111111109</v>
      </c>
      <c r="F1140" s="139">
        <v>0.54</v>
      </c>
      <c r="H1140" t="str">
        <f t="shared" si="20"/>
        <v>15006150061287</v>
      </c>
    </row>
    <row r="1141" spans="1:8" ht="15" customHeight="1" x14ac:dyDescent="0.25">
      <c r="A1141" s="110" t="s">
        <v>4183</v>
      </c>
      <c r="B1141" s="125" t="s">
        <v>622</v>
      </c>
      <c r="C1141" s="138">
        <v>0.54</v>
      </c>
      <c r="D1141" s="138">
        <v>32.400000000000006</v>
      </c>
      <c r="E1141" s="138">
        <v>111.11111111111109</v>
      </c>
      <c r="F1141" s="139">
        <v>0.54</v>
      </c>
      <c r="H1141" t="str">
        <f t="shared" si="20"/>
        <v>15006150061288</v>
      </c>
    </row>
    <row r="1142" spans="1:8" ht="15" customHeight="1" x14ac:dyDescent="0.25">
      <c r="A1142" s="110" t="s">
        <v>4184</v>
      </c>
      <c r="B1142" s="125" t="s">
        <v>623</v>
      </c>
      <c r="C1142" s="138">
        <v>0.54</v>
      </c>
      <c r="D1142" s="138">
        <v>32.400000000000006</v>
      </c>
      <c r="E1142" s="138">
        <v>111.11111111111109</v>
      </c>
      <c r="F1142" s="139">
        <v>0.54</v>
      </c>
      <c r="H1142" t="str">
        <f t="shared" si="20"/>
        <v>15006150061289</v>
      </c>
    </row>
    <row r="1143" spans="1:8" ht="15" customHeight="1" x14ac:dyDescent="0.25">
      <c r="A1143" s="110" t="s">
        <v>4185</v>
      </c>
      <c r="B1143" s="125" t="s">
        <v>1112</v>
      </c>
      <c r="C1143" s="138">
        <v>0.45</v>
      </c>
      <c r="D1143" s="138">
        <v>27</v>
      </c>
      <c r="E1143" s="138">
        <v>133.33333333333334</v>
      </c>
      <c r="F1143" s="139">
        <v>0.45</v>
      </c>
      <c r="H1143" t="str">
        <f t="shared" si="20"/>
        <v>15006150061292</v>
      </c>
    </row>
    <row r="1144" spans="1:8" ht="15" customHeight="1" x14ac:dyDescent="0.25">
      <c r="A1144" s="110" t="s">
        <v>4186</v>
      </c>
      <c r="B1144" s="125" t="s">
        <v>176</v>
      </c>
      <c r="C1144" s="138">
        <v>0.45</v>
      </c>
      <c r="D1144" s="138">
        <v>27</v>
      </c>
      <c r="E1144" s="138">
        <v>133.33333333333334</v>
      </c>
      <c r="F1144" s="139">
        <v>0.45</v>
      </c>
      <c r="H1144" t="str">
        <f t="shared" si="20"/>
        <v>15006150061293</v>
      </c>
    </row>
    <row r="1145" spans="1:8" ht="15" customHeight="1" x14ac:dyDescent="0.25">
      <c r="A1145" s="110" t="s">
        <v>4187</v>
      </c>
      <c r="B1145" s="125" t="s">
        <v>1113</v>
      </c>
      <c r="C1145" s="138">
        <v>0.45</v>
      </c>
      <c r="D1145" s="138">
        <v>27</v>
      </c>
      <c r="E1145" s="138">
        <v>133.33333333333334</v>
      </c>
      <c r="F1145" s="139">
        <v>0.45</v>
      </c>
      <c r="H1145" t="str">
        <f t="shared" si="20"/>
        <v>15006150061294</v>
      </c>
    </row>
    <row r="1146" spans="1:8" ht="15" customHeight="1" x14ac:dyDescent="0.25">
      <c r="A1146" s="110" t="s">
        <v>4188</v>
      </c>
      <c r="B1146" s="125" t="s">
        <v>177</v>
      </c>
      <c r="C1146" s="138">
        <v>0.45</v>
      </c>
      <c r="D1146" s="138">
        <v>27</v>
      </c>
      <c r="E1146" s="138">
        <v>133.33333333333334</v>
      </c>
      <c r="F1146" s="139">
        <v>0.45</v>
      </c>
      <c r="H1146" t="str">
        <f t="shared" si="20"/>
        <v>15006150061295</v>
      </c>
    </row>
    <row r="1147" spans="1:8" ht="15" customHeight="1" x14ac:dyDescent="0.25">
      <c r="A1147" s="110" t="s">
        <v>4189</v>
      </c>
      <c r="B1147" s="125" t="s">
        <v>178</v>
      </c>
      <c r="C1147" s="138">
        <v>0.5</v>
      </c>
      <c r="D1147" s="138">
        <v>30</v>
      </c>
      <c r="E1147" s="138">
        <v>120</v>
      </c>
      <c r="F1147" s="139">
        <v>0.5</v>
      </c>
      <c r="H1147" t="str">
        <f t="shared" si="20"/>
        <v>15006150061296</v>
      </c>
    </row>
    <row r="1148" spans="1:8" ht="15" customHeight="1" x14ac:dyDescent="0.25">
      <c r="A1148" s="110" t="s">
        <v>4190</v>
      </c>
      <c r="B1148" s="125" t="s">
        <v>179</v>
      </c>
      <c r="C1148" s="138">
        <v>0.5</v>
      </c>
      <c r="D1148" s="138">
        <v>30</v>
      </c>
      <c r="E1148" s="138">
        <v>120</v>
      </c>
      <c r="F1148" s="139">
        <v>0.5</v>
      </c>
      <c r="H1148" t="str">
        <f t="shared" si="20"/>
        <v>15006150061297</v>
      </c>
    </row>
    <row r="1149" spans="1:8" ht="15" customHeight="1" x14ac:dyDescent="0.25">
      <c r="A1149" s="110" t="s">
        <v>4191</v>
      </c>
      <c r="B1149" s="125" t="s">
        <v>279</v>
      </c>
      <c r="C1149" s="138">
        <v>0.5</v>
      </c>
      <c r="D1149" s="138">
        <v>30</v>
      </c>
      <c r="E1149" s="138">
        <v>120</v>
      </c>
      <c r="F1149" s="139">
        <v>0.5</v>
      </c>
      <c r="H1149" t="str">
        <f t="shared" si="20"/>
        <v>15006150061298</v>
      </c>
    </row>
    <row r="1150" spans="1:8" ht="15" customHeight="1" x14ac:dyDescent="0.25">
      <c r="A1150" s="110" t="s">
        <v>4192</v>
      </c>
      <c r="B1150" s="125" t="s">
        <v>180</v>
      </c>
      <c r="C1150" s="138">
        <v>0.5</v>
      </c>
      <c r="D1150" s="138">
        <v>30</v>
      </c>
      <c r="E1150" s="138">
        <v>120</v>
      </c>
      <c r="F1150" s="139">
        <v>0.5</v>
      </c>
      <c r="H1150" t="str">
        <f t="shared" si="20"/>
        <v>15006150061299</v>
      </c>
    </row>
    <row r="1151" spans="1:8" ht="15" customHeight="1" x14ac:dyDescent="0.25">
      <c r="A1151" s="110" t="s">
        <v>4193</v>
      </c>
      <c r="B1151" s="125" t="s">
        <v>280</v>
      </c>
      <c r="C1151" s="138">
        <v>0.72</v>
      </c>
      <c r="D1151" s="138">
        <v>43.199999999999996</v>
      </c>
      <c r="E1151" s="138">
        <v>83.333333333333343</v>
      </c>
      <c r="F1151" s="139">
        <v>0.72</v>
      </c>
      <c r="H1151" t="str">
        <f t="shared" si="20"/>
        <v>15006150061300</v>
      </c>
    </row>
    <row r="1152" spans="1:8" ht="15" customHeight="1" x14ac:dyDescent="0.25">
      <c r="A1152" s="110" t="s">
        <v>4194</v>
      </c>
      <c r="B1152" s="125" t="s">
        <v>281</v>
      </c>
      <c r="C1152" s="138">
        <v>0.72</v>
      </c>
      <c r="D1152" s="138">
        <v>43.199999999999996</v>
      </c>
      <c r="E1152" s="138">
        <v>83.333333333333343</v>
      </c>
      <c r="F1152" s="139">
        <v>0.72</v>
      </c>
      <c r="H1152" t="str">
        <f t="shared" si="20"/>
        <v>15006150061301</v>
      </c>
    </row>
    <row r="1153" spans="1:8" ht="15" customHeight="1" x14ac:dyDescent="0.25">
      <c r="A1153" s="110" t="s">
        <v>4195</v>
      </c>
      <c r="B1153" s="125" t="s">
        <v>282</v>
      </c>
      <c r="C1153" s="138">
        <v>0.39</v>
      </c>
      <c r="D1153" s="138">
        <v>23.400000000000002</v>
      </c>
      <c r="E1153" s="138">
        <v>153.84615384615384</v>
      </c>
      <c r="F1153" s="139">
        <v>0.39</v>
      </c>
      <c r="H1153" t="str">
        <f t="shared" si="20"/>
        <v>15006150061302</v>
      </c>
    </row>
    <row r="1154" spans="1:8" ht="15" customHeight="1" x14ac:dyDescent="0.25">
      <c r="A1154" s="110" t="s">
        <v>4196</v>
      </c>
      <c r="B1154" s="125" t="s">
        <v>283</v>
      </c>
      <c r="C1154" s="138">
        <v>0.39</v>
      </c>
      <c r="D1154" s="138">
        <v>23.400000000000002</v>
      </c>
      <c r="E1154" s="138">
        <v>153.84615384615384</v>
      </c>
      <c r="F1154" s="139">
        <v>0.39</v>
      </c>
      <c r="H1154" t="str">
        <f t="shared" si="20"/>
        <v>15006150061303</v>
      </c>
    </row>
    <row r="1155" spans="1:8" ht="15" customHeight="1" x14ac:dyDescent="0.25">
      <c r="A1155" s="110" t="s">
        <v>4197</v>
      </c>
      <c r="B1155" s="125" t="s">
        <v>284</v>
      </c>
      <c r="C1155" s="138">
        <v>0.43</v>
      </c>
      <c r="D1155" s="138">
        <v>25.8</v>
      </c>
      <c r="E1155" s="138">
        <v>139.53488372093022</v>
      </c>
      <c r="F1155" s="139">
        <v>0.43</v>
      </c>
      <c r="H1155" t="str">
        <f t="shared" si="20"/>
        <v>15006150061304</v>
      </c>
    </row>
    <row r="1156" spans="1:8" ht="15" customHeight="1" x14ac:dyDescent="0.25">
      <c r="A1156" s="110" t="s">
        <v>4198</v>
      </c>
      <c r="B1156" s="125" t="s">
        <v>285</v>
      </c>
      <c r="C1156" s="138">
        <v>0.43</v>
      </c>
      <c r="D1156" s="138">
        <v>25.8</v>
      </c>
      <c r="E1156" s="138">
        <v>139.53488372093022</v>
      </c>
      <c r="F1156" s="139">
        <v>0.43</v>
      </c>
      <c r="H1156" t="str">
        <f t="shared" ref="H1156:H1219" si="21">CONCATENATE($G$835,A1156)</f>
        <v>15006150061305</v>
      </c>
    </row>
    <row r="1157" spans="1:8" ht="15" customHeight="1" x14ac:dyDescent="0.25">
      <c r="A1157" s="110" t="s">
        <v>4198</v>
      </c>
      <c r="B1157" s="125" t="s">
        <v>1769</v>
      </c>
      <c r="C1157" s="138">
        <v>0.73</v>
      </c>
      <c r="D1157" s="138">
        <v>43.8</v>
      </c>
      <c r="E1157" s="138">
        <v>82.191780821917817</v>
      </c>
      <c r="F1157" s="139">
        <v>0.73</v>
      </c>
      <c r="H1157" t="str">
        <f t="shared" si="21"/>
        <v>15006150061305</v>
      </c>
    </row>
    <row r="1158" spans="1:8" ht="15" customHeight="1" x14ac:dyDescent="0.25">
      <c r="A1158" s="110" t="s">
        <v>4199</v>
      </c>
      <c r="B1158" s="125" t="s">
        <v>367</v>
      </c>
      <c r="C1158" s="138">
        <v>0.64</v>
      </c>
      <c r="D1158" s="138">
        <v>38.4</v>
      </c>
      <c r="E1158" s="138">
        <v>93.75</v>
      </c>
      <c r="F1158" s="139">
        <v>0.64</v>
      </c>
      <c r="H1158" t="str">
        <f t="shared" si="21"/>
        <v>15006150061306</v>
      </c>
    </row>
    <row r="1159" spans="1:8" ht="15" customHeight="1" x14ac:dyDescent="0.25">
      <c r="A1159" s="110" t="s">
        <v>4200</v>
      </c>
      <c r="B1159" s="125" t="s">
        <v>368</v>
      </c>
      <c r="C1159" s="138">
        <v>0.64</v>
      </c>
      <c r="D1159" s="138">
        <v>38.4</v>
      </c>
      <c r="E1159" s="138">
        <v>93.75</v>
      </c>
      <c r="F1159" s="139">
        <v>0.64</v>
      </c>
      <c r="H1159" t="str">
        <f t="shared" si="21"/>
        <v>15006150061307</v>
      </c>
    </row>
    <row r="1160" spans="1:8" ht="15" customHeight="1" x14ac:dyDescent="0.25">
      <c r="A1160" s="110" t="s">
        <v>4201</v>
      </c>
      <c r="B1160" s="125" t="s">
        <v>1114</v>
      </c>
      <c r="C1160" s="138">
        <v>0.77</v>
      </c>
      <c r="D1160" s="138">
        <v>46.2</v>
      </c>
      <c r="E1160" s="138">
        <v>77.922077922077918</v>
      </c>
      <c r="F1160" s="139">
        <v>0.77</v>
      </c>
      <c r="H1160" t="str">
        <f t="shared" si="21"/>
        <v>15006150061308</v>
      </c>
    </row>
    <row r="1161" spans="1:8" ht="15" customHeight="1" x14ac:dyDescent="0.25">
      <c r="A1161" s="110" t="s">
        <v>4202</v>
      </c>
      <c r="B1161" s="125" t="s">
        <v>1115</v>
      </c>
      <c r="C1161" s="138">
        <v>0.77</v>
      </c>
      <c r="D1161" s="138">
        <v>46.2</v>
      </c>
      <c r="E1161" s="138">
        <v>77.922077922077918</v>
      </c>
      <c r="F1161" s="139">
        <v>0.77</v>
      </c>
      <c r="H1161" t="str">
        <f t="shared" si="21"/>
        <v>15006150061309</v>
      </c>
    </row>
    <row r="1162" spans="1:8" ht="15" customHeight="1" x14ac:dyDescent="0.25">
      <c r="A1162" s="110" t="s">
        <v>4203</v>
      </c>
      <c r="B1162" s="125" t="s">
        <v>286</v>
      </c>
      <c r="C1162" s="138">
        <v>0.43</v>
      </c>
      <c r="D1162" s="138">
        <v>25.8</v>
      </c>
      <c r="E1162" s="138">
        <v>139.53488372093022</v>
      </c>
      <c r="F1162" s="139">
        <v>0.43</v>
      </c>
      <c r="H1162" t="str">
        <f t="shared" si="21"/>
        <v>15006150061310</v>
      </c>
    </row>
    <row r="1163" spans="1:8" ht="15" customHeight="1" x14ac:dyDescent="0.25">
      <c r="A1163" s="110" t="s">
        <v>4204</v>
      </c>
      <c r="B1163" s="125" t="s">
        <v>287</v>
      </c>
      <c r="C1163" s="138">
        <v>0.43</v>
      </c>
      <c r="D1163" s="138">
        <v>25.8</v>
      </c>
      <c r="E1163" s="138">
        <v>139.53488372093022</v>
      </c>
      <c r="F1163" s="139">
        <v>0.43</v>
      </c>
      <c r="H1163" t="str">
        <f t="shared" si="21"/>
        <v>15006150061311</v>
      </c>
    </row>
    <row r="1164" spans="1:8" ht="15" customHeight="1" x14ac:dyDescent="0.25">
      <c r="A1164" s="110" t="s">
        <v>4205</v>
      </c>
      <c r="B1164" s="125" t="s">
        <v>378</v>
      </c>
      <c r="C1164" s="138">
        <v>0.51</v>
      </c>
      <c r="D1164" s="138">
        <v>30.6</v>
      </c>
      <c r="E1164" s="138">
        <v>117.64705882352941</v>
      </c>
      <c r="F1164" s="139">
        <v>0.51</v>
      </c>
      <c r="H1164" t="str">
        <f t="shared" si="21"/>
        <v>15006150061312</v>
      </c>
    </row>
    <row r="1165" spans="1:8" ht="15" customHeight="1" x14ac:dyDescent="0.25">
      <c r="A1165" s="110" t="s">
        <v>4206</v>
      </c>
      <c r="B1165" s="125" t="s">
        <v>288</v>
      </c>
      <c r="C1165" s="138">
        <v>0.51</v>
      </c>
      <c r="D1165" s="138">
        <v>30.6</v>
      </c>
      <c r="E1165" s="138">
        <v>117.64705882352941</v>
      </c>
      <c r="F1165" s="139">
        <v>0.51</v>
      </c>
      <c r="H1165" t="str">
        <f t="shared" si="21"/>
        <v>15006150061313</v>
      </c>
    </row>
    <row r="1166" spans="1:8" ht="15" customHeight="1" x14ac:dyDescent="0.25">
      <c r="A1166" s="110" t="s">
        <v>4207</v>
      </c>
      <c r="B1166" s="125" t="s">
        <v>289</v>
      </c>
      <c r="C1166" s="138">
        <v>0.43</v>
      </c>
      <c r="D1166" s="138">
        <v>25.8</v>
      </c>
      <c r="E1166" s="138">
        <v>139.53488372093022</v>
      </c>
      <c r="F1166" s="139">
        <v>0.43</v>
      </c>
      <c r="H1166" t="str">
        <f t="shared" si="21"/>
        <v>15006150061314</v>
      </c>
    </row>
    <row r="1167" spans="1:8" ht="15" customHeight="1" x14ac:dyDescent="0.25">
      <c r="A1167" s="110" t="s">
        <v>4208</v>
      </c>
      <c r="B1167" s="125" t="s">
        <v>290</v>
      </c>
      <c r="C1167" s="138">
        <v>0.43</v>
      </c>
      <c r="D1167" s="138">
        <v>25.8</v>
      </c>
      <c r="E1167" s="138">
        <v>139.53488372093022</v>
      </c>
      <c r="F1167" s="139">
        <v>0.43</v>
      </c>
      <c r="H1167" t="str">
        <f t="shared" si="21"/>
        <v>15006150061315</v>
      </c>
    </row>
    <row r="1168" spans="1:8" ht="15" customHeight="1" x14ac:dyDescent="0.25">
      <c r="A1168" s="110" t="s">
        <v>4208</v>
      </c>
      <c r="B1168" s="125" t="s">
        <v>1770</v>
      </c>
      <c r="C1168" s="138">
        <v>1.19</v>
      </c>
      <c r="D1168" s="138">
        <v>71.399999999999991</v>
      </c>
      <c r="E1168" s="138">
        <v>50.420168067226896</v>
      </c>
      <c r="F1168" s="139">
        <v>1.19</v>
      </c>
      <c r="H1168" t="str">
        <f t="shared" si="21"/>
        <v>15006150061315</v>
      </c>
    </row>
    <row r="1169" spans="1:8" ht="15" customHeight="1" x14ac:dyDescent="0.25">
      <c r="A1169" s="110" t="s">
        <v>4209</v>
      </c>
      <c r="B1169" s="125" t="s">
        <v>291</v>
      </c>
      <c r="C1169" s="138">
        <v>0.47</v>
      </c>
      <c r="D1169" s="138">
        <v>28.2</v>
      </c>
      <c r="E1169" s="138">
        <v>127.65957446808511</v>
      </c>
      <c r="F1169" s="139">
        <v>0.47</v>
      </c>
      <c r="H1169" t="str">
        <f t="shared" si="21"/>
        <v>15006150061316</v>
      </c>
    </row>
    <row r="1170" spans="1:8" ht="15" customHeight="1" x14ac:dyDescent="0.25">
      <c r="A1170" s="110" t="s">
        <v>4209</v>
      </c>
      <c r="B1170" s="125" t="s">
        <v>1771</v>
      </c>
      <c r="C1170" s="138">
        <v>0.26</v>
      </c>
      <c r="D1170" s="138">
        <v>15.600000000000001</v>
      </c>
      <c r="E1170" s="138">
        <v>230.76923076923075</v>
      </c>
      <c r="F1170" s="139">
        <v>0.26</v>
      </c>
      <c r="H1170" t="str">
        <f t="shared" si="21"/>
        <v>15006150061316</v>
      </c>
    </row>
    <row r="1171" spans="1:8" ht="15" customHeight="1" x14ac:dyDescent="0.25">
      <c r="A1171" s="110" t="s">
        <v>4210</v>
      </c>
      <c r="B1171" s="125" t="s">
        <v>379</v>
      </c>
      <c r="C1171" s="138">
        <v>0.47</v>
      </c>
      <c r="D1171" s="138">
        <v>28.2</v>
      </c>
      <c r="E1171" s="138">
        <v>127.65957446808511</v>
      </c>
      <c r="F1171" s="139">
        <v>0.47</v>
      </c>
      <c r="H1171" t="str">
        <f t="shared" si="21"/>
        <v>15006150061317</v>
      </c>
    </row>
    <row r="1172" spans="1:8" ht="15" customHeight="1" x14ac:dyDescent="0.25">
      <c r="A1172" s="110" t="s">
        <v>4210</v>
      </c>
      <c r="B1172" s="125" t="s">
        <v>1772</v>
      </c>
      <c r="C1172" s="138">
        <v>0.26</v>
      </c>
      <c r="D1172" s="138">
        <v>15.600000000000001</v>
      </c>
      <c r="E1172" s="138">
        <v>230.76923076923075</v>
      </c>
      <c r="F1172" s="139">
        <v>0.26</v>
      </c>
      <c r="H1172" t="str">
        <f t="shared" si="21"/>
        <v>15006150061317</v>
      </c>
    </row>
    <row r="1173" spans="1:8" ht="15" customHeight="1" x14ac:dyDescent="0.25">
      <c r="A1173" s="110" t="s">
        <v>4211</v>
      </c>
      <c r="B1173" s="125" t="s">
        <v>292</v>
      </c>
      <c r="C1173" s="138">
        <v>0.64</v>
      </c>
      <c r="D1173" s="138">
        <v>38.4</v>
      </c>
      <c r="E1173" s="138">
        <v>93.75</v>
      </c>
      <c r="F1173" s="139">
        <v>0.64</v>
      </c>
      <c r="H1173" t="str">
        <f t="shared" si="21"/>
        <v>15006150061318</v>
      </c>
    </row>
    <row r="1174" spans="1:8" ht="15" customHeight="1" x14ac:dyDescent="0.25">
      <c r="A1174" s="110" t="s">
        <v>4211</v>
      </c>
      <c r="B1174" s="125" t="s">
        <v>1773</v>
      </c>
      <c r="C1174" s="138">
        <v>0.26</v>
      </c>
      <c r="D1174" s="138">
        <v>15.600000000000001</v>
      </c>
      <c r="E1174" s="138">
        <v>230.76923076923075</v>
      </c>
      <c r="F1174" s="139">
        <v>0.26</v>
      </c>
      <c r="H1174" t="str">
        <f t="shared" si="21"/>
        <v>15006150061318</v>
      </c>
    </row>
    <row r="1175" spans="1:8" ht="15" customHeight="1" x14ac:dyDescent="0.25">
      <c r="A1175" s="110" t="s">
        <v>4212</v>
      </c>
      <c r="B1175" s="125" t="s">
        <v>293</v>
      </c>
      <c r="C1175" s="138">
        <v>0.6</v>
      </c>
      <c r="D1175" s="138">
        <v>36</v>
      </c>
      <c r="E1175" s="138">
        <v>100</v>
      </c>
      <c r="F1175" s="139">
        <v>0.6</v>
      </c>
      <c r="H1175" t="str">
        <f t="shared" si="21"/>
        <v>15006150061319</v>
      </c>
    </row>
    <row r="1176" spans="1:8" ht="15" customHeight="1" x14ac:dyDescent="0.25">
      <c r="A1176" s="110" t="s">
        <v>4212</v>
      </c>
      <c r="B1176" s="125" t="s">
        <v>1774</v>
      </c>
      <c r="C1176" s="138">
        <v>0.26</v>
      </c>
      <c r="D1176" s="138">
        <v>15.600000000000001</v>
      </c>
      <c r="E1176" s="138">
        <v>230.76923076923075</v>
      </c>
      <c r="F1176" s="139">
        <v>0.26</v>
      </c>
      <c r="H1176" t="str">
        <f t="shared" si="21"/>
        <v>15006150061319</v>
      </c>
    </row>
    <row r="1177" spans="1:8" ht="15" customHeight="1" x14ac:dyDescent="0.25">
      <c r="A1177" s="110" t="s">
        <v>4213</v>
      </c>
      <c r="B1177" s="125" t="s">
        <v>1116</v>
      </c>
      <c r="C1177" s="138">
        <v>0.35</v>
      </c>
      <c r="D1177" s="138">
        <v>21</v>
      </c>
      <c r="E1177" s="138">
        <v>171.42857142857142</v>
      </c>
      <c r="F1177" s="139">
        <v>0.35</v>
      </c>
      <c r="H1177" t="str">
        <f t="shared" si="21"/>
        <v>15006150061320</v>
      </c>
    </row>
    <row r="1178" spans="1:8" ht="15" customHeight="1" x14ac:dyDescent="0.25">
      <c r="A1178" s="110" t="s">
        <v>4213</v>
      </c>
      <c r="B1178" s="125" t="s">
        <v>1775</v>
      </c>
      <c r="C1178" s="138">
        <v>1.27</v>
      </c>
      <c r="D1178" s="138">
        <v>76.2</v>
      </c>
      <c r="E1178" s="138">
        <v>47.244094488188978</v>
      </c>
      <c r="F1178" s="139">
        <v>1.27</v>
      </c>
      <c r="H1178" t="str">
        <f t="shared" si="21"/>
        <v>15006150061320</v>
      </c>
    </row>
    <row r="1179" spans="1:8" ht="15" customHeight="1" x14ac:dyDescent="0.25">
      <c r="A1179" s="110" t="s">
        <v>4214</v>
      </c>
      <c r="B1179" s="125" t="s">
        <v>489</v>
      </c>
      <c r="C1179" s="138">
        <v>0.35</v>
      </c>
      <c r="D1179" s="138">
        <v>21</v>
      </c>
      <c r="E1179" s="138">
        <v>171.42857142857142</v>
      </c>
      <c r="F1179" s="139">
        <v>0.35</v>
      </c>
      <c r="H1179" t="str">
        <f t="shared" si="21"/>
        <v>15006150061321</v>
      </c>
    </row>
    <row r="1180" spans="1:8" ht="15" customHeight="1" x14ac:dyDescent="0.25">
      <c r="A1180" s="110" t="s">
        <v>4215</v>
      </c>
      <c r="B1180" s="125" t="s">
        <v>1117</v>
      </c>
      <c r="C1180" s="138">
        <v>0.5</v>
      </c>
      <c r="D1180" s="138">
        <v>30</v>
      </c>
      <c r="E1180" s="138">
        <v>120</v>
      </c>
      <c r="F1180" s="139">
        <v>0.5</v>
      </c>
      <c r="H1180" t="str">
        <f t="shared" si="21"/>
        <v>15006150061322</v>
      </c>
    </row>
    <row r="1181" spans="1:8" ht="15" customHeight="1" x14ac:dyDescent="0.25">
      <c r="A1181" s="110" t="s">
        <v>4216</v>
      </c>
      <c r="B1181" s="125" t="s">
        <v>1118</v>
      </c>
      <c r="C1181" s="138">
        <v>0.5</v>
      </c>
      <c r="D1181" s="138">
        <v>30</v>
      </c>
      <c r="E1181" s="138">
        <v>120</v>
      </c>
      <c r="F1181" s="139">
        <v>0.5</v>
      </c>
      <c r="H1181" t="str">
        <f t="shared" si="21"/>
        <v>15006150061323</v>
      </c>
    </row>
    <row r="1182" spans="1:8" ht="15" customHeight="1" x14ac:dyDescent="0.25">
      <c r="A1182" s="110" t="s">
        <v>4217</v>
      </c>
      <c r="B1182" s="125" t="s">
        <v>497</v>
      </c>
      <c r="C1182" s="138">
        <v>0.42</v>
      </c>
      <c r="D1182" s="138">
        <v>25.2</v>
      </c>
      <c r="E1182" s="138">
        <v>142.85714285714286</v>
      </c>
      <c r="F1182" s="139">
        <v>0.42</v>
      </c>
      <c r="H1182" t="str">
        <f t="shared" si="21"/>
        <v>15006150061324</v>
      </c>
    </row>
    <row r="1183" spans="1:8" ht="15" customHeight="1" x14ac:dyDescent="0.25">
      <c r="A1183" s="110" t="s">
        <v>4218</v>
      </c>
      <c r="B1183" s="125" t="s">
        <v>1119</v>
      </c>
      <c r="C1183" s="138">
        <v>0.42</v>
      </c>
      <c r="D1183" s="138">
        <v>25.2</v>
      </c>
      <c r="E1183" s="138">
        <v>142.85714285714286</v>
      </c>
      <c r="F1183" s="139">
        <v>0.42</v>
      </c>
      <c r="H1183" t="str">
        <f t="shared" si="21"/>
        <v>15006150061325</v>
      </c>
    </row>
    <row r="1184" spans="1:8" ht="15" customHeight="1" x14ac:dyDescent="0.25">
      <c r="A1184" s="110" t="s">
        <v>4218</v>
      </c>
      <c r="B1184" s="125" t="s">
        <v>1769</v>
      </c>
      <c r="C1184" s="138">
        <v>0.61</v>
      </c>
      <c r="D1184" s="138">
        <v>36.6</v>
      </c>
      <c r="E1184" s="138">
        <v>98.360655737704917</v>
      </c>
      <c r="F1184" s="139">
        <v>0.61</v>
      </c>
      <c r="H1184" t="str">
        <f t="shared" si="21"/>
        <v>15006150061325</v>
      </c>
    </row>
    <row r="1185" spans="1:8" ht="15" customHeight="1" x14ac:dyDescent="0.25">
      <c r="A1185" s="110" t="s">
        <v>4219</v>
      </c>
      <c r="B1185" s="125" t="s">
        <v>1120</v>
      </c>
      <c r="C1185" s="138">
        <v>0.37</v>
      </c>
      <c r="D1185" s="138">
        <v>22.2</v>
      </c>
      <c r="E1185" s="138">
        <v>162.16216216216216</v>
      </c>
      <c r="F1185" s="139">
        <v>0.37</v>
      </c>
      <c r="H1185" t="str">
        <f t="shared" si="21"/>
        <v>15006150061326</v>
      </c>
    </row>
    <row r="1186" spans="1:8" ht="15" customHeight="1" x14ac:dyDescent="0.25">
      <c r="A1186" s="110" t="s">
        <v>4220</v>
      </c>
      <c r="B1186" s="125" t="s">
        <v>1121</v>
      </c>
      <c r="C1186" s="138">
        <v>0.37</v>
      </c>
      <c r="D1186" s="138">
        <v>22.2</v>
      </c>
      <c r="E1186" s="138">
        <v>162.16216216216216</v>
      </c>
      <c r="F1186" s="139">
        <v>0.37</v>
      </c>
      <c r="H1186" t="str">
        <f t="shared" si="21"/>
        <v>15006150061327</v>
      </c>
    </row>
    <row r="1187" spans="1:8" ht="15" customHeight="1" x14ac:dyDescent="0.25">
      <c r="A1187" s="110" t="s">
        <v>4221</v>
      </c>
      <c r="B1187" s="125" t="s">
        <v>1122</v>
      </c>
      <c r="C1187" s="138">
        <v>0.37</v>
      </c>
      <c r="D1187" s="138">
        <v>22.2</v>
      </c>
      <c r="E1187" s="138">
        <v>162.16216216216216</v>
      </c>
      <c r="F1187" s="139">
        <v>0.37</v>
      </c>
      <c r="H1187" t="str">
        <f t="shared" si="21"/>
        <v>15006150061328</v>
      </c>
    </row>
    <row r="1188" spans="1:8" ht="15" customHeight="1" x14ac:dyDescent="0.25">
      <c r="A1188" s="110" t="s">
        <v>4222</v>
      </c>
      <c r="B1188" s="125" t="s">
        <v>1123</v>
      </c>
      <c r="C1188" s="138">
        <v>0.37</v>
      </c>
      <c r="D1188" s="138">
        <v>22.2</v>
      </c>
      <c r="E1188" s="138">
        <v>162.16216216216216</v>
      </c>
      <c r="F1188" s="139">
        <v>0.37</v>
      </c>
      <c r="H1188" t="str">
        <f t="shared" si="21"/>
        <v>15006150061329</v>
      </c>
    </row>
    <row r="1189" spans="1:8" ht="15" customHeight="1" x14ac:dyDescent="0.25">
      <c r="A1189" s="110" t="s">
        <v>4223</v>
      </c>
      <c r="B1189" s="125" t="s">
        <v>545</v>
      </c>
      <c r="C1189" s="138">
        <v>0.21</v>
      </c>
      <c r="D1189" s="138">
        <v>12.6</v>
      </c>
      <c r="E1189" s="138">
        <v>285.71428571428572</v>
      </c>
      <c r="F1189" s="139">
        <v>0.21</v>
      </c>
      <c r="H1189" t="str">
        <f t="shared" si="21"/>
        <v>15006150061330</v>
      </c>
    </row>
    <row r="1190" spans="1:8" ht="15" customHeight="1" x14ac:dyDescent="0.25">
      <c r="A1190" s="110" t="s">
        <v>4223</v>
      </c>
      <c r="B1190" s="125" t="s">
        <v>1776</v>
      </c>
      <c r="C1190" s="138">
        <v>0.17</v>
      </c>
      <c r="D1190" s="138">
        <v>10.200000000000001</v>
      </c>
      <c r="E1190" s="138">
        <v>352.94117647058818</v>
      </c>
      <c r="F1190" s="139">
        <v>0.17</v>
      </c>
      <c r="H1190" t="str">
        <f t="shared" si="21"/>
        <v>15006150061330</v>
      </c>
    </row>
    <row r="1191" spans="1:8" ht="15" customHeight="1" x14ac:dyDescent="0.25">
      <c r="A1191" s="110" t="s">
        <v>4224</v>
      </c>
      <c r="B1191" s="125" t="s">
        <v>793</v>
      </c>
      <c r="C1191" s="138">
        <v>0.21</v>
      </c>
      <c r="D1191" s="138">
        <v>12.6</v>
      </c>
      <c r="E1191" s="138">
        <v>285.71428571428572</v>
      </c>
      <c r="F1191" s="139">
        <v>0.21</v>
      </c>
      <c r="H1191" t="str">
        <f t="shared" si="21"/>
        <v>15006150061331</v>
      </c>
    </row>
    <row r="1192" spans="1:8" ht="15" customHeight="1" x14ac:dyDescent="0.25">
      <c r="A1192" s="110" t="s">
        <v>4225</v>
      </c>
      <c r="B1192" s="125" t="s">
        <v>546</v>
      </c>
      <c r="C1192" s="138">
        <v>0.53</v>
      </c>
      <c r="D1192" s="138">
        <v>31.8</v>
      </c>
      <c r="E1192" s="138">
        <v>113.20754716981132</v>
      </c>
      <c r="F1192" s="139">
        <v>0.53</v>
      </c>
      <c r="H1192" t="str">
        <f t="shared" si="21"/>
        <v>15006150061332</v>
      </c>
    </row>
    <row r="1193" spans="1:8" ht="15" customHeight="1" x14ac:dyDescent="0.25">
      <c r="A1193" s="110" t="s">
        <v>4226</v>
      </c>
      <c r="B1193" s="125" t="s">
        <v>1124</v>
      </c>
      <c r="C1193" s="138">
        <v>0.53</v>
      </c>
      <c r="D1193" s="138">
        <v>31.8</v>
      </c>
      <c r="E1193" s="138">
        <v>113.20754716981132</v>
      </c>
      <c r="F1193" s="139">
        <v>0.53</v>
      </c>
      <c r="H1193" t="str">
        <f t="shared" si="21"/>
        <v>15006150061333</v>
      </c>
    </row>
    <row r="1194" spans="1:8" ht="15" customHeight="1" x14ac:dyDescent="0.25">
      <c r="A1194" s="110" t="s">
        <v>4227</v>
      </c>
      <c r="B1194" s="125" t="s">
        <v>1125</v>
      </c>
      <c r="C1194" s="138">
        <v>0.41</v>
      </c>
      <c r="D1194" s="138">
        <v>24.599999999999998</v>
      </c>
      <c r="E1194" s="138">
        <v>146.34146341463415</v>
      </c>
      <c r="F1194" s="139">
        <v>0.41</v>
      </c>
      <c r="H1194" t="str">
        <f t="shared" si="21"/>
        <v>15006150061334</v>
      </c>
    </row>
    <row r="1195" spans="1:8" ht="15" customHeight="1" x14ac:dyDescent="0.25">
      <c r="A1195" s="110" t="s">
        <v>4228</v>
      </c>
      <c r="B1195" s="125" t="s">
        <v>1126</v>
      </c>
      <c r="C1195" s="138">
        <v>0.41</v>
      </c>
      <c r="D1195" s="138">
        <v>24.599999999999998</v>
      </c>
      <c r="E1195" s="138">
        <v>146.34146341463415</v>
      </c>
      <c r="F1195" s="139">
        <v>0.41</v>
      </c>
      <c r="H1195" t="str">
        <f t="shared" si="21"/>
        <v>15006150061335</v>
      </c>
    </row>
    <row r="1196" spans="1:8" ht="15" customHeight="1" x14ac:dyDescent="0.25">
      <c r="A1196" s="110" t="s">
        <v>4228</v>
      </c>
      <c r="B1196" s="125" t="s">
        <v>1777</v>
      </c>
      <c r="C1196" s="138">
        <v>0.17</v>
      </c>
      <c r="D1196" s="138">
        <v>10.200000000000001</v>
      </c>
      <c r="E1196" s="138">
        <v>352.94117647058818</v>
      </c>
      <c r="F1196" s="139">
        <v>0.17</v>
      </c>
      <c r="H1196" t="str">
        <f t="shared" si="21"/>
        <v>15006150061335</v>
      </c>
    </row>
    <row r="1197" spans="1:8" ht="15" customHeight="1" x14ac:dyDescent="0.25">
      <c r="A1197" s="110" t="s">
        <v>4229</v>
      </c>
      <c r="B1197" s="125" t="s">
        <v>1127</v>
      </c>
      <c r="C1197" s="138">
        <v>1</v>
      </c>
      <c r="D1197" s="138">
        <v>60</v>
      </c>
      <c r="E1197" s="138">
        <v>60</v>
      </c>
      <c r="F1197" s="139">
        <v>1</v>
      </c>
      <c r="H1197" t="str">
        <f t="shared" si="21"/>
        <v>15006150061336</v>
      </c>
    </row>
    <row r="1198" spans="1:8" ht="15" customHeight="1" x14ac:dyDescent="0.25">
      <c r="A1198" s="110" t="s">
        <v>4230</v>
      </c>
      <c r="B1198" s="125" t="s">
        <v>1128</v>
      </c>
      <c r="C1198" s="138">
        <v>0.92</v>
      </c>
      <c r="D1198" s="138">
        <v>55.2</v>
      </c>
      <c r="E1198" s="138">
        <v>65.217391304347828</v>
      </c>
      <c r="F1198" s="139">
        <v>0.92</v>
      </c>
      <c r="H1198" t="str">
        <f t="shared" si="21"/>
        <v>15006150061337</v>
      </c>
    </row>
    <row r="1199" spans="1:8" ht="15" customHeight="1" x14ac:dyDescent="0.25">
      <c r="A1199" s="110" t="s">
        <v>4231</v>
      </c>
      <c r="B1199" s="125" t="s">
        <v>1129</v>
      </c>
      <c r="C1199" s="138">
        <v>0.93</v>
      </c>
      <c r="D1199" s="138">
        <v>55.800000000000004</v>
      </c>
      <c r="E1199" s="138">
        <v>64.516129032258064</v>
      </c>
      <c r="F1199" s="139">
        <v>0.93</v>
      </c>
      <c r="H1199" t="str">
        <f t="shared" si="21"/>
        <v>15006150061338</v>
      </c>
    </row>
    <row r="1200" spans="1:8" ht="15" customHeight="1" x14ac:dyDescent="0.25">
      <c r="A1200" s="110" t="s">
        <v>4232</v>
      </c>
      <c r="B1200" s="125" t="s">
        <v>1130</v>
      </c>
      <c r="C1200" s="138">
        <v>1</v>
      </c>
      <c r="D1200" s="138">
        <v>60</v>
      </c>
      <c r="E1200" s="138">
        <v>60</v>
      </c>
      <c r="F1200" s="139">
        <v>1</v>
      </c>
      <c r="H1200" t="str">
        <f t="shared" si="21"/>
        <v>15006150061339</v>
      </c>
    </row>
    <row r="1201" spans="1:8" ht="15" customHeight="1" x14ac:dyDescent="0.25">
      <c r="A1201" s="110" t="s">
        <v>4233</v>
      </c>
      <c r="B1201" s="125" t="s">
        <v>1131</v>
      </c>
      <c r="C1201" s="138">
        <v>1</v>
      </c>
      <c r="D1201" s="138">
        <v>60</v>
      </c>
      <c r="E1201" s="138">
        <v>60</v>
      </c>
      <c r="F1201" s="139">
        <v>1</v>
      </c>
      <c r="H1201" t="str">
        <f t="shared" si="21"/>
        <v>15006150061340</v>
      </c>
    </row>
    <row r="1202" spans="1:8" ht="15" customHeight="1" x14ac:dyDescent="0.25">
      <c r="A1202" s="110" t="s">
        <v>4233</v>
      </c>
      <c r="B1202" s="125" t="s">
        <v>1778</v>
      </c>
      <c r="C1202" s="138">
        <v>0.17</v>
      </c>
      <c r="D1202" s="138">
        <v>10.200000000000001</v>
      </c>
      <c r="E1202" s="138">
        <v>352.94117647058818</v>
      </c>
      <c r="F1202" s="139">
        <v>0.17</v>
      </c>
      <c r="H1202" t="str">
        <f t="shared" si="21"/>
        <v>15006150061340</v>
      </c>
    </row>
    <row r="1203" spans="1:8" ht="15" customHeight="1" x14ac:dyDescent="0.25">
      <c r="A1203" s="110" t="s">
        <v>4234</v>
      </c>
      <c r="B1203" s="125" t="s">
        <v>1132</v>
      </c>
      <c r="C1203" s="138">
        <v>1</v>
      </c>
      <c r="D1203" s="138">
        <v>60</v>
      </c>
      <c r="E1203" s="138">
        <v>60</v>
      </c>
      <c r="F1203" s="139">
        <v>1</v>
      </c>
      <c r="H1203" t="str">
        <f t="shared" si="21"/>
        <v>15006150061341</v>
      </c>
    </row>
    <row r="1204" spans="1:8" ht="15" customHeight="1" x14ac:dyDescent="0.25">
      <c r="A1204" s="110" t="s">
        <v>4235</v>
      </c>
      <c r="B1204" s="125" t="s">
        <v>1133</v>
      </c>
      <c r="C1204" s="138">
        <v>0.93</v>
      </c>
      <c r="D1204" s="138">
        <v>55.800000000000004</v>
      </c>
      <c r="E1204" s="138">
        <v>64.516129032258064</v>
      </c>
      <c r="F1204" s="139">
        <v>0.93</v>
      </c>
      <c r="H1204" t="str">
        <f t="shared" si="21"/>
        <v>15006150061342</v>
      </c>
    </row>
    <row r="1205" spans="1:8" ht="15" customHeight="1" x14ac:dyDescent="0.25">
      <c r="A1205" s="110" t="s">
        <v>4236</v>
      </c>
      <c r="B1205" s="125" t="s">
        <v>647</v>
      </c>
      <c r="C1205" s="138">
        <v>0.54</v>
      </c>
      <c r="D1205" s="138">
        <v>32.400000000000006</v>
      </c>
      <c r="E1205" s="138">
        <v>111.11111111111109</v>
      </c>
      <c r="F1205" s="139">
        <v>0.54</v>
      </c>
      <c r="H1205" t="str">
        <f t="shared" si="21"/>
        <v>15006150061343</v>
      </c>
    </row>
    <row r="1206" spans="1:8" ht="15" customHeight="1" x14ac:dyDescent="0.25">
      <c r="A1206" s="110" t="s">
        <v>4237</v>
      </c>
      <c r="B1206" s="125" t="s">
        <v>648</v>
      </c>
      <c r="C1206" s="138">
        <v>0.54</v>
      </c>
      <c r="D1206" s="138">
        <v>32.400000000000006</v>
      </c>
      <c r="E1206" s="138">
        <v>111.11111111111109</v>
      </c>
      <c r="F1206" s="139">
        <v>0.54</v>
      </c>
      <c r="H1206" t="str">
        <f t="shared" si="21"/>
        <v>15006150061344</v>
      </c>
    </row>
    <row r="1207" spans="1:8" ht="15" customHeight="1" x14ac:dyDescent="0.25">
      <c r="A1207" s="110" t="s">
        <v>4238</v>
      </c>
      <c r="B1207" s="125" t="s">
        <v>649</v>
      </c>
      <c r="C1207" s="138">
        <v>0.55000000000000004</v>
      </c>
      <c r="D1207" s="138">
        <v>33</v>
      </c>
      <c r="E1207" s="138">
        <v>109.09090909090909</v>
      </c>
      <c r="F1207" s="139">
        <v>0.55000000000000004</v>
      </c>
      <c r="H1207" t="str">
        <f t="shared" si="21"/>
        <v>15006150061345</v>
      </c>
    </row>
    <row r="1208" spans="1:8" ht="15" customHeight="1" x14ac:dyDescent="0.25">
      <c r="A1208" s="110" t="s">
        <v>4238</v>
      </c>
      <c r="B1208" s="125" t="s">
        <v>1779</v>
      </c>
      <c r="C1208" s="138">
        <v>0.17</v>
      </c>
      <c r="D1208" s="138">
        <v>10.200000000000001</v>
      </c>
      <c r="E1208" s="138">
        <v>352.94117647058818</v>
      </c>
      <c r="F1208" s="139">
        <v>0.17</v>
      </c>
      <c r="H1208" t="str">
        <f t="shared" si="21"/>
        <v>15006150061345</v>
      </c>
    </row>
    <row r="1209" spans="1:8" ht="15" customHeight="1" x14ac:dyDescent="0.25">
      <c r="A1209" s="110" t="s">
        <v>4239</v>
      </c>
      <c r="B1209" s="125" t="s">
        <v>650</v>
      </c>
      <c r="C1209" s="138">
        <v>0.55000000000000004</v>
      </c>
      <c r="D1209" s="138">
        <v>33</v>
      </c>
      <c r="E1209" s="138">
        <v>109.09090909090909</v>
      </c>
      <c r="F1209" s="139">
        <v>0.55000000000000004</v>
      </c>
      <c r="H1209" t="str">
        <f t="shared" si="21"/>
        <v>15006150061346</v>
      </c>
    </row>
    <row r="1210" spans="1:8" ht="15" customHeight="1" x14ac:dyDescent="0.25">
      <c r="A1210" s="110" t="s">
        <v>4240</v>
      </c>
      <c r="B1210" s="125" t="s">
        <v>651</v>
      </c>
      <c r="C1210" s="138">
        <v>0.5</v>
      </c>
      <c r="D1210" s="138">
        <v>30</v>
      </c>
      <c r="E1210" s="138">
        <v>120</v>
      </c>
      <c r="F1210" s="139">
        <v>0.5</v>
      </c>
      <c r="H1210" t="str">
        <f t="shared" si="21"/>
        <v>15006150061347</v>
      </c>
    </row>
    <row r="1211" spans="1:8" ht="15" customHeight="1" x14ac:dyDescent="0.25">
      <c r="A1211" s="110" t="s">
        <v>4241</v>
      </c>
      <c r="B1211" s="125" t="s">
        <v>652</v>
      </c>
      <c r="C1211" s="138">
        <v>0.5</v>
      </c>
      <c r="D1211" s="138">
        <v>30</v>
      </c>
      <c r="E1211" s="138">
        <v>120</v>
      </c>
      <c r="F1211" s="139">
        <v>0.5</v>
      </c>
      <c r="H1211" t="str">
        <f t="shared" si="21"/>
        <v>15006150061348</v>
      </c>
    </row>
    <row r="1212" spans="1:8" ht="15" customHeight="1" x14ac:dyDescent="0.25">
      <c r="A1212" s="110" t="s">
        <v>4242</v>
      </c>
      <c r="B1212" s="125" t="s">
        <v>653</v>
      </c>
      <c r="C1212" s="138">
        <v>0.6</v>
      </c>
      <c r="D1212" s="138">
        <v>36</v>
      </c>
      <c r="E1212" s="138">
        <v>100</v>
      </c>
      <c r="F1212" s="139">
        <v>0.6</v>
      </c>
      <c r="H1212" t="str">
        <f t="shared" si="21"/>
        <v>15006150061349</v>
      </c>
    </row>
    <row r="1213" spans="1:8" ht="15" customHeight="1" x14ac:dyDescent="0.25">
      <c r="A1213" s="110" t="s">
        <v>4243</v>
      </c>
      <c r="B1213" s="125" t="s">
        <v>654</v>
      </c>
      <c r="C1213" s="138">
        <v>0.6</v>
      </c>
      <c r="D1213" s="138">
        <v>36</v>
      </c>
      <c r="E1213" s="138">
        <v>100</v>
      </c>
      <c r="F1213" s="139">
        <v>0.6</v>
      </c>
      <c r="H1213" t="str">
        <f t="shared" si="21"/>
        <v>15006150061350</v>
      </c>
    </row>
    <row r="1214" spans="1:8" ht="15" customHeight="1" x14ac:dyDescent="0.25">
      <c r="A1214" s="110" t="s">
        <v>4243</v>
      </c>
      <c r="B1214" s="125" t="s">
        <v>1780</v>
      </c>
      <c r="C1214" s="138">
        <v>0.17</v>
      </c>
      <c r="D1214" s="138">
        <v>10.200000000000001</v>
      </c>
      <c r="E1214" s="138">
        <v>352.94117647058818</v>
      </c>
      <c r="F1214" s="139">
        <v>0.17</v>
      </c>
      <c r="H1214" t="str">
        <f t="shared" si="21"/>
        <v>15006150061350</v>
      </c>
    </row>
    <row r="1215" spans="1:8" ht="15" customHeight="1" x14ac:dyDescent="0.25">
      <c r="A1215" s="110" t="s">
        <v>4244</v>
      </c>
      <c r="B1215" s="125" t="s">
        <v>655</v>
      </c>
      <c r="C1215" s="138">
        <v>0.6</v>
      </c>
      <c r="D1215" s="138">
        <v>36</v>
      </c>
      <c r="E1215" s="138">
        <v>100</v>
      </c>
      <c r="F1215" s="139">
        <v>0.6</v>
      </c>
      <c r="H1215" t="str">
        <f t="shared" si="21"/>
        <v>15006150061351</v>
      </c>
    </row>
    <row r="1216" spans="1:8" ht="15" customHeight="1" x14ac:dyDescent="0.25">
      <c r="A1216" s="110" t="s">
        <v>4245</v>
      </c>
      <c r="B1216" s="125" t="s">
        <v>656</v>
      </c>
      <c r="C1216" s="138">
        <v>0.6</v>
      </c>
      <c r="D1216" s="138">
        <v>36</v>
      </c>
      <c r="E1216" s="138">
        <v>100</v>
      </c>
      <c r="F1216" s="139">
        <v>0.6</v>
      </c>
      <c r="H1216" t="str">
        <f t="shared" si="21"/>
        <v>15006150061352</v>
      </c>
    </row>
    <row r="1217" spans="1:8" ht="15" customHeight="1" x14ac:dyDescent="0.25">
      <c r="A1217" s="110" t="s">
        <v>4245</v>
      </c>
      <c r="B1217" s="125" t="s">
        <v>1781</v>
      </c>
      <c r="C1217" s="138">
        <v>0.17</v>
      </c>
      <c r="D1217" s="138">
        <v>10.200000000000001</v>
      </c>
      <c r="E1217" s="138">
        <v>352.94117647058818</v>
      </c>
      <c r="F1217" s="139">
        <v>0.17</v>
      </c>
      <c r="H1217" t="str">
        <f t="shared" si="21"/>
        <v>15006150061352</v>
      </c>
    </row>
    <row r="1218" spans="1:8" ht="15" customHeight="1" x14ac:dyDescent="0.25">
      <c r="A1218" s="110" t="s">
        <v>4246</v>
      </c>
      <c r="B1218" s="125" t="s">
        <v>657</v>
      </c>
      <c r="C1218" s="138">
        <v>0.6</v>
      </c>
      <c r="D1218" s="138">
        <v>36</v>
      </c>
      <c r="E1218" s="138">
        <v>100</v>
      </c>
      <c r="F1218" s="139">
        <v>0.6</v>
      </c>
      <c r="H1218" t="str">
        <f t="shared" si="21"/>
        <v>15006150061353</v>
      </c>
    </row>
    <row r="1219" spans="1:8" ht="15" customHeight="1" x14ac:dyDescent="0.25">
      <c r="A1219" s="110" t="s">
        <v>4247</v>
      </c>
      <c r="B1219" s="125" t="s">
        <v>658</v>
      </c>
      <c r="C1219" s="138">
        <v>0.6</v>
      </c>
      <c r="D1219" s="138">
        <v>36</v>
      </c>
      <c r="E1219" s="138">
        <v>100</v>
      </c>
      <c r="F1219" s="139">
        <v>0.6</v>
      </c>
      <c r="H1219" t="str">
        <f t="shared" si="21"/>
        <v>15006150061354</v>
      </c>
    </row>
    <row r="1220" spans="1:8" ht="15" customHeight="1" x14ac:dyDescent="0.25">
      <c r="A1220" s="110" t="s">
        <v>4248</v>
      </c>
      <c r="B1220" s="125" t="s">
        <v>659</v>
      </c>
      <c r="C1220" s="138">
        <v>0.6</v>
      </c>
      <c r="D1220" s="138">
        <v>36</v>
      </c>
      <c r="E1220" s="138">
        <v>100</v>
      </c>
      <c r="F1220" s="139">
        <v>0.6</v>
      </c>
      <c r="H1220" t="str">
        <f t="shared" ref="H1220:H1283" si="22">CONCATENATE($G$835,A1220)</f>
        <v>15006150061355</v>
      </c>
    </row>
    <row r="1221" spans="1:8" ht="15" customHeight="1" x14ac:dyDescent="0.25">
      <c r="A1221" s="110" t="s">
        <v>4248</v>
      </c>
      <c r="B1221" s="125" t="s">
        <v>1782</v>
      </c>
      <c r="C1221" s="138">
        <v>0.17</v>
      </c>
      <c r="D1221" s="138">
        <v>10.200000000000001</v>
      </c>
      <c r="E1221" s="138">
        <v>352.94117647058818</v>
      </c>
      <c r="F1221" s="139">
        <v>0.17</v>
      </c>
      <c r="H1221" t="str">
        <f t="shared" si="22"/>
        <v>15006150061355</v>
      </c>
    </row>
    <row r="1222" spans="1:8" ht="15" customHeight="1" x14ac:dyDescent="0.25">
      <c r="A1222" s="110" t="s">
        <v>4249</v>
      </c>
      <c r="B1222" s="125" t="s">
        <v>660</v>
      </c>
      <c r="C1222" s="138">
        <v>0.6</v>
      </c>
      <c r="D1222" s="138">
        <v>36</v>
      </c>
      <c r="E1222" s="138">
        <v>100</v>
      </c>
      <c r="F1222" s="139">
        <v>0.6</v>
      </c>
      <c r="H1222" t="str">
        <f t="shared" si="22"/>
        <v>15006150061356</v>
      </c>
    </row>
    <row r="1223" spans="1:8" ht="15" customHeight="1" x14ac:dyDescent="0.25">
      <c r="A1223" s="110" t="s">
        <v>4250</v>
      </c>
      <c r="B1223" s="125" t="s">
        <v>769</v>
      </c>
      <c r="C1223" s="138">
        <v>0.5</v>
      </c>
      <c r="D1223" s="138">
        <v>30</v>
      </c>
      <c r="E1223" s="138">
        <v>120</v>
      </c>
      <c r="F1223" s="139">
        <v>0.5</v>
      </c>
      <c r="H1223" t="str">
        <f t="shared" si="22"/>
        <v>15006150061357</v>
      </c>
    </row>
    <row r="1224" spans="1:8" ht="15" customHeight="1" x14ac:dyDescent="0.25">
      <c r="A1224" s="110" t="s">
        <v>4900</v>
      </c>
      <c r="B1224" s="125" t="s">
        <v>1134</v>
      </c>
      <c r="C1224" s="138">
        <v>0.75</v>
      </c>
      <c r="D1224" s="138">
        <v>45</v>
      </c>
      <c r="E1224" s="138">
        <v>80</v>
      </c>
      <c r="F1224" s="139">
        <v>0.75</v>
      </c>
      <c r="H1224" t="str">
        <f t="shared" si="22"/>
        <v>15006150061358</v>
      </c>
    </row>
    <row r="1225" spans="1:8" ht="15" customHeight="1" x14ac:dyDescent="0.25">
      <c r="A1225" s="110" t="s">
        <v>4900</v>
      </c>
      <c r="B1225" s="125" t="s">
        <v>1782</v>
      </c>
      <c r="C1225" s="138">
        <v>0.17</v>
      </c>
      <c r="D1225" s="138">
        <v>10.200000000000001</v>
      </c>
      <c r="E1225" s="138">
        <v>352.94117647058818</v>
      </c>
      <c r="F1225" s="139">
        <v>0.17</v>
      </c>
      <c r="H1225" t="str">
        <f t="shared" si="22"/>
        <v>15006150061358</v>
      </c>
    </row>
    <row r="1226" spans="1:8" ht="15" customHeight="1" x14ac:dyDescent="0.25">
      <c r="A1226" s="110" t="s">
        <v>4901</v>
      </c>
      <c r="B1226" s="125" t="s">
        <v>1135</v>
      </c>
      <c r="C1226" s="138">
        <v>0.75</v>
      </c>
      <c r="D1226" s="138">
        <v>45</v>
      </c>
      <c r="E1226" s="138">
        <v>80</v>
      </c>
      <c r="F1226" s="139">
        <v>0.75</v>
      </c>
      <c r="H1226" t="str">
        <f t="shared" si="22"/>
        <v>15006150061359</v>
      </c>
    </row>
    <row r="1227" spans="1:8" ht="15" customHeight="1" x14ac:dyDescent="0.25">
      <c r="A1227" s="110" t="s">
        <v>4251</v>
      </c>
      <c r="B1227" s="125" t="s">
        <v>771</v>
      </c>
      <c r="C1227" s="138">
        <v>0.5</v>
      </c>
      <c r="D1227" s="138">
        <v>30</v>
      </c>
      <c r="E1227" s="138">
        <v>120</v>
      </c>
      <c r="F1227" s="139">
        <v>0.5</v>
      </c>
      <c r="H1227" t="str">
        <f t="shared" si="22"/>
        <v>15006150061360</v>
      </c>
    </row>
    <row r="1228" spans="1:8" ht="15" customHeight="1" x14ac:dyDescent="0.25">
      <c r="A1228" s="110" t="s">
        <v>4251</v>
      </c>
      <c r="B1228" s="125" t="s">
        <v>1783</v>
      </c>
      <c r="C1228" s="138">
        <v>0.17</v>
      </c>
      <c r="D1228" s="138">
        <v>10.200000000000001</v>
      </c>
      <c r="E1228" s="138">
        <v>352.94117647058818</v>
      </c>
      <c r="F1228" s="139">
        <v>0.17</v>
      </c>
      <c r="H1228" t="str">
        <f t="shared" si="22"/>
        <v>15006150061360</v>
      </c>
    </row>
    <row r="1229" spans="1:8" ht="15" customHeight="1" x14ac:dyDescent="0.25">
      <c r="A1229" s="110" t="s">
        <v>4252</v>
      </c>
      <c r="B1229" s="125" t="s">
        <v>772</v>
      </c>
      <c r="C1229" s="138">
        <v>0.5</v>
      </c>
      <c r="D1229" s="138">
        <v>30</v>
      </c>
      <c r="E1229" s="138">
        <v>120</v>
      </c>
      <c r="F1229" s="139">
        <v>0.5</v>
      </c>
      <c r="H1229" t="str">
        <f t="shared" si="22"/>
        <v>15006150061361</v>
      </c>
    </row>
    <row r="1230" spans="1:8" ht="15" customHeight="1" x14ac:dyDescent="0.25">
      <c r="A1230" s="110" t="s">
        <v>4253</v>
      </c>
      <c r="B1230" s="125" t="s">
        <v>773</v>
      </c>
      <c r="C1230" s="138">
        <v>0.5</v>
      </c>
      <c r="D1230" s="138">
        <v>30</v>
      </c>
      <c r="E1230" s="138">
        <v>120</v>
      </c>
      <c r="F1230" s="139">
        <v>0.5</v>
      </c>
      <c r="H1230" t="str">
        <f t="shared" si="22"/>
        <v>15006150061362</v>
      </c>
    </row>
    <row r="1231" spans="1:8" ht="15" customHeight="1" x14ac:dyDescent="0.25">
      <c r="A1231" s="110" t="s">
        <v>4254</v>
      </c>
      <c r="B1231" s="125" t="s">
        <v>774</v>
      </c>
      <c r="C1231" s="138">
        <v>0.5</v>
      </c>
      <c r="D1231" s="138">
        <v>30</v>
      </c>
      <c r="E1231" s="138">
        <v>120</v>
      </c>
      <c r="F1231" s="139">
        <v>0.5</v>
      </c>
      <c r="H1231" t="str">
        <f t="shared" si="22"/>
        <v>15006150061363</v>
      </c>
    </row>
    <row r="1232" spans="1:8" ht="15" customHeight="1" x14ac:dyDescent="0.25">
      <c r="A1232" s="110" t="s">
        <v>4255</v>
      </c>
      <c r="B1232" s="125" t="s">
        <v>1136</v>
      </c>
      <c r="C1232" s="138">
        <v>0.5</v>
      </c>
      <c r="D1232" s="138">
        <v>30</v>
      </c>
      <c r="E1232" s="138">
        <v>120</v>
      </c>
      <c r="F1232" s="139">
        <v>0.5</v>
      </c>
      <c r="H1232" t="str">
        <f t="shared" si="22"/>
        <v>15006150061364</v>
      </c>
    </row>
    <row r="1233" spans="1:8" ht="15" customHeight="1" x14ac:dyDescent="0.25">
      <c r="A1233" s="110" t="s">
        <v>4256</v>
      </c>
      <c r="B1233" s="125" t="s">
        <v>1137</v>
      </c>
      <c r="C1233" s="138">
        <v>0.5</v>
      </c>
      <c r="D1233" s="138">
        <v>30</v>
      </c>
      <c r="E1233" s="138">
        <v>120</v>
      </c>
      <c r="F1233" s="139">
        <v>0.5</v>
      </c>
      <c r="H1233" t="str">
        <f t="shared" si="22"/>
        <v>15006150061365</v>
      </c>
    </row>
    <row r="1234" spans="1:8" ht="15" customHeight="1" x14ac:dyDescent="0.25">
      <c r="A1234" s="110" t="s">
        <v>4256</v>
      </c>
      <c r="B1234" s="125" t="s">
        <v>1784</v>
      </c>
      <c r="C1234" s="138">
        <v>0.17</v>
      </c>
      <c r="D1234" s="138">
        <v>10.200000000000001</v>
      </c>
      <c r="E1234" s="138">
        <v>352.94117647058818</v>
      </c>
      <c r="F1234" s="139">
        <v>0.17</v>
      </c>
      <c r="H1234" t="str">
        <f t="shared" si="22"/>
        <v>15006150061365</v>
      </c>
    </row>
    <row r="1235" spans="1:8" ht="15" customHeight="1" x14ac:dyDescent="0.25">
      <c r="A1235" s="110" t="s">
        <v>5562</v>
      </c>
      <c r="B1235" s="125" t="s">
        <v>1785</v>
      </c>
      <c r="C1235" s="138">
        <v>0.17</v>
      </c>
      <c r="D1235" s="138">
        <v>10.200000000000001</v>
      </c>
      <c r="E1235" s="138">
        <v>352.94117647058818</v>
      </c>
      <c r="F1235" s="139">
        <v>0.17</v>
      </c>
      <c r="H1235" t="str">
        <f t="shared" si="22"/>
        <v>15006150061370</v>
      </c>
    </row>
    <row r="1236" spans="1:8" ht="15" customHeight="1" x14ac:dyDescent="0.25">
      <c r="A1236" s="110" t="s">
        <v>5563</v>
      </c>
      <c r="B1236" s="125" t="s">
        <v>1786</v>
      </c>
      <c r="C1236" s="138">
        <v>0.17</v>
      </c>
      <c r="D1236" s="138">
        <v>10.200000000000001</v>
      </c>
      <c r="E1236" s="138">
        <v>352.94117647058818</v>
      </c>
      <c r="F1236" s="139">
        <v>0.17</v>
      </c>
      <c r="H1236" t="str">
        <f t="shared" si="22"/>
        <v>15006150061371</v>
      </c>
    </row>
    <row r="1237" spans="1:8" ht="15" customHeight="1" x14ac:dyDescent="0.25">
      <c r="A1237" s="110" t="s">
        <v>5564</v>
      </c>
      <c r="B1237" s="125" t="s">
        <v>1785</v>
      </c>
      <c r="C1237" s="138">
        <v>0.17</v>
      </c>
      <c r="D1237" s="138">
        <v>10.200000000000001</v>
      </c>
      <c r="E1237" s="138">
        <v>352.94117647058818</v>
      </c>
      <c r="F1237" s="139">
        <v>0.17</v>
      </c>
      <c r="H1237" t="str">
        <f t="shared" si="22"/>
        <v>15006150061372</v>
      </c>
    </row>
    <row r="1238" spans="1:8" ht="15" customHeight="1" x14ac:dyDescent="0.25">
      <c r="A1238" s="110" t="s">
        <v>5565</v>
      </c>
      <c r="B1238" s="125" t="s">
        <v>1786</v>
      </c>
      <c r="C1238" s="138">
        <v>0.23</v>
      </c>
      <c r="D1238" s="138">
        <v>13.8</v>
      </c>
      <c r="E1238" s="138">
        <v>260.86956521739131</v>
      </c>
      <c r="F1238" s="139">
        <v>0.23</v>
      </c>
      <c r="H1238" t="str">
        <f t="shared" si="22"/>
        <v>15006150061373</v>
      </c>
    </row>
    <row r="1239" spans="1:8" ht="15" customHeight="1" x14ac:dyDescent="0.25">
      <c r="A1239" s="110" t="s">
        <v>5566</v>
      </c>
      <c r="B1239" s="125" t="s">
        <v>1787</v>
      </c>
      <c r="C1239" s="138">
        <v>0.17</v>
      </c>
      <c r="D1239" s="138">
        <v>10.200000000000001</v>
      </c>
      <c r="E1239" s="138">
        <v>352.94117647058818</v>
      </c>
      <c r="F1239" s="139">
        <v>0.17</v>
      </c>
      <c r="H1239" t="str">
        <f t="shared" si="22"/>
        <v>15006150061375</v>
      </c>
    </row>
    <row r="1240" spans="1:8" ht="15" customHeight="1" x14ac:dyDescent="0.25">
      <c r="A1240" s="110" t="s">
        <v>5567</v>
      </c>
      <c r="B1240" s="125" t="s">
        <v>1787</v>
      </c>
      <c r="C1240" s="138">
        <v>0.62</v>
      </c>
      <c r="D1240" s="138">
        <v>37.200000000000003</v>
      </c>
      <c r="E1240" s="138">
        <v>96.774193548387089</v>
      </c>
      <c r="F1240" s="139">
        <v>0.62</v>
      </c>
      <c r="H1240" t="str">
        <f t="shared" si="22"/>
        <v>15006150061378</v>
      </c>
    </row>
    <row r="1241" spans="1:8" ht="15" customHeight="1" x14ac:dyDescent="0.25">
      <c r="A1241" s="110" t="s">
        <v>5568</v>
      </c>
      <c r="B1241" s="125" t="s">
        <v>1788</v>
      </c>
      <c r="C1241" s="138">
        <v>0.17</v>
      </c>
      <c r="D1241" s="138">
        <v>10.200000000000001</v>
      </c>
      <c r="E1241" s="138">
        <v>352.94117647058818</v>
      </c>
      <c r="F1241" s="139">
        <v>0.17</v>
      </c>
      <c r="H1241" t="str">
        <f t="shared" si="22"/>
        <v>15006150061380</v>
      </c>
    </row>
    <row r="1242" spans="1:8" ht="15" customHeight="1" x14ac:dyDescent="0.25">
      <c r="A1242" s="110" t="s">
        <v>5569</v>
      </c>
      <c r="B1242" s="125" t="s">
        <v>1789</v>
      </c>
      <c r="C1242" s="138">
        <v>0.17</v>
      </c>
      <c r="D1242" s="138">
        <v>10.200000000000001</v>
      </c>
      <c r="E1242" s="138">
        <v>352.94117647058818</v>
      </c>
      <c r="F1242" s="139">
        <v>0.17</v>
      </c>
      <c r="H1242" t="str">
        <f t="shared" si="22"/>
        <v>15006150061385</v>
      </c>
    </row>
    <row r="1243" spans="1:8" ht="15" customHeight="1" x14ac:dyDescent="0.25">
      <c r="A1243" s="110" t="s">
        <v>5570</v>
      </c>
      <c r="B1243" s="125" t="s">
        <v>1790</v>
      </c>
      <c r="C1243" s="138">
        <v>0.17</v>
      </c>
      <c r="D1243" s="138">
        <v>10.200000000000001</v>
      </c>
      <c r="E1243" s="138">
        <v>352.94117647058818</v>
      </c>
      <c r="F1243" s="139">
        <v>0.17</v>
      </c>
      <c r="H1243" t="str">
        <f t="shared" si="22"/>
        <v>15006150061390</v>
      </c>
    </row>
    <row r="1244" spans="1:8" ht="15" customHeight="1" x14ac:dyDescent="0.25">
      <c r="A1244" s="110" t="s">
        <v>4257</v>
      </c>
      <c r="B1244" s="125" t="s">
        <v>1138</v>
      </c>
      <c r="C1244" s="138">
        <v>0.25</v>
      </c>
      <c r="D1244" s="138">
        <v>15</v>
      </c>
      <c r="E1244" s="138">
        <v>240</v>
      </c>
      <c r="F1244" s="139">
        <v>0.25</v>
      </c>
      <c r="H1244" t="str">
        <f t="shared" si="22"/>
        <v>15006150061400</v>
      </c>
    </row>
    <row r="1245" spans="1:8" ht="15" customHeight="1" x14ac:dyDescent="0.25">
      <c r="A1245" s="110" t="s">
        <v>4257</v>
      </c>
      <c r="B1245" s="125" t="s">
        <v>1791</v>
      </c>
      <c r="C1245" s="138">
        <v>0.81</v>
      </c>
      <c r="D1245" s="138">
        <v>48.6</v>
      </c>
      <c r="E1245" s="138">
        <v>74.074074074074076</v>
      </c>
      <c r="F1245" s="139">
        <v>0.81</v>
      </c>
      <c r="H1245" t="str">
        <f t="shared" si="22"/>
        <v>15006150061400</v>
      </c>
    </row>
    <row r="1246" spans="1:8" ht="15" customHeight="1" x14ac:dyDescent="0.25">
      <c r="A1246" s="110" t="s">
        <v>4258</v>
      </c>
      <c r="B1246" s="125" t="s">
        <v>1139</v>
      </c>
      <c r="C1246" s="138">
        <v>0.25</v>
      </c>
      <c r="D1246" s="138">
        <v>15</v>
      </c>
      <c r="E1246" s="138">
        <v>240</v>
      </c>
      <c r="F1246" s="139">
        <v>0.25</v>
      </c>
      <c r="H1246" t="str">
        <f t="shared" si="22"/>
        <v>15006150061401</v>
      </c>
    </row>
    <row r="1247" spans="1:8" ht="15" customHeight="1" x14ac:dyDescent="0.25">
      <c r="A1247" s="110" t="s">
        <v>4259</v>
      </c>
      <c r="B1247" s="125" t="s">
        <v>1140</v>
      </c>
      <c r="C1247" s="138">
        <v>0.96</v>
      </c>
      <c r="D1247" s="138">
        <v>57.599999999999994</v>
      </c>
      <c r="E1247" s="138">
        <v>62.500000000000007</v>
      </c>
      <c r="F1247" s="139">
        <v>0.96</v>
      </c>
      <c r="H1247" t="str">
        <f t="shared" si="22"/>
        <v>15006150061402</v>
      </c>
    </row>
    <row r="1248" spans="1:8" ht="15" customHeight="1" x14ac:dyDescent="0.25">
      <c r="A1248" s="110" t="s">
        <v>4260</v>
      </c>
      <c r="B1248" s="125" t="s">
        <v>1141</v>
      </c>
      <c r="C1248" s="138">
        <v>0.96</v>
      </c>
      <c r="D1248" s="138">
        <v>57.599999999999994</v>
      </c>
      <c r="E1248" s="138">
        <v>62.500000000000007</v>
      </c>
      <c r="F1248" s="139">
        <v>0.96</v>
      </c>
      <c r="H1248" t="str">
        <f t="shared" si="22"/>
        <v>15006150061403</v>
      </c>
    </row>
    <row r="1249" spans="1:8" ht="15" customHeight="1" x14ac:dyDescent="0.25">
      <c r="A1249" s="110" t="s">
        <v>4261</v>
      </c>
      <c r="B1249" s="125" t="s">
        <v>1142</v>
      </c>
      <c r="C1249" s="138">
        <v>0.86</v>
      </c>
      <c r="D1249" s="138">
        <v>51.6</v>
      </c>
      <c r="E1249" s="138">
        <v>69.767441860465112</v>
      </c>
      <c r="F1249" s="139">
        <v>0.86</v>
      </c>
      <c r="H1249" t="str">
        <f t="shared" si="22"/>
        <v>15006150061404</v>
      </c>
    </row>
    <row r="1250" spans="1:8" ht="15" customHeight="1" x14ac:dyDescent="0.25">
      <c r="A1250" s="110" t="s">
        <v>4262</v>
      </c>
      <c r="B1250" s="125" t="s">
        <v>1145</v>
      </c>
      <c r="C1250" s="138">
        <v>0.86</v>
      </c>
      <c r="D1250" s="138">
        <v>51.6</v>
      </c>
      <c r="E1250" s="138">
        <v>69.767441860465112</v>
      </c>
      <c r="F1250" s="139">
        <v>0.86</v>
      </c>
      <c r="H1250" t="str">
        <f t="shared" si="22"/>
        <v>15006150061405</v>
      </c>
    </row>
    <row r="1251" spans="1:8" ht="15" customHeight="1" x14ac:dyDescent="0.25">
      <c r="A1251" s="110" t="s">
        <v>4263</v>
      </c>
      <c r="B1251" s="125" t="s">
        <v>1148</v>
      </c>
      <c r="C1251" s="138">
        <v>0.51</v>
      </c>
      <c r="D1251" s="138">
        <v>30.6</v>
      </c>
      <c r="E1251" s="138">
        <v>117.64705882352941</v>
      </c>
      <c r="F1251" s="139">
        <v>0.51</v>
      </c>
      <c r="H1251" t="str">
        <f t="shared" si="22"/>
        <v>15006150061406</v>
      </c>
    </row>
    <row r="1252" spans="1:8" ht="15" customHeight="1" x14ac:dyDescent="0.25">
      <c r="A1252" s="110" t="s">
        <v>4264</v>
      </c>
      <c r="B1252" s="125" t="s">
        <v>1149</v>
      </c>
      <c r="C1252" s="138">
        <v>0.51</v>
      </c>
      <c r="D1252" s="138">
        <v>30.6</v>
      </c>
      <c r="E1252" s="138">
        <v>117.64705882352941</v>
      </c>
      <c r="F1252" s="139">
        <v>0.51</v>
      </c>
      <c r="H1252" t="str">
        <f t="shared" si="22"/>
        <v>15006150061407</v>
      </c>
    </row>
    <row r="1253" spans="1:8" ht="15" customHeight="1" x14ac:dyDescent="0.25">
      <c r="A1253" s="110" t="s">
        <v>4265</v>
      </c>
      <c r="B1253" s="125" t="s">
        <v>1150</v>
      </c>
      <c r="C1253" s="138">
        <v>0.66</v>
      </c>
      <c r="D1253" s="138">
        <v>39.6</v>
      </c>
      <c r="E1253" s="138">
        <v>90.909090909090907</v>
      </c>
      <c r="F1253" s="139">
        <v>0.66</v>
      </c>
      <c r="H1253" t="str">
        <f t="shared" si="22"/>
        <v>15006150061408</v>
      </c>
    </row>
    <row r="1254" spans="1:8" ht="15" customHeight="1" x14ac:dyDescent="0.25">
      <c r="A1254" s="110" t="s">
        <v>4266</v>
      </c>
      <c r="B1254" s="125" t="s">
        <v>1151</v>
      </c>
      <c r="C1254" s="138">
        <v>0.66</v>
      </c>
      <c r="D1254" s="138">
        <v>39.6</v>
      </c>
      <c r="E1254" s="138">
        <v>90.909090909090907</v>
      </c>
      <c r="F1254" s="139">
        <v>0.66</v>
      </c>
      <c r="H1254" t="str">
        <f t="shared" si="22"/>
        <v>15006150061409</v>
      </c>
    </row>
    <row r="1255" spans="1:8" ht="15" customHeight="1" x14ac:dyDescent="0.25">
      <c r="A1255" s="110" t="s">
        <v>4267</v>
      </c>
      <c r="B1255" s="125" t="s">
        <v>1152</v>
      </c>
      <c r="C1255" s="138">
        <v>0.61</v>
      </c>
      <c r="D1255" s="138">
        <v>36.6</v>
      </c>
      <c r="E1255" s="138">
        <v>98.360655737704917</v>
      </c>
      <c r="F1255" s="139">
        <v>0.61</v>
      </c>
      <c r="H1255" t="str">
        <f t="shared" si="22"/>
        <v>15006150061410</v>
      </c>
    </row>
    <row r="1256" spans="1:8" ht="15" customHeight="1" x14ac:dyDescent="0.25">
      <c r="A1256" s="110" t="s">
        <v>4267</v>
      </c>
      <c r="B1256" s="125" t="s">
        <v>1792</v>
      </c>
      <c r="C1256" s="138">
        <v>0.19</v>
      </c>
      <c r="D1256" s="138">
        <v>11.4</v>
      </c>
      <c r="E1256" s="138">
        <v>315.78947368421052</v>
      </c>
      <c r="F1256" s="139">
        <v>0.19</v>
      </c>
      <c r="H1256" t="str">
        <f t="shared" si="22"/>
        <v>15006150061410</v>
      </c>
    </row>
    <row r="1257" spans="1:8" ht="15" customHeight="1" x14ac:dyDescent="0.25">
      <c r="A1257" s="110" t="s">
        <v>4268</v>
      </c>
      <c r="B1257" s="125" t="s">
        <v>1153</v>
      </c>
      <c r="C1257" s="138">
        <v>0.61</v>
      </c>
      <c r="D1257" s="138">
        <v>36.6</v>
      </c>
      <c r="E1257" s="138">
        <v>98.360655737704917</v>
      </c>
      <c r="F1257" s="139">
        <v>0.61</v>
      </c>
      <c r="H1257" t="str">
        <f t="shared" si="22"/>
        <v>15006150061411</v>
      </c>
    </row>
    <row r="1258" spans="1:8" ht="15" customHeight="1" x14ac:dyDescent="0.25">
      <c r="A1258" s="110" t="s">
        <v>4269</v>
      </c>
      <c r="B1258" s="125" t="s">
        <v>1154</v>
      </c>
      <c r="C1258" s="138">
        <v>0.66</v>
      </c>
      <c r="D1258" s="138">
        <v>39.6</v>
      </c>
      <c r="E1258" s="138">
        <v>90.909090909090907</v>
      </c>
      <c r="F1258" s="139">
        <v>0.66</v>
      </c>
      <c r="H1258" t="str">
        <f t="shared" si="22"/>
        <v>15006150061412</v>
      </c>
    </row>
    <row r="1259" spans="1:8" ht="15" customHeight="1" x14ac:dyDescent="0.25">
      <c r="A1259" s="110" t="s">
        <v>4270</v>
      </c>
      <c r="B1259" s="125" t="s">
        <v>1155</v>
      </c>
      <c r="C1259" s="138">
        <v>0.66</v>
      </c>
      <c r="D1259" s="138">
        <v>39.6</v>
      </c>
      <c r="E1259" s="138">
        <v>90.909090909090907</v>
      </c>
      <c r="F1259" s="139">
        <v>0.66</v>
      </c>
      <c r="H1259" t="str">
        <f t="shared" si="22"/>
        <v>15006150061413</v>
      </c>
    </row>
    <row r="1260" spans="1:8" ht="15" customHeight="1" x14ac:dyDescent="0.25">
      <c r="A1260" s="110" t="s">
        <v>4271</v>
      </c>
      <c r="B1260" s="125" t="s">
        <v>1143</v>
      </c>
      <c r="C1260" s="138">
        <v>0.25</v>
      </c>
      <c r="D1260" s="138">
        <v>15</v>
      </c>
      <c r="E1260" s="138">
        <v>240</v>
      </c>
      <c r="F1260" s="139">
        <v>0.25</v>
      </c>
      <c r="H1260" t="str">
        <f t="shared" si="22"/>
        <v>15006150061414</v>
      </c>
    </row>
    <row r="1261" spans="1:8" ht="15" customHeight="1" x14ac:dyDescent="0.25">
      <c r="A1261" s="110" t="s">
        <v>4272</v>
      </c>
      <c r="B1261" s="125" t="s">
        <v>1146</v>
      </c>
      <c r="C1261" s="138">
        <v>0.25</v>
      </c>
      <c r="D1261" s="138">
        <v>15</v>
      </c>
      <c r="E1261" s="138">
        <v>240</v>
      </c>
      <c r="F1261" s="139">
        <v>0.25</v>
      </c>
      <c r="H1261" t="str">
        <f t="shared" si="22"/>
        <v>15006150061415</v>
      </c>
    </row>
    <row r="1262" spans="1:8" ht="15" customHeight="1" x14ac:dyDescent="0.25">
      <c r="A1262" s="110" t="s">
        <v>4273</v>
      </c>
      <c r="B1262" s="125" t="s">
        <v>1144</v>
      </c>
      <c r="C1262" s="138">
        <v>0.25</v>
      </c>
      <c r="D1262" s="138">
        <v>15</v>
      </c>
      <c r="E1262" s="138">
        <v>240</v>
      </c>
      <c r="F1262" s="139">
        <v>0.25</v>
      </c>
      <c r="H1262" t="str">
        <f t="shared" si="22"/>
        <v>15006150061416</v>
      </c>
    </row>
    <row r="1263" spans="1:8" ht="15" customHeight="1" x14ac:dyDescent="0.25">
      <c r="A1263" s="110" t="s">
        <v>4274</v>
      </c>
      <c r="B1263" s="125" t="s">
        <v>1147</v>
      </c>
      <c r="C1263" s="138">
        <v>0.25</v>
      </c>
      <c r="D1263" s="138">
        <v>15</v>
      </c>
      <c r="E1263" s="138">
        <v>240</v>
      </c>
      <c r="F1263" s="139">
        <v>0.25</v>
      </c>
      <c r="H1263" t="str">
        <f t="shared" si="22"/>
        <v>15006150061417</v>
      </c>
    </row>
    <row r="1264" spans="1:8" ht="15" customHeight="1" x14ac:dyDescent="0.25">
      <c r="A1264" s="110" t="s">
        <v>4275</v>
      </c>
      <c r="B1264" s="125" t="s">
        <v>1156</v>
      </c>
      <c r="C1264" s="138">
        <v>0.82</v>
      </c>
      <c r="D1264" s="138">
        <v>49.199999999999996</v>
      </c>
      <c r="E1264" s="138">
        <v>73.170731707317074</v>
      </c>
      <c r="F1264" s="139">
        <v>0.82</v>
      </c>
      <c r="H1264" t="str">
        <f t="shared" si="22"/>
        <v>15006150061418</v>
      </c>
    </row>
    <row r="1265" spans="1:8" ht="15" customHeight="1" x14ac:dyDescent="0.25">
      <c r="A1265" s="110" t="s">
        <v>4276</v>
      </c>
      <c r="B1265" s="125" t="s">
        <v>1157</v>
      </c>
      <c r="C1265" s="138">
        <v>0.82</v>
      </c>
      <c r="D1265" s="138">
        <v>49.199999999999996</v>
      </c>
      <c r="E1265" s="138">
        <v>73.170731707317074</v>
      </c>
      <c r="F1265" s="139">
        <v>0.82</v>
      </c>
      <c r="H1265" t="str">
        <f t="shared" si="22"/>
        <v>15006150061419</v>
      </c>
    </row>
    <row r="1266" spans="1:8" ht="15" customHeight="1" x14ac:dyDescent="0.25">
      <c r="A1266" s="110" t="s">
        <v>4277</v>
      </c>
      <c r="B1266" s="125" t="s">
        <v>435</v>
      </c>
      <c r="C1266" s="138">
        <v>0.79</v>
      </c>
      <c r="D1266" s="138">
        <v>47.400000000000006</v>
      </c>
      <c r="E1266" s="138">
        <v>75.949367088607588</v>
      </c>
      <c r="F1266" s="139">
        <v>0.79</v>
      </c>
      <c r="H1266" t="str">
        <f t="shared" si="22"/>
        <v>15006150061420</v>
      </c>
    </row>
    <row r="1267" spans="1:8" ht="15" customHeight="1" x14ac:dyDescent="0.25">
      <c r="A1267" s="110" t="s">
        <v>4277</v>
      </c>
      <c r="B1267" s="125" t="s">
        <v>1793</v>
      </c>
      <c r="C1267" s="138">
        <v>0.63</v>
      </c>
      <c r="D1267" s="138">
        <v>37.799999999999997</v>
      </c>
      <c r="E1267" s="138">
        <v>95.238095238095241</v>
      </c>
      <c r="F1267" s="139">
        <v>0.63</v>
      </c>
      <c r="H1267" t="str">
        <f t="shared" si="22"/>
        <v>15006150061420</v>
      </c>
    </row>
    <row r="1268" spans="1:8" ht="15" customHeight="1" x14ac:dyDescent="0.25">
      <c r="A1268" s="110" t="s">
        <v>4278</v>
      </c>
      <c r="B1268" s="125" t="s">
        <v>436</v>
      </c>
      <c r="C1268" s="138">
        <v>0.79</v>
      </c>
      <c r="D1268" s="138">
        <v>47.400000000000006</v>
      </c>
      <c r="E1268" s="138">
        <v>75.949367088607588</v>
      </c>
      <c r="F1268" s="139">
        <v>0.79</v>
      </c>
      <c r="H1268" t="str">
        <f t="shared" si="22"/>
        <v>15006150061421</v>
      </c>
    </row>
    <row r="1269" spans="1:8" ht="15" customHeight="1" x14ac:dyDescent="0.25">
      <c r="A1269" s="110" t="s">
        <v>4279</v>
      </c>
      <c r="B1269" s="125" t="s">
        <v>437</v>
      </c>
      <c r="C1269" s="138">
        <v>0.81</v>
      </c>
      <c r="D1269" s="138">
        <v>48.6</v>
      </c>
      <c r="E1269" s="138">
        <v>74.074074074074076</v>
      </c>
      <c r="F1269" s="139">
        <v>0.81</v>
      </c>
      <c r="H1269" t="str">
        <f t="shared" si="22"/>
        <v>15006150061422</v>
      </c>
    </row>
    <row r="1270" spans="1:8" ht="15" customHeight="1" x14ac:dyDescent="0.25">
      <c r="A1270" s="110" t="s">
        <v>4280</v>
      </c>
      <c r="B1270" s="125" t="s">
        <v>438</v>
      </c>
      <c r="C1270" s="138">
        <v>0.81</v>
      </c>
      <c r="D1270" s="138">
        <v>48.6</v>
      </c>
      <c r="E1270" s="138">
        <v>74.074074074074076</v>
      </c>
      <c r="F1270" s="139">
        <v>0.81</v>
      </c>
      <c r="H1270" t="str">
        <f t="shared" si="22"/>
        <v>15006150061423</v>
      </c>
    </row>
    <row r="1271" spans="1:8" ht="15" customHeight="1" x14ac:dyDescent="0.25">
      <c r="A1271" s="110" t="s">
        <v>4281</v>
      </c>
      <c r="B1271" s="125" t="s">
        <v>498</v>
      </c>
      <c r="C1271" s="138">
        <v>0.56000000000000005</v>
      </c>
      <c r="D1271" s="138">
        <v>33.6</v>
      </c>
      <c r="E1271" s="138">
        <v>107.14285714285714</v>
      </c>
      <c r="F1271" s="139">
        <v>0.56000000000000005</v>
      </c>
      <c r="H1271" t="str">
        <f t="shared" si="22"/>
        <v>15006150061424</v>
      </c>
    </row>
    <row r="1272" spans="1:8" ht="15" customHeight="1" x14ac:dyDescent="0.25">
      <c r="A1272" s="110" t="s">
        <v>4282</v>
      </c>
      <c r="B1272" s="125" t="s">
        <v>499</v>
      </c>
      <c r="C1272" s="138">
        <v>0.56000000000000005</v>
      </c>
      <c r="D1272" s="138">
        <v>33.6</v>
      </c>
      <c r="E1272" s="138">
        <v>107.14285714285714</v>
      </c>
      <c r="F1272" s="139">
        <v>0.56000000000000005</v>
      </c>
      <c r="H1272" t="str">
        <f t="shared" si="22"/>
        <v>15006150061425</v>
      </c>
    </row>
    <row r="1273" spans="1:8" ht="15" customHeight="1" x14ac:dyDescent="0.25">
      <c r="A1273" s="110" t="s">
        <v>4283</v>
      </c>
      <c r="B1273" s="125" t="s">
        <v>1158</v>
      </c>
      <c r="C1273" s="138">
        <v>0.38</v>
      </c>
      <c r="D1273" s="138">
        <v>22.8</v>
      </c>
      <c r="E1273" s="138">
        <v>157.89473684210526</v>
      </c>
      <c r="F1273" s="139">
        <v>0.38</v>
      </c>
      <c r="H1273" t="str">
        <f t="shared" si="22"/>
        <v>15006150061426</v>
      </c>
    </row>
    <row r="1274" spans="1:8" ht="15" customHeight="1" x14ac:dyDescent="0.25">
      <c r="A1274" s="110" t="s">
        <v>4284</v>
      </c>
      <c r="B1274" s="125" t="s">
        <v>1159</v>
      </c>
      <c r="C1274" s="138">
        <v>0.6</v>
      </c>
      <c r="D1274" s="138">
        <v>36</v>
      </c>
      <c r="E1274" s="138">
        <v>100</v>
      </c>
      <c r="F1274" s="139">
        <v>0.6</v>
      </c>
      <c r="H1274" t="str">
        <f t="shared" si="22"/>
        <v>15006150061427</v>
      </c>
    </row>
    <row r="1275" spans="1:8" ht="15" customHeight="1" x14ac:dyDescent="0.25">
      <c r="A1275" s="110" t="s">
        <v>4285</v>
      </c>
      <c r="B1275" s="125" t="s">
        <v>1160</v>
      </c>
      <c r="C1275" s="138">
        <v>0.24</v>
      </c>
      <c r="D1275" s="138">
        <v>14.399999999999999</v>
      </c>
      <c r="E1275" s="138">
        <v>250.00000000000003</v>
      </c>
      <c r="F1275" s="139">
        <v>0.24</v>
      </c>
      <c r="H1275" t="str">
        <f t="shared" si="22"/>
        <v>15006150061428</v>
      </c>
    </row>
    <row r="1276" spans="1:8" ht="15" customHeight="1" x14ac:dyDescent="0.25">
      <c r="A1276" s="110" t="s">
        <v>4287</v>
      </c>
      <c r="B1276" s="125" t="s">
        <v>1161</v>
      </c>
      <c r="C1276" s="138">
        <v>0.33</v>
      </c>
      <c r="D1276" s="138">
        <v>19.8</v>
      </c>
      <c r="E1276" s="138">
        <v>181.81818181818181</v>
      </c>
      <c r="F1276" s="139">
        <v>0.33</v>
      </c>
      <c r="H1276" t="str">
        <f t="shared" si="22"/>
        <v>15006150061430</v>
      </c>
    </row>
    <row r="1277" spans="1:8" ht="15" customHeight="1" x14ac:dyDescent="0.25">
      <c r="A1277" s="110" t="s">
        <v>4288</v>
      </c>
      <c r="B1277" s="125" t="s">
        <v>1162</v>
      </c>
      <c r="C1277" s="138">
        <v>0.65</v>
      </c>
      <c r="D1277" s="138">
        <v>39</v>
      </c>
      <c r="E1277" s="138">
        <v>92.307692307692307</v>
      </c>
      <c r="F1277" s="139">
        <v>0.65</v>
      </c>
      <c r="H1277" t="str">
        <f t="shared" si="22"/>
        <v>15006150061431</v>
      </c>
    </row>
    <row r="1278" spans="1:8" ht="15" customHeight="1" x14ac:dyDescent="0.25">
      <c r="A1278" s="110" t="s">
        <v>4289</v>
      </c>
      <c r="B1278" s="125" t="s">
        <v>1163</v>
      </c>
      <c r="C1278" s="138">
        <v>0.37</v>
      </c>
      <c r="D1278" s="138">
        <v>22.2</v>
      </c>
      <c r="E1278" s="138">
        <v>162.16216216216216</v>
      </c>
      <c r="F1278" s="139">
        <v>0.37</v>
      </c>
      <c r="H1278" t="str">
        <f t="shared" si="22"/>
        <v>15006150061432</v>
      </c>
    </row>
    <row r="1279" spans="1:8" ht="15" customHeight="1" x14ac:dyDescent="0.25">
      <c r="A1279" s="110" t="s">
        <v>4290</v>
      </c>
      <c r="B1279" s="125" t="s">
        <v>1164</v>
      </c>
      <c r="C1279" s="138">
        <v>0.11</v>
      </c>
      <c r="D1279" s="138">
        <v>6.6</v>
      </c>
      <c r="E1279" s="138">
        <v>545.4545454545455</v>
      </c>
      <c r="F1279" s="139">
        <v>0.11</v>
      </c>
      <c r="H1279" t="str">
        <f t="shared" si="22"/>
        <v>15006150061433</v>
      </c>
    </row>
    <row r="1280" spans="1:8" ht="15" customHeight="1" x14ac:dyDescent="0.25">
      <c r="A1280" s="110" t="s">
        <v>4292</v>
      </c>
      <c r="B1280" s="125" t="s">
        <v>1165</v>
      </c>
      <c r="C1280" s="138">
        <v>0.09</v>
      </c>
      <c r="D1280" s="138">
        <v>5.3999999999999995</v>
      </c>
      <c r="E1280" s="138">
        <v>666.66666666666674</v>
      </c>
      <c r="F1280" s="139">
        <v>0.09</v>
      </c>
      <c r="H1280" t="str">
        <f t="shared" si="22"/>
        <v>15006150061435</v>
      </c>
    </row>
    <row r="1281" spans="1:8" ht="15" customHeight="1" x14ac:dyDescent="0.25">
      <c r="A1281" s="110" t="s">
        <v>4292</v>
      </c>
      <c r="B1281" s="125" t="s">
        <v>1794</v>
      </c>
      <c r="C1281" s="138">
        <v>0.36</v>
      </c>
      <c r="D1281" s="138">
        <v>21.599999999999998</v>
      </c>
      <c r="E1281" s="138">
        <v>166.66666666666669</v>
      </c>
      <c r="F1281" s="139">
        <v>0.36</v>
      </c>
      <c r="H1281" t="str">
        <f t="shared" si="22"/>
        <v>15006150061435</v>
      </c>
    </row>
    <row r="1282" spans="1:8" ht="15" customHeight="1" x14ac:dyDescent="0.25">
      <c r="A1282" s="110" t="s">
        <v>4293</v>
      </c>
      <c r="B1282" s="125" t="s">
        <v>1166</v>
      </c>
      <c r="C1282" s="138">
        <v>0.9</v>
      </c>
      <c r="D1282" s="138">
        <v>54</v>
      </c>
      <c r="E1282" s="138">
        <v>66.666666666666671</v>
      </c>
      <c r="F1282" s="139">
        <v>0.9</v>
      </c>
      <c r="H1282" t="str">
        <f t="shared" si="22"/>
        <v>15006150061436</v>
      </c>
    </row>
    <row r="1283" spans="1:8" ht="15" customHeight="1" x14ac:dyDescent="0.25">
      <c r="A1283" s="110" t="s">
        <v>4294</v>
      </c>
      <c r="B1283" s="125" t="s">
        <v>1167</v>
      </c>
      <c r="C1283" s="138">
        <v>0.39</v>
      </c>
      <c r="D1283" s="138">
        <v>23.400000000000002</v>
      </c>
      <c r="E1283" s="138">
        <v>153.84615384615384</v>
      </c>
      <c r="F1283" s="139">
        <v>0.39</v>
      </c>
      <c r="H1283" t="str">
        <f t="shared" si="22"/>
        <v>15006150061437</v>
      </c>
    </row>
    <row r="1284" spans="1:8" ht="15" customHeight="1" x14ac:dyDescent="0.25">
      <c r="A1284" s="110" t="s">
        <v>4295</v>
      </c>
      <c r="B1284" s="125" t="s">
        <v>1168</v>
      </c>
      <c r="C1284" s="138">
        <v>0.39</v>
      </c>
      <c r="D1284" s="138">
        <v>23.400000000000002</v>
      </c>
      <c r="E1284" s="138">
        <v>153.84615384615384</v>
      </c>
      <c r="F1284" s="139">
        <v>0.39</v>
      </c>
      <c r="H1284" t="str">
        <f t="shared" ref="H1284:H1347" si="23">CONCATENATE($G$835,A1284)</f>
        <v>15006150061438</v>
      </c>
    </row>
    <row r="1285" spans="1:8" ht="15" customHeight="1" x14ac:dyDescent="0.25">
      <c r="A1285" s="110" t="s">
        <v>4296</v>
      </c>
      <c r="B1285" s="125" t="s">
        <v>1169</v>
      </c>
      <c r="C1285" s="138">
        <v>0.44</v>
      </c>
      <c r="D1285" s="138">
        <v>26.4</v>
      </c>
      <c r="E1285" s="138">
        <v>136.36363636363637</v>
      </c>
      <c r="F1285" s="139">
        <v>0.44</v>
      </c>
      <c r="H1285" t="str">
        <f t="shared" si="23"/>
        <v>15006150061439</v>
      </c>
    </row>
    <row r="1286" spans="1:8" ht="15" customHeight="1" x14ac:dyDescent="0.25">
      <c r="A1286" s="110" t="s">
        <v>4297</v>
      </c>
      <c r="B1286" s="125" t="s">
        <v>1170</v>
      </c>
      <c r="C1286" s="138">
        <v>0.44</v>
      </c>
      <c r="D1286" s="138">
        <v>26.4</v>
      </c>
      <c r="E1286" s="138">
        <v>136.36363636363637</v>
      </c>
      <c r="F1286" s="139">
        <v>0.44</v>
      </c>
      <c r="H1286" t="str">
        <f t="shared" si="23"/>
        <v>15006150061440</v>
      </c>
    </row>
    <row r="1287" spans="1:8" ht="15" customHeight="1" x14ac:dyDescent="0.25">
      <c r="A1287" s="110" t="s">
        <v>4297</v>
      </c>
      <c r="B1287" s="125" t="s">
        <v>1795</v>
      </c>
      <c r="C1287" s="138">
        <v>0.36</v>
      </c>
      <c r="D1287" s="138">
        <v>21.599999999999998</v>
      </c>
      <c r="E1287" s="138">
        <v>166.66666666666669</v>
      </c>
      <c r="F1287" s="139">
        <v>0.36</v>
      </c>
      <c r="H1287" t="str">
        <f t="shared" si="23"/>
        <v>15006150061440</v>
      </c>
    </row>
    <row r="1288" spans="1:8" ht="15" customHeight="1" x14ac:dyDescent="0.25">
      <c r="A1288" s="110" t="s">
        <v>4298</v>
      </c>
      <c r="B1288" s="125" t="s">
        <v>1171</v>
      </c>
      <c r="C1288" s="138">
        <v>0.43</v>
      </c>
      <c r="D1288" s="138">
        <v>25.8</v>
      </c>
      <c r="E1288" s="138">
        <v>139.53488372093022</v>
      </c>
      <c r="F1288" s="139">
        <v>0.43</v>
      </c>
      <c r="H1288" t="str">
        <f t="shared" si="23"/>
        <v>15006150061441</v>
      </c>
    </row>
    <row r="1289" spans="1:8" ht="15" customHeight="1" x14ac:dyDescent="0.25">
      <c r="A1289" s="110" t="s">
        <v>4299</v>
      </c>
      <c r="B1289" s="125" t="s">
        <v>1172</v>
      </c>
      <c r="C1289" s="138">
        <v>0.43</v>
      </c>
      <c r="D1289" s="138">
        <v>25.8</v>
      </c>
      <c r="E1289" s="138">
        <v>139.53488372093022</v>
      </c>
      <c r="F1289" s="139">
        <v>0.43</v>
      </c>
      <c r="H1289" t="str">
        <f t="shared" si="23"/>
        <v>15006150061442</v>
      </c>
    </row>
    <row r="1290" spans="1:8" ht="15" customHeight="1" x14ac:dyDescent="0.25">
      <c r="A1290" s="110" t="s">
        <v>4300</v>
      </c>
      <c r="B1290" s="125" t="s">
        <v>1173</v>
      </c>
      <c r="C1290" s="138">
        <v>0.42</v>
      </c>
      <c r="D1290" s="138">
        <v>25.2</v>
      </c>
      <c r="E1290" s="138">
        <v>142.85714285714286</v>
      </c>
      <c r="F1290" s="139">
        <v>0.42</v>
      </c>
      <c r="H1290" t="str">
        <f t="shared" si="23"/>
        <v>15006150061443</v>
      </c>
    </row>
    <row r="1291" spans="1:8" ht="15" customHeight="1" x14ac:dyDescent="0.25">
      <c r="A1291" s="110" t="s">
        <v>4301</v>
      </c>
      <c r="B1291" s="125" t="s">
        <v>1174</v>
      </c>
      <c r="C1291" s="138">
        <v>0.42</v>
      </c>
      <c r="D1291" s="138">
        <v>25.2</v>
      </c>
      <c r="E1291" s="138">
        <v>142.85714285714286</v>
      </c>
      <c r="F1291" s="139">
        <v>0.42</v>
      </c>
      <c r="H1291" t="str">
        <f t="shared" si="23"/>
        <v>15006150061444</v>
      </c>
    </row>
    <row r="1292" spans="1:8" ht="15" customHeight="1" x14ac:dyDescent="0.25">
      <c r="A1292" s="110" t="s">
        <v>4302</v>
      </c>
      <c r="B1292" s="125" t="s">
        <v>1175</v>
      </c>
      <c r="C1292" s="138">
        <v>2.5</v>
      </c>
      <c r="D1292" s="138">
        <v>150</v>
      </c>
      <c r="E1292" s="138">
        <v>24</v>
      </c>
      <c r="F1292" s="139">
        <v>2.5</v>
      </c>
      <c r="H1292" t="str">
        <f t="shared" si="23"/>
        <v>15006150061445</v>
      </c>
    </row>
    <row r="1293" spans="1:8" ht="15" customHeight="1" x14ac:dyDescent="0.25">
      <c r="A1293" s="110" t="s">
        <v>4302</v>
      </c>
      <c r="B1293" s="125" t="s">
        <v>1796</v>
      </c>
      <c r="C1293" s="138">
        <v>0.36</v>
      </c>
      <c r="D1293" s="138">
        <v>21.599999999999998</v>
      </c>
      <c r="E1293" s="138">
        <v>166.66666666666669</v>
      </c>
      <c r="F1293" s="139">
        <v>0.36</v>
      </c>
      <c r="H1293" t="str">
        <f t="shared" si="23"/>
        <v>15006150061445</v>
      </c>
    </row>
    <row r="1294" spans="1:8" ht="15" customHeight="1" x14ac:dyDescent="0.25">
      <c r="A1294" s="110" t="s">
        <v>4303</v>
      </c>
      <c r="B1294" s="125" t="s">
        <v>661</v>
      </c>
      <c r="C1294" s="138">
        <v>2.5</v>
      </c>
      <c r="D1294" s="138">
        <v>150</v>
      </c>
      <c r="E1294" s="138">
        <v>24</v>
      </c>
      <c r="F1294" s="139">
        <v>2.5</v>
      </c>
      <c r="H1294" t="str">
        <f t="shared" si="23"/>
        <v>15006150061446</v>
      </c>
    </row>
    <row r="1295" spans="1:8" ht="15" customHeight="1" x14ac:dyDescent="0.25">
      <c r="A1295" s="110" t="s">
        <v>4303</v>
      </c>
      <c r="B1295" s="125" t="s">
        <v>1797</v>
      </c>
      <c r="C1295" s="138">
        <v>0.38</v>
      </c>
      <c r="D1295" s="138">
        <v>22.8</v>
      </c>
      <c r="E1295" s="138">
        <v>157.89473684210526</v>
      </c>
      <c r="F1295" s="139">
        <v>0.38</v>
      </c>
      <c r="H1295" t="str">
        <f t="shared" si="23"/>
        <v>15006150061446</v>
      </c>
    </row>
    <row r="1296" spans="1:8" ht="15" customHeight="1" x14ac:dyDescent="0.25">
      <c r="A1296" s="110" t="s">
        <v>4304</v>
      </c>
      <c r="B1296" s="125" t="s">
        <v>1176</v>
      </c>
      <c r="C1296" s="138">
        <v>2</v>
      </c>
      <c r="D1296" s="138">
        <v>120</v>
      </c>
      <c r="E1296" s="138">
        <v>30</v>
      </c>
      <c r="F1296" s="139">
        <v>2</v>
      </c>
      <c r="H1296" t="str">
        <f t="shared" si="23"/>
        <v>15006150061447</v>
      </c>
    </row>
    <row r="1297" spans="1:8" ht="15" customHeight="1" x14ac:dyDescent="0.25">
      <c r="A1297" s="110" t="s">
        <v>4304</v>
      </c>
      <c r="B1297" s="125" t="s">
        <v>1798</v>
      </c>
      <c r="C1297" s="138">
        <v>0.38</v>
      </c>
      <c r="D1297" s="138">
        <v>22.8</v>
      </c>
      <c r="E1297" s="138">
        <v>157.89473684210526</v>
      </c>
      <c r="F1297" s="139">
        <v>0.38</v>
      </c>
      <c r="H1297" t="str">
        <f t="shared" si="23"/>
        <v>15006150061447</v>
      </c>
    </row>
    <row r="1298" spans="1:8" ht="15" customHeight="1" x14ac:dyDescent="0.25">
      <c r="A1298" s="110" t="s">
        <v>4305</v>
      </c>
      <c r="B1298" s="125" t="s">
        <v>1177</v>
      </c>
      <c r="C1298" s="138">
        <v>2</v>
      </c>
      <c r="D1298" s="138">
        <v>120</v>
      </c>
      <c r="E1298" s="138">
        <v>30</v>
      </c>
      <c r="F1298" s="139">
        <v>2</v>
      </c>
      <c r="H1298" t="str">
        <f t="shared" si="23"/>
        <v>15006150061448</v>
      </c>
    </row>
    <row r="1299" spans="1:8" ht="15" customHeight="1" x14ac:dyDescent="0.25">
      <c r="A1299" s="110" t="s">
        <v>4305</v>
      </c>
      <c r="B1299" s="125" t="s">
        <v>1799</v>
      </c>
      <c r="C1299" s="138">
        <v>0.36</v>
      </c>
      <c r="D1299" s="138">
        <v>21.599999999999998</v>
      </c>
      <c r="E1299" s="138">
        <v>166.66666666666669</v>
      </c>
      <c r="F1299" s="139">
        <v>0.36</v>
      </c>
      <c r="H1299" t="str">
        <f t="shared" si="23"/>
        <v>15006150061448</v>
      </c>
    </row>
    <row r="1300" spans="1:8" ht="15" customHeight="1" x14ac:dyDescent="0.25">
      <c r="A1300" s="110" t="s">
        <v>4306</v>
      </c>
      <c r="B1300" s="125" t="s">
        <v>1178</v>
      </c>
      <c r="C1300" s="138">
        <v>1.82</v>
      </c>
      <c r="D1300" s="138">
        <v>109.2</v>
      </c>
      <c r="E1300" s="138">
        <v>32.967032967032964</v>
      </c>
      <c r="F1300" s="139">
        <v>1.82</v>
      </c>
      <c r="H1300" t="str">
        <f t="shared" si="23"/>
        <v>15006150061449</v>
      </c>
    </row>
    <row r="1301" spans="1:8" ht="15" customHeight="1" x14ac:dyDescent="0.25">
      <c r="A1301" s="110" t="s">
        <v>4307</v>
      </c>
      <c r="B1301" s="125" t="s">
        <v>1179</v>
      </c>
      <c r="C1301" s="138">
        <v>1.82</v>
      </c>
      <c r="D1301" s="138">
        <v>109.2</v>
      </c>
      <c r="E1301" s="138">
        <v>32.967032967032964</v>
      </c>
      <c r="F1301" s="139">
        <v>1.82</v>
      </c>
      <c r="H1301" t="str">
        <f t="shared" si="23"/>
        <v>15006150061450</v>
      </c>
    </row>
    <row r="1302" spans="1:8" ht="15" customHeight="1" x14ac:dyDescent="0.25">
      <c r="A1302" s="110" t="s">
        <v>4308</v>
      </c>
      <c r="B1302" s="125" t="s">
        <v>1180</v>
      </c>
      <c r="C1302" s="138">
        <v>3.53</v>
      </c>
      <c r="D1302" s="138">
        <v>211.79999999999998</v>
      </c>
      <c r="E1302" s="138">
        <v>16.997167138810198</v>
      </c>
      <c r="F1302" s="139">
        <v>3.53</v>
      </c>
      <c r="H1302" t="str">
        <f t="shared" si="23"/>
        <v>15006150061451</v>
      </c>
    </row>
    <row r="1303" spans="1:8" ht="15" customHeight="1" x14ac:dyDescent="0.25">
      <c r="A1303" s="110" t="s">
        <v>4309</v>
      </c>
      <c r="B1303" s="125" t="s">
        <v>1181</v>
      </c>
      <c r="C1303" s="138">
        <v>3.53</v>
      </c>
      <c r="D1303" s="138">
        <v>211.79999999999998</v>
      </c>
      <c r="E1303" s="138">
        <v>16.997167138810198</v>
      </c>
      <c r="F1303" s="139">
        <v>3.53</v>
      </c>
      <c r="H1303" t="str">
        <f t="shared" si="23"/>
        <v>15006150061452</v>
      </c>
    </row>
    <row r="1304" spans="1:8" ht="15" customHeight="1" x14ac:dyDescent="0.25">
      <c r="A1304" s="110" t="s">
        <v>4310</v>
      </c>
      <c r="B1304" s="125" t="s">
        <v>1182</v>
      </c>
      <c r="C1304" s="138">
        <v>2.2999999999999998</v>
      </c>
      <c r="D1304" s="138">
        <v>138</v>
      </c>
      <c r="E1304" s="138">
        <v>26.086956521739129</v>
      </c>
      <c r="F1304" s="139">
        <v>2.2999999999999998</v>
      </c>
      <c r="H1304" t="str">
        <f t="shared" si="23"/>
        <v>15006150061453</v>
      </c>
    </row>
    <row r="1305" spans="1:8" ht="15" customHeight="1" x14ac:dyDescent="0.25">
      <c r="A1305" s="110" t="s">
        <v>4311</v>
      </c>
      <c r="B1305" s="125" t="s">
        <v>1183</v>
      </c>
      <c r="C1305" s="138">
        <v>2.2999999999999998</v>
      </c>
      <c r="D1305" s="138">
        <v>138</v>
      </c>
      <c r="E1305" s="138">
        <v>26.086956521739129</v>
      </c>
      <c r="F1305" s="139">
        <v>2.2999999999999998</v>
      </c>
      <c r="H1305" t="str">
        <f t="shared" si="23"/>
        <v>15006150061454</v>
      </c>
    </row>
    <row r="1306" spans="1:8" ht="15" customHeight="1" x14ac:dyDescent="0.25">
      <c r="A1306" s="110" t="s">
        <v>4312</v>
      </c>
      <c r="B1306" s="125" t="s">
        <v>1184</v>
      </c>
      <c r="C1306" s="138">
        <v>0.24</v>
      </c>
      <c r="D1306" s="138">
        <v>14.399999999999999</v>
      </c>
      <c r="E1306" s="138">
        <v>250.00000000000003</v>
      </c>
      <c r="F1306" s="139">
        <v>0.24</v>
      </c>
      <c r="H1306" t="str">
        <f t="shared" si="23"/>
        <v>15006150061455</v>
      </c>
    </row>
    <row r="1307" spans="1:8" ht="15" customHeight="1" x14ac:dyDescent="0.25">
      <c r="A1307" s="110" t="s">
        <v>4313</v>
      </c>
      <c r="B1307" s="125" t="s">
        <v>1185</v>
      </c>
      <c r="C1307" s="138">
        <v>0.24</v>
      </c>
      <c r="D1307" s="138">
        <v>14.399999999999999</v>
      </c>
      <c r="E1307" s="138">
        <v>250.00000000000003</v>
      </c>
      <c r="F1307" s="139">
        <v>0.24</v>
      </c>
      <c r="H1307" t="str">
        <f t="shared" si="23"/>
        <v>15006150061456</v>
      </c>
    </row>
    <row r="1308" spans="1:8" ht="15" customHeight="1" x14ac:dyDescent="0.25">
      <c r="A1308" s="110" t="s">
        <v>4314</v>
      </c>
      <c r="B1308" s="125" t="s">
        <v>1186</v>
      </c>
      <c r="C1308" s="138">
        <v>0.24</v>
      </c>
      <c r="D1308" s="138">
        <v>14.399999999999999</v>
      </c>
      <c r="E1308" s="138">
        <v>250.00000000000003</v>
      </c>
      <c r="F1308" s="139">
        <v>0.24</v>
      </c>
      <c r="H1308" t="str">
        <f t="shared" si="23"/>
        <v>15006150061457</v>
      </c>
    </row>
    <row r="1309" spans="1:8" ht="15" customHeight="1" x14ac:dyDescent="0.25">
      <c r="A1309" s="110" t="s">
        <v>4315</v>
      </c>
      <c r="B1309" s="125" t="s">
        <v>1187</v>
      </c>
      <c r="C1309" s="138">
        <v>0.24</v>
      </c>
      <c r="D1309" s="138">
        <v>14.399999999999999</v>
      </c>
      <c r="E1309" s="138">
        <v>250.00000000000003</v>
      </c>
      <c r="F1309" s="139">
        <v>0.24</v>
      </c>
      <c r="H1309" t="str">
        <f t="shared" si="23"/>
        <v>15006150061458</v>
      </c>
    </row>
    <row r="1310" spans="1:8" ht="15" customHeight="1" x14ac:dyDescent="0.25">
      <c r="A1310" s="110" t="s">
        <v>4316</v>
      </c>
      <c r="B1310" s="125" t="s">
        <v>1188</v>
      </c>
      <c r="C1310" s="138">
        <v>0.24</v>
      </c>
      <c r="D1310" s="138">
        <v>14.399999999999999</v>
      </c>
      <c r="E1310" s="138">
        <v>250.00000000000003</v>
      </c>
      <c r="F1310" s="139">
        <v>0.24</v>
      </c>
      <c r="H1310" t="str">
        <f t="shared" si="23"/>
        <v>15006150061459</v>
      </c>
    </row>
    <row r="1311" spans="1:8" ht="15" customHeight="1" x14ac:dyDescent="0.25">
      <c r="A1311" s="110" t="s">
        <v>4317</v>
      </c>
      <c r="B1311" s="125" t="s">
        <v>1189</v>
      </c>
      <c r="C1311" s="138">
        <v>0.24</v>
      </c>
      <c r="D1311" s="138">
        <v>14.399999999999999</v>
      </c>
      <c r="E1311" s="138">
        <v>250.00000000000003</v>
      </c>
      <c r="F1311" s="139">
        <v>0.24</v>
      </c>
      <c r="H1311" t="str">
        <f t="shared" si="23"/>
        <v>15006150061460</v>
      </c>
    </row>
    <row r="1312" spans="1:8" ht="15" customHeight="1" x14ac:dyDescent="0.25">
      <c r="A1312" s="110" t="s">
        <v>4318</v>
      </c>
      <c r="B1312" s="125" t="s">
        <v>1190</v>
      </c>
      <c r="C1312" s="138">
        <v>2</v>
      </c>
      <c r="D1312" s="138">
        <v>120</v>
      </c>
      <c r="E1312" s="138">
        <v>30</v>
      </c>
      <c r="F1312" s="139">
        <v>2</v>
      </c>
      <c r="H1312" t="str">
        <f t="shared" si="23"/>
        <v>15006150061461</v>
      </c>
    </row>
    <row r="1313" spans="1:8" ht="15" customHeight="1" x14ac:dyDescent="0.25">
      <c r="A1313" s="110" t="s">
        <v>4319</v>
      </c>
      <c r="B1313" s="125" t="s">
        <v>1191</v>
      </c>
      <c r="C1313" s="138">
        <v>2</v>
      </c>
      <c r="D1313" s="138">
        <v>120</v>
      </c>
      <c r="E1313" s="138">
        <v>30</v>
      </c>
      <c r="F1313" s="139">
        <v>2</v>
      </c>
      <c r="H1313" t="str">
        <f t="shared" si="23"/>
        <v>15006150061462</v>
      </c>
    </row>
    <row r="1314" spans="1:8" ht="15" customHeight="1" x14ac:dyDescent="0.25">
      <c r="A1314" s="110" t="s">
        <v>4320</v>
      </c>
      <c r="B1314" s="125" t="s">
        <v>549</v>
      </c>
      <c r="C1314" s="138">
        <v>0.76</v>
      </c>
      <c r="D1314" s="138">
        <v>45.6</v>
      </c>
      <c r="E1314" s="138">
        <v>78.94736842105263</v>
      </c>
      <c r="F1314" s="139">
        <v>0.76</v>
      </c>
      <c r="H1314" t="str">
        <f t="shared" si="23"/>
        <v>15006150061463</v>
      </c>
    </row>
    <row r="1315" spans="1:8" ht="15" customHeight="1" x14ac:dyDescent="0.25">
      <c r="A1315" s="110" t="s">
        <v>4321</v>
      </c>
      <c r="B1315" s="125" t="s">
        <v>1192</v>
      </c>
      <c r="C1315" s="138">
        <v>0.76</v>
      </c>
      <c r="D1315" s="138">
        <v>45.6</v>
      </c>
      <c r="E1315" s="138">
        <v>78.94736842105263</v>
      </c>
      <c r="F1315" s="139">
        <v>0.76</v>
      </c>
      <c r="H1315" t="str">
        <f t="shared" si="23"/>
        <v>15006150061464</v>
      </c>
    </row>
    <row r="1316" spans="1:8" ht="15" customHeight="1" x14ac:dyDescent="0.25">
      <c r="A1316" s="110" t="s">
        <v>4322</v>
      </c>
      <c r="B1316" s="125" t="s">
        <v>1193</v>
      </c>
      <c r="C1316" s="138">
        <v>0.71</v>
      </c>
      <c r="D1316" s="138">
        <v>42.599999999999994</v>
      </c>
      <c r="E1316" s="138">
        <v>84.507042253521135</v>
      </c>
      <c r="F1316" s="139">
        <v>0.71</v>
      </c>
      <c r="H1316" t="str">
        <f t="shared" si="23"/>
        <v>15006150061465</v>
      </c>
    </row>
    <row r="1317" spans="1:8" ht="15" customHeight="1" x14ac:dyDescent="0.25">
      <c r="A1317" s="110" t="s">
        <v>4323</v>
      </c>
      <c r="B1317" s="125" t="s">
        <v>1194</v>
      </c>
      <c r="C1317" s="138">
        <v>0.71</v>
      </c>
      <c r="D1317" s="138">
        <v>42.599999999999994</v>
      </c>
      <c r="E1317" s="138">
        <v>84.507042253521135</v>
      </c>
      <c r="F1317" s="139">
        <v>0.71</v>
      </c>
      <c r="H1317" t="str">
        <f t="shared" si="23"/>
        <v>15006150061466</v>
      </c>
    </row>
    <row r="1318" spans="1:8" ht="15" customHeight="1" x14ac:dyDescent="0.25">
      <c r="A1318" s="110" t="s">
        <v>4324</v>
      </c>
      <c r="B1318" s="125" t="s">
        <v>1195</v>
      </c>
      <c r="C1318" s="138">
        <v>0.41</v>
      </c>
      <c r="D1318" s="138">
        <v>24.599999999999998</v>
      </c>
      <c r="E1318" s="138">
        <v>146.34146341463415</v>
      </c>
      <c r="F1318" s="139">
        <v>0.41</v>
      </c>
      <c r="H1318" t="str">
        <f t="shared" si="23"/>
        <v>15006150061467</v>
      </c>
    </row>
    <row r="1319" spans="1:8" ht="15" customHeight="1" x14ac:dyDescent="0.25">
      <c r="A1319" s="110" t="s">
        <v>4325</v>
      </c>
      <c r="B1319" s="125" t="s">
        <v>1196</v>
      </c>
      <c r="C1319" s="138">
        <v>0.41</v>
      </c>
      <c r="D1319" s="138">
        <v>24.599999999999998</v>
      </c>
      <c r="E1319" s="138">
        <v>146.34146341463415</v>
      </c>
      <c r="F1319" s="139">
        <v>0.41</v>
      </c>
      <c r="H1319" t="str">
        <f t="shared" si="23"/>
        <v>15006150061468</v>
      </c>
    </row>
    <row r="1320" spans="1:8" ht="15" customHeight="1" x14ac:dyDescent="0.25">
      <c r="A1320" s="110" t="s">
        <v>4326</v>
      </c>
      <c r="B1320" s="125" t="s">
        <v>1197</v>
      </c>
      <c r="C1320" s="138">
        <v>0.43</v>
      </c>
      <c r="D1320" s="138">
        <v>25.8</v>
      </c>
      <c r="E1320" s="138">
        <v>139.53488372093022</v>
      </c>
      <c r="F1320" s="139">
        <v>0.43</v>
      </c>
      <c r="H1320" t="str">
        <f t="shared" si="23"/>
        <v>15006150061469</v>
      </c>
    </row>
    <row r="1321" spans="1:8" ht="15" customHeight="1" x14ac:dyDescent="0.25">
      <c r="A1321" s="110" t="s">
        <v>4327</v>
      </c>
      <c r="B1321" s="125" t="s">
        <v>1198</v>
      </c>
      <c r="C1321" s="138">
        <v>0.43</v>
      </c>
      <c r="D1321" s="138">
        <v>25.8</v>
      </c>
      <c r="E1321" s="138">
        <v>139.53488372093022</v>
      </c>
      <c r="F1321" s="139">
        <v>0.43</v>
      </c>
      <c r="H1321" t="str">
        <f t="shared" si="23"/>
        <v>15006150061470</v>
      </c>
    </row>
    <row r="1322" spans="1:8" ht="15" customHeight="1" x14ac:dyDescent="0.25">
      <c r="A1322" s="110" t="s">
        <v>4328</v>
      </c>
      <c r="B1322" s="125" t="s">
        <v>1199</v>
      </c>
      <c r="C1322" s="138">
        <v>0.48</v>
      </c>
      <c r="D1322" s="138">
        <v>28.799999999999997</v>
      </c>
      <c r="E1322" s="138">
        <v>125.00000000000001</v>
      </c>
      <c r="F1322" s="139">
        <v>0.48</v>
      </c>
      <c r="H1322" t="str">
        <f t="shared" si="23"/>
        <v>15006150061471</v>
      </c>
    </row>
    <row r="1323" spans="1:8" ht="15" customHeight="1" x14ac:dyDescent="0.25">
      <c r="A1323" s="110" t="s">
        <v>4329</v>
      </c>
      <c r="B1323" s="125" t="s">
        <v>1200</v>
      </c>
      <c r="C1323" s="138">
        <v>0.48</v>
      </c>
      <c r="D1323" s="138">
        <v>28.799999999999997</v>
      </c>
      <c r="E1323" s="138">
        <v>125.00000000000001</v>
      </c>
      <c r="F1323" s="139">
        <v>0.48</v>
      </c>
      <c r="H1323" t="str">
        <f t="shared" si="23"/>
        <v>15006150061472</v>
      </c>
    </row>
    <row r="1324" spans="1:8" ht="15" customHeight="1" x14ac:dyDescent="0.25">
      <c r="A1324" s="110" t="s">
        <v>4330</v>
      </c>
      <c r="B1324" s="125" t="s">
        <v>1201</v>
      </c>
      <c r="C1324" s="138">
        <v>0.47</v>
      </c>
      <c r="D1324" s="138">
        <v>28.2</v>
      </c>
      <c r="E1324" s="138">
        <v>127.65957446808511</v>
      </c>
      <c r="F1324" s="139">
        <v>0.47</v>
      </c>
      <c r="H1324" t="str">
        <f t="shared" si="23"/>
        <v>15006150061473</v>
      </c>
    </row>
    <row r="1325" spans="1:8" ht="15" customHeight="1" x14ac:dyDescent="0.25">
      <c r="A1325" s="110" t="s">
        <v>4331</v>
      </c>
      <c r="B1325" s="125" t="s">
        <v>1202</v>
      </c>
      <c r="C1325" s="138">
        <v>0.47</v>
      </c>
      <c r="D1325" s="138">
        <v>28.2</v>
      </c>
      <c r="E1325" s="138">
        <v>127.65957446808511</v>
      </c>
      <c r="F1325" s="139">
        <v>0.47</v>
      </c>
      <c r="H1325" t="str">
        <f t="shared" si="23"/>
        <v>15006150061474</v>
      </c>
    </row>
    <row r="1326" spans="1:8" ht="15" customHeight="1" x14ac:dyDescent="0.25">
      <c r="A1326" s="110" t="s">
        <v>4332</v>
      </c>
      <c r="B1326" s="125" t="s">
        <v>551</v>
      </c>
      <c r="C1326" s="138">
        <v>0.52</v>
      </c>
      <c r="D1326" s="138">
        <v>31.200000000000003</v>
      </c>
      <c r="E1326" s="138">
        <v>115.38461538461537</v>
      </c>
      <c r="F1326" s="139">
        <v>0.52</v>
      </c>
      <c r="H1326" t="str">
        <f t="shared" si="23"/>
        <v>15006150061475</v>
      </c>
    </row>
    <row r="1327" spans="1:8" ht="15" customHeight="1" x14ac:dyDescent="0.25">
      <c r="A1327" s="110" t="s">
        <v>4333</v>
      </c>
      <c r="B1327" s="125" t="s">
        <v>567</v>
      </c>
      <c r="C1327" s="138">
        <v>0.46</v>
      </c>
      <c r="D1327" s="138">
        <v>27.6</v>
      </c>
      <c r="E1327" s="138">
        <v>130.43478260869566</v>
      </c>
      <c r="F1327" s="139">
        <v>0.46</v>
      </c>
      <c r="H1327" t="str">
        <f t="shared" si="23"/>
        <v>15006150061476</v>
      </c>
    </row>
    <row r="1328" spans="1:8" ht="15" customHeight="1" x14ac:dyDescent="0.25">
      <c r="A1328" s="110" t="s">
        <v>4334</v>
      </c>
      <c r="B1328" s="125" t="s">
        <v>568</v>
      </c>
      <c r="C1328" s="138">
        <v>0.6</v>
      </c>
      <c r="D1328" s="138">
        <v>36</v>
      </c>
      <c r="E1328" s="138">
        <v>100</v>
      </c>
      <c r="F1328" s="139">
        <v>0.6</v>
      </c>
      <c r="H1328" t="str">
        <f t="shared" si="23"/>
        <v>15006150061477</v>
      </c>
    </row>
    <row r="1329" spans="1:8" ht="15" customHeight="1" x14ac:dyDescent="0.25">
      <c r="A1329" s="110" t="s">
        <v>4335</v>
      </c>
      <c r="B1329" s="125" t="s">
        <v>569</v>
      </c>
      <c r="C1329" s="138">
        <v>0.46</v>
      </c>
      <c r="D1329" s="138">
        <v>27.6</v>
      </c>
      <c r="E1329" s="138">
        <v>130.43478260869566</v>
      </c>
      <c r="F1329" s="139">
        <v>0.46</v>
      </c>
      <c r="H1329" t="str">
        <f t="shared" si="23"/>
        <v>15006150061478</v>
      </c>
    </row>
    <row r="1330" spans="1:8" ht="15" customHeight="1" x14ac:dyDescent="0.25">
      <c r="A1330" s="110" t="s">
        <v>4336</v>
      </c>
      <c r="B1330" s="125" t="s">
        <v>570</v>
      </c>
      <c r="C1330" s="138">
        <v>0.34</v>
      </c>
      <c r="D1330" s="138">
        <v>20.400000000000002</v>
      </c>
      <c r="E1330" s="138">
        <v>176.47058823529409</v>
      </c>
      <c r="F1330" s="139">
        <v>0.34</v>
      </c>
      <c r="H1330" t="str">
        <f t="shared" si="23"/>
        <v>15006150061479</v>
      </c>
    </row>
    <row r="1331" spans="1:8" ht="15" customHeight="1" x14ac:dyDescent="0.25">
      <c r="A1331" s="110" t="s">
        <v>4337</v>
      </c>
      <c r="B1331" s="125" t="s">
        <v>571</v>
      </c>
      <c r="C1331" s="138">
        <v>0.34</v>
      </c>
      <c r="D1331" s="138">
        <v>20.400000000000002</v>
      </c>
      <c r="E1331" s="138">
        <v>176.47058823529409</v>
      </c>
      <c r="F1331" s="139">
        <v>0.34</v>
      </c>
      <c r="H1331" t="str">
        <f t="shared" si="23"/>
        <v>15006150061480</v>
      </c>
    </row>
    <row r="1332" spans="1:8" ht="15" customHeight="1" x14ac:dyDescent="0.25">
      <c r="A1332" s="110" t="s">
        <v>4338</v>
      </c>
      <c r="B1332" s="125" t="s">
        <v>1203</v>
      </c>
      <c r="C1332" s="138">
        <v>0.4</v>
      </c>
      <c r="D1332" s="138">
        <v>24</v>
      </c>
      <c r="E1332" s="138">
        <v>150</v>
      </c>
      <c r="F1332" s="139">
        <v>0.4</v>
      </c>
      <c r="H1332" t="str">
        <f t="shared" si="23"/>
        <v>15006150061481</v>
      </c>
    </row>
    <row r="1333" spans="1:8" ht="15" customHeight="1" x14ac:dyDescent="0.25">
      <c r="A1333" s="110" t="s">
        <v>4339</v>
      </c>
      <c r="B1333" s="125" t="s">
        <v>1204</v>
      </c>
      <c r="C1333" s="138">
        <v>0.4</v>
      </c>
      <c r="D1333" s="138">
        <v>24</v>
      </c>
      <c r="E1333" s="138">
        <v>150</v>
      </c>
      <c r="F1333" s="139">
        <v>0.4</v>
      </c>
      <c r="H1333" t="str">
        <f t="shared" si="23"/>
        <v>15006150061482</v>
      </c>
    </row>
    <row r="1334" spans="1:8" ht="15" customHeight="1" x14ac:dyDescent="0.25">
      <c r="A1334" s="110" t="s">
        <v>4340</v>
      </c>
      <c r="B1334" s="125" t="s">
        <v>572</v>
      </c>
      <c r="C1334" s="138">
        <v>0.4</v>
      </c>
      <c r="D1334" s="138">
        <v>24</v>
      </c>
      <c r="E1334" s="138">
        <v>150</v>
      </c>
      <c r="F1334" s="139">
        <v>0.4</v>
      </c>
      <c r="H1334" t="str">
        <f t="shared" si="23"/>
        <v>15006150061483</v>
      </c>
    </row>
    <row r="1335" spans="1:8" ht="15" customHeight="1" x14ac:dyDescent="0.25">
      <c r="A1335" s="110" t="s">
        <v>4341</v>
      </c>
      <c r="B1335" s="125" t="s">
        <v>573</v>
      </c>
      <c r="C1335" s="138">
        <v>0.4</v>
      </c>
      <c r="D1335" s="138">
        <v>24</v>
      </c>
      <c r="E1335" s="138">
        <v>150</v>
      </c>
      <c r="F1335" s="139">
        <v>0.4</v>
      </c>
      <c r="H1335" t="str">
        <f t="shared" si="23"/>
        <v>15006150061484</v>
      </c>
    </row>
    <row r="1336" spans="1:8" ht="15" customHeight="1" x14ac:dyDescent="0.25">
      <c r="A1336" s="110" t="s">
        <v>4342</v>
      </c>
      <c r="B1336" s="125" t="s">
        <v>574</v>
      </c>
      <c r="C1336" s="138">
        <v>0.48</v>
      </c>
      <c r="D1336" s="138">
        <v>28.799999999999997</v>
      </c>
      <c r="E1336" s="138">
        <v>125.00000000000001</v>
      </c>
      <c r="F1336" s="139">
        <v>0.48</v>
      </c>
      <c r="H1336" t="str">
        <f t="shared" si="23"/>
        <v>15006150061485</v>
      </c>
    </row>
    <row r="1337" spans="1:8" ht="15" customHeight="1" x14ac:dyDescent="0.25">
      <c r="A1337" s="110" t="s">
        <v>4343</v>
      </c>
      <c r="B1337" s="125" t="s">
        <v>575</v>
      </c>
      <c r="C1337" s="138">
        <v>0.48</v>
      </c>
      <c r="D1337" s="138">
        <v>28.799999999999997</v>
      </c>
      <c r="E1337" s="138">
        <v>125.00000000000001</v>
      </c>
      <c r="F1337" s="139">
        <v>0.48</v>
      </c>
      <c r="H1337" t="str">
        <f t="shared" si="23"/>
        <v>15006150061486</v>
      </c>
    </row>
    <row r="1338" spans="1:8" ht="15" customHeight="1" x14ac:dyDescent="0.25">
      <c r="A1338" s="110" t="s">
        <v>4344</v>
      </c>
      <c r="B1338" s="125" t="s">
        <v>576</v>
      </c>
      <c r="C1338" s="138">
        <v>1.67</v>
      </c>
      <c r="D1338" s="138">
        <v>100.19999999999999</v>
      </c>
      <c r="E1338" s="138">
        <v>35.928143712574851</v>
      </c>
      <c r="F1338" s="139">
        <v>1.67</v>
      </c>
      <c r="H1338" t="str">
        <f t="shared" si="23"/>
        <v>15006150061487</v>
      </c>
    </row>
    <row r="1339" spans="1:8" ht="15" customHeight="1" x14ac:dyDescent="0.25">
      <c r="A1339" s="110" t="s">
        <v>4345</v>
      </c>
      <c r="B1339" s="125" t="s">
        <v>577</v>
      </c>
      <c r="C1339" s="138">
        <v>1.67</v>
      </c>
      <c r="D1339" s="138">
        <v>100.19999999999999</v>
      </c>
      <c r="E1339" s="138">
        <v>35.928143712574851</v>
      </c>
      <c r="F1339" s="139">
        <v>1.67</v>
      </c>
      <c r="H1339" t="str">
        <f t="shared" si="23"/>
        <v>15006150061488</v>
      </c>
    </row>
    <row r="1340" spans="1:8" ht="15" customHeight="1" x14ac:dyDescent="0.25">
      <c r="A1340" s="110" t="s">
        <v>4346</v>
      </c>
      <c r="B1340" s="125" t="s">
        <v>578</v>
      </c>
      <c r="C1340" s="138">
        <v>1.67</v>
      </c>
      <c r="D1340" s="138">
        <v>100.19999999999999</v>
      </c>
      <c r="E1340" s="138">
        <v>35.928143712574851</v>
      </c>
      <c r="F1340" s="139">
        <v>1.67</v>
      </c>
      <c r="H1340" t="str">
        <f t="shared" si="23"/>
        <v>15006150061489</v>
      </c>
    </row>
    <row r="1341" spans="1:8" ht="15" customHeight="1" x14ac:dyDescent="0.25">
      <c r="A1341" s="110" t="s">
        <v>4347</v>
      </c>
      <c r="B1341" s="125" t="s">
        <v>579</v>
      </c>
      <c r="C1341" s="138">
        <v>1.67</v>
      </c>
      <c r="D1341" s="138">
        <v>100.19999999999999</v>
      </c>
      <c r="E1341" s="138">
        <v>35.928143712574851</v>
      </c>
      <c r="F1341" s="139">
        <v>1.67</v>
      </c>
      <c r="H1341" t="str">
        <f t="shared" si="23"/>
        <v>15006150061490</v>
      </c>
    </row>
    <row r="1342" spans="1:8" ht="15" customHeight="1" x14ac:dyDescent="0.25">
      <c r="A1342" s="110" t="s">
        <v>4348</v>
      </c>
      <c r="B1342" s="125" t="s">
        <v>580</v>
      </c>
      <c r="C1342" s="138">
        <v>0.42</v>
      </c>
      <c r="D1342" s="138">
        <v>25.2</v>
      </c>
      <c r="E1342" s="138">
        <v>142.85714285714286</v>
      </c>
      <c r="F1342" s="139">
        <v>0.42</v>
      </c>
      <c r="H1342" t="str">
        <f t="shared" si="23"/>
        <v>15006150061491</v>
      </c>
    </row>
    <row r="1343" spans="1:8" ht="15" customHeight="1" x14ac:dyDescent="0.25">
      <c r="A1343" s="110" t="s">
        <v>4349</v>
      </c>
      <c r="B1343" s="125" t="s">
        <v>581</v>
      </c>
      <c r="C1343" s="138">
        <v>0.42</v>
      </c>
      <c r="D1343" s="138">
        <v>25.2</v>
      </c>
      <c r="E1343" s="138">
        <v>142.85714285714286</v>
      </c>
      <c r="F1343" s="139">
        <v>0.42</v>
      </c>
      <c r="H1343" t="str">
        <f t="shared" si="23"/>
        <v>15006150061492</v>
      </c>
    </row>
    <row r="1344" spans="1:8" ht="15" customHeight="1" x14ac:dyDescent="0.25">
      <c r="A1344" s="110" t="s">
        <v>4350</v>
      </c>
      <c r="B1344" s="125" t="s">
        <v>582</v>
      </c>
      <c r="C1344" s="138">
        <v>0.5</v>
      </c>
      <c r="D1344" s="138">
        <v>30</v>
      </c>
      <c r="E1344" s="138">
        <v>120</v>
      </c>
      <c r="F1344" s="139">
        <v>0.5</v>
      </c>
      <c r="H1344" t="str">
        <f t="shared" si="23"/>
        <v>15006150061493</v>
      </c>
    </row>
    <row r="1345" spans="1:8" ht="15" customHeight="1" x14ac:dyDescent="0.25">
      <c r="A1345" s="110" t="s">
        <v>4351</v>
      </c>
      <c r="B1345" s="125" t="s">
        <v>1205</v>
      </c>
      <c r="C1345" s="138">
        <v>0.5</v>
      </c>
      <c r="D1345" s="138">
        <v>30</v>
      </c>
      <c r="E1345" s="138">
        <v>120</v>
      </c>
      <c r="F1345" s="139">
        <v>0.5</v>
      </c>
      <c r="H1345" t="str">
        <f t="shared" si="23"/>
        <v>15006150061494</v>
      </c>
    </row>
    <row r="1346" spans="1:8" ht="15" customHeight="1" x14ac:dyDescent="0.25">
      <c r="A1346" s="110" t="s">
        <v>4352</v>
      </c>
      <c r="B1346" s="125" t="s">
        <v>583</v>
      </c>
      <c r="C1346" s="138">
        <v>0.53</v>
      </c>
      <c r="D1346" s="138">
        <v>31.8</v>
      </c>
      <c r="E1346" s="138">
        <v>113.20754716981132</v>
      </c>
      <c r="F1346" s="139">
        <v>0.53</v>
      </c>
      <c r="H1346" t="str">
        <f t="shared" si="23"/>
        <v>15006150061495</v>
      </c>
    </row>
    <row r="1347" spans="1:8" ht="15" customHeight="1" x14ac:dyDescent="0.25">
      <c r="A1347" s="110" t="s">
        <v>4353</v>
      </c>
      <c r="B1347" s="125" t="s">
        <v>584</v>
      </c>
      <c r="C1347" s="138">
        <v>0.53</v>
      </c>
      <c r="D1347" s="138">
        <v>31.8</v>
      </c>
      <c r="E1347" s="138">
        <v>113.20754716981132</v>
      </c>
      <c r="F1347" s="139">
        <v>0.53</v>
      </c>
      <c r="H1347" t="str">
        <f t="shared" si="23"/>
        <v>15006150061496</v>
      </c>
    </row>
    <row r="1348" spans="1:8" ht="15" customHeight="1" x14ac:dyDescent="0.25">
      <c r="A1348" s="110" t="s">
        <v>4354</v>
      </c>
      <c r="B1348" s="125" t="s">
        <v>585</v>
      </c>
      <c r="C1348" s="138">
        <v>0.54</v>
      </c>
      <c r="D1348" s="138">
        <v>32.400000000000006</v>
      </c>
      <c r="E1348" s="138">
        <v>111.11111111111109</v>
      </c>
      <c r="F1348" s="139">
        <v>0.54</v>
      </c>
      <c r="H1348" t="str">
        <f t="shared" ref="H1348:H1411" si="24">CONCATENATE($G$835,A1348)</f>
        <v>15006150061497</v>
      </c>
    </row>
    <row r="1349" spans="1:8" ht="15" customHeight="1" x14ac:dyDescent="0.25">
      <c r="A1349" s="110" t="s">
        <v>4355</v>
      </c>
      <c r="B1349" s="125" t="s">
        <v>586</v>
      </c>
      <c r="C1349" s="138">
        <v>0.54</v>
      </c>
      <c r="D1349" s="138">
        <v>32.400000000000006</v>
      </c>
      <c r="E1349" s="138">
        <v>111.11111111111109</v>
      </c>
      <c r="F1349" s="139">
        <v>0.54</v>
      </c>
      <c r="H1349" t="str">
        <f t="shared" si="24"/>
        <v>15006150061498</v>
      </c>
    </row>
    <row r="1350" spans="1:8" ht="15" customHeight="1" x14ac:dyDescent="0.25">
      <c r="A1350" s="110" t="s">
        <v>4356</v>
      </c>
      <c r="B1350" s="125" t="s">
        <v>587</v>
      </c>
      <c r="C1350" s="138">
        <v>0.47</v>
      </c>
      <c r="D1350" s="138">
        <v>28.2</v>
      </c>
      <c r="E1350" s="138">
        <v>127.65957446808511</v>
      </c>
      <c r="F1350" s="139">
        <v>0.47</v>
      </c>
      <c r="H1350" t="str">
        <f t="shared" si="24"/>
        <v>15006150061499</v>
      </c>
    </row>
    <row r="1351" spans="1:8" ht="15" customHeight="1" x14ac:dyDescent="0.25">
      <c r="A1351" s="110" t="s">
        <v>4357</v>
      </c>
      <c r="B1351" s="125" t="s">
        <v>588</v>
      </c>
      <c r="C1351" s="138">
        <v>0.47</v>
      </c>
      <c r="D1351" s="138">
        <v>28.2</v>
      </c>
      <c r="E1351" s="138">
        <v>127.65957446808511</v>
      </c>
      <c r="F1351" s="139">
        <v>0.47</v>
      </c>
      <c r="H1351" t="str">
        <f t="shared" si="24"/>
        <v>15006150061500</v>
      </c>
    </row>
    <row r="1352" spans="1:8" ht="15" customHeight="1" x14ac:dyDescent="0.25">
      <c r="A1352" s="110" t="s">
        <v>4357</v>
      </c>
      <c r="B1352" s="125" t="s">
        <v>1800</v>
      </c>
      <c r="C1352" s="138">
        <v>0.54</v>
      </c>
      <c r="D1352" s="138">
        <v>32.400000000000006</v>
      </c>
      <c r="E1352" s="138">
        <v>111.11111111111109</v>
      </c>
      <c r="F1352" s="139">
        <v>0.54</v>
      </c>
      <c r="H1352" t="str">
        <f t="shared" si="24"/>
        <v>15006150061500</v>
      </c>
    </row>
    <row r="1353" spans="1:8" ht="15" customHeight="1" x14ac:dyDescent="0.25">
      <c r="A1353" s="110" t="s">
        <v>4358</v>
      </c>
      <c r="B1353" s="125" t="s">
        <v>589</v>
      </c>
      <c r="C1353" s="138">
        <v>0.39</v>
      </c>
      <c r="D1353" s="138">
        <v>23.400000000000002</v>
      </c>
      <c r="E1353" s="138">
        <v>153.84615384615384</v>
      </c>
      <c r="F1353" s="139">
        <v>0.39</v>
      </c>
      <c r="H1353" t="str">
        <f t="shared" si="24"/>
        <v>15006150061501</v>
      </c>
    </row>
    <row r="1354" spans="1:8" ht="15" customHeight="1" x14ac:dyDescent="0.25">
      <c r="A1354" s="110" t="s">
        <v>4359</v>
      </c>
      <c r="B1354" s="125" t="s">
        <v>590</v>
      </c>
      <c r="C1354" s="138">
        <v>0.39</v>
      </c>
      <c r="D1354" s="138">
        <v>23.400000000000002</v>
      </c>
      <c r="E1354" s="138">
        <v>153.84615384615384</v>
      </c>
      <c r="F1354" s="139">
        <v>0.39</v>
      </c>
      <c r="H1354" t="str">
        <f t="shared" si="24"/>
        <v>15006150061502</v>
      </c>
    </row>
    <row r="1355" spans="1:8" ht="15" customHeight="1" x14ac:dyDescent="0.25">
      <c r="A1355" s="110" t="s">
        <v>4360</v>
      </c>
      <c r="B1355" s="125" t="s">
        <v>591</v>
      </c>
      <c r="C1355" s="138">
        <v>0.4</v>
      </c>
      <c r="D1355" s="138">
        <v>24</v>
      </c>
      <c r="E1355" s="138">
        <v>150</v>
      </c>
      <c r="F1355" s="139">
        <v>0.4</v>
      </c>
      <c r="H1355" t="str">
        <f t="shared" si="24"/>
        <v>15006150061503</v>
      </c>
    </row>
    <row r="1356" spans="1:8" ht="15" customHeight="1" x14ac:dyDescent="0.25">
      <c r="A1356" s="110" t="s">
        <v>4361</v>
      </c>
      <c r="B1356" s="125" t="s">
        <v>592</v>
      </c>
      <c r="C1356" s="138">
        <v>0.4</v>
      </c>
      <c r="D1356" s="138">
        <v>24</v>
      </c>
      <c r="E1356" s="138">
        <v>150</v>
      </c>
      <c r="F1356" s="139">
        <v>0.4</v>
      </c>
      <c r="H1356" t="str">
        <f t="shared" si="24"/>
        <v>15006150061504</v>
      </c>
    </row>
    <row r="1357" spans="1:8" ht="15" customHeight="1" x14ac:dyDescent="0.25">
      <c r="A1357" s="110" t="s">
        <v>4362</v>
      </c>
      <c r="B1357" s="125" t="s">
        <v>593</v>
      </c>
      <c r="C1357" s="138">
        <v>0.45</v>
      </c>
      <c r="D1357" s="138">
        <v>27</v>
      </c>
      <c r="E1357" s="138">
        <v>133.33333333333334</v>
      </c>
      <c r="F1357" s="139">
        <v>0.45</v>
      </c>
      <c r="H1357" t="str">
        <f t="shared" si="24"/>
        <v>15006150061505</v>
      </c>
    </row>
    <row r="1358" spans="1:8" ht="15" customHeight="1" x14ac:dyDescent="0.25">
      <c r="A1358" s="110" t="s">
        <v>4363</v>
      </c>
      <c r="B1358" s="125" t="s">
        <v>594</v>
      </c>
      <c r="C1358" s="138">
        <v>0.45</v>
      </c>
      <c r="D1358" s="138">
        <v>27</v>
      </c>
      <c r="E1358" s="138">
        <v>133.33333333333334</v>
      </c>
      <c r="F1358" s="139">
        <v>0.45</v>
      </c>
      <c r="H1358" t="str">
        <f t="shared" si="24"/>
        <v>15006150061506</v>
      </c>
    </row>
    <row r="1359" spans="1:8" ht="15" customHeight="1" x14ac:dyDescent="0.25">
      <c r="A1359" s="110" t="s">
        <v>4364</v>
      </c>
      <c r="B1359" s="125" t="s">
        <v>595</v>
      </c>
      <c r="C1359" s="138">
        <v>0.42</v>
      </c>
      <c r="D1359" s="138">
        <v>25.2</v>
      </c>
      <c r="E1359" s="138">
        <v>142.85714285714286</v>
      </c>
      <c r="F1359" s="139">
        <v>0.42</v>
      </c>
      <c r="H1359" t="str">
        <f t="shared" si="24"/>
        <v>15006150061507</v>
      </c>
    </row>
    <row r="1360" spans="1:8" ht="15" customHeight="1" x14ac:dyDescent="0.25">
      <c r="A1360" s="110" t="s">
        <v>4365</v>
      </c>
      <c r="B1360" s="125" t="s">
        <v>596</v>
      </c>
      <c r="C1360" s="138">
        <v>0.42</v>
      </c>
      <c r="D1360" s="138">
        <v>25.2</v>
      </c>
      <c r="E1360" s="138">
        <v>142.85714285714286</v>
      </c>
      <c r="F1360" s="139">
        <v>0.42</v>
      </c>
      <c r="H1360" t="str">
        <f t="shared" si="24"/>
        <v>15006150061508</v>
      </c>
    </row>
    <row r="1361" spans="1:8" ht="15" customHeight="1" x14ac:dyDescent="0.25">
      <c r="A1361" s="110" t="s">
        <v>4366</v>
      </c>
      <c r="B1361" s="125" t="s">
        <v>597</v>
      </c>
      <c r="C1361" s="138">
        <v>0.44</v>
      </c>
      <c r="D1361" s="138">
        <v>26.4</v>
      </c>
      <c r="E1361" s="138">
        <v>136.36363636363637</v>
      </c>
      <c r="F1361" s="139">
        <v>0.44</v>
      </c>
      <c r="H1361" t="str">
        <f t="shared" si="24"/>
        <v>15006150061509</v>
      </c>
    </row>
    <row r="1362" spans="1:8" ht="15" customHeight="1" x14ac:dyDescent="0.25">
      <c r="A1362" s="110" t="s">
        <v>4367</v>
      </c>
      <c r="B1362" s="125" t="s">
        <v>598</v>
      </c>
      <c r="C1362" s="138">
        <v>0.44</v>
      </c>
      <c r="D1362" s="138">
        <v>26.4</v>
      </c>
      <c r="E1362" s="138">
        <v>136.36363636363637</v>
      </c>
      <c r="F1362" s="139">
        <v>0.44</v>
      </c>
      <c r="H1362" t="str">
        <f t="shared" si="24"/>
        <v>15006150061510</v>
      </c>
    </row>
    <row r="1363" spans="1:8" ht="15" customHeight="1" x14ac:dyDescent="0.25">
      <c r="A1363" s="110" t="s">
        <v>4368</v>
      </c>
      <c r="B1363" s="125" t="s">
        <v>599</v>
      </c>
      <c r="C1363" s="138">
        <v>0.44</v>
      </c>
      <c r="D1363" s="138">
        <v>26.4</v>
      </c>
      <c r="E1363" s="138">
        <v>136.36363636363637</v>
      </c>
      <c r="F1363" s="139">
        <v>0.44</v>
      </c>
      <c r="H1363" t="str">
        <f t="shared" si="24"/>
        <v>15006150061511</v>
      </c>
    </row>
    <row r="1364" spans="1:8" ht="15" customHeight="1" x14ac:dyDescent="0.25">
      <c r="A1364" s="110" t="s">
        <v>4369</v>
      </c>
      <c r="B1364" s="125" t="s">
        <v>600</v>
      </c>
      <c r="C1364" s="138">
        <v>0.44</v>
      </c>
      <c r="D1364" s="138">
        <v>26.4</v>
      </c>
      <c r="E1364" s="138">
        <v>136.36363636363637</v>
      </c>
      <c r="F1364" s="139">
        <v>0.44</v>
      </c>
      <c r="H1364" t="str">
        <f t="shared" si="24"/>
        <v>15006150061512</v>
      </c>
    </row>
    <row r="1365" spans="1:8" ht="15" customHeight="1" x14ac:dyDescent="0.25">
      <c r="A1365" s="110" t="s">
        <v>4370</v>
      </c>
      <c r="B1365" s="125" t="s">
        <v>602</v>
      </c>
      <c r="C1365" s="138">
        <v>0.66</v>
      </c>
      <c r="D1365" s="138">
        <v>39.6</v>
      </c>
      <c r="E1365" s="138">
        <v>90.909090909090907</v>
      </c>
      <c r="F1365" s="139">
        <v>0.66</v>
      </c>
      <c r="H1365" t="str">
        <f t="shared" si="24"/>
        <v>15006150061513</v>
      </c>
    </row>
    <row r="1366" spans="1:8" ht="15" customHeight="1" x14ac:dyDescent="0.25">
      <c r="A1366" s="110" t="s">
        <v>4371</v>
      </c>
      <c r="B1366" s="125" t="s">
        <v>603</v>
      </c>
      <c r="C1366" s="138">
        <v>0.66</v>
      </c>
      <c r="D1366" s="138">
        <v>39.6</v>
      </c>
      <c r="E1366" s="138">
        <v>90.909090909090907</v>
      </c>
      <c r="F1366" s="139">
        <v>0.66</v>
      </c>
      <c r="H1366" t="str">
        <f t="shared" si="24"/>
        <v>15006150061514</v>
      </c>
    </row>
    <row r="1367" spans="1:8" ht="15" customHeight="1" x14ac:dyDescent="0.25">
      <c r="A1367" s="110" t="s">
        <v>5571</v>
      </c>
      <c r="B1367" s="125" t="s">
        <v>1801</v>
      </c>
      <c r="C1367" s="138">
        <v>1.19</v>
      </c>
      <c r="D1367" s="138">
        <v>71.399999999999991</v>
      </c>
      <c r="E1367" s="138">
        <v>50.420168067226896</v>
      </c>
      <c r="F1367" s="139">
        <v>1.19</v>
      </c>
      <c r="H1367" t="str">
        <f t="shared" si="24"/>
        <v>15006150061515</v>
      </c>
    </row>
    <row r="1368" spans="1:8" ht="15" customHeight="1" x14ac:dyDescent="0.25">
      <c r="A1368" s="110" t="s">
        <v>5572</v>
      </c>
      <c r="B1368" s="125" t="s">
        <v>1802</v>
      </c>
      <c r="C1368" s="138">
        <v>0.19</v>
      </c>
      <c r="D1368" s="138">
        <v>11.4</v>
      </c>
      <c r="E1368" s="138">
        <v>315.78947368421052</v>
      </c>
      <c r="F1368" s="139">
        <v>0.19</v>
      </c>
      <c r="H1368" t="str">
        <f t="shared" si="24"/>
        <v>15006150061520</v>
      </c>
    </row>
    <row r="1369" spans="1:8" ht="15" customHeight="1" x14ac:dyDescent="0.25">
      <c r="A1369" s="111" t="s">
        <v>4847</v>
      </c>
      <c r="B1369" s="128" t="s">
        <v>3226</v>
      </c>
      <c r="C1369" s="138">
        <v>0.6</v>
      </c>
      <c r="D1369" s="138">
        <v>36</v>
      </c>
      <c r="E1369" s="138">
        <v>100</v>
      </c>
      <c r="F1369" s="140">
        <v>0.6</v>
      </c>
      <c r="H1369" t="str">
        <f t="shared" si="24"/>
        <v>15006150061525</v>
      </c>
    </row>
    <row r="1370" spans="1:8" ht="15" customHeight="1" x14ac:dyDescent="0.25">
      <c r="A1370" s="111" t="s">
        <v>4848</v>
      </c>
      <c r="B1370" s="128" t="s">
        <v>3227</v>
      </c>
      <c r="C1370" s="138">
        <v>0.6</v>
      </c>
      <c r="D1370" s="138">
        <v>36</v>
      </c>
      <c r="E1370" s="138">
        <v>100</v>
      </c>
      <c r="F1370" s="140">
        <v>0.6</v>
      </c>
      <c r="H1370" t="str">
        <f t="shared" si="24"/>
        <v>15006150061526</v>
      </c>
    </row>
    <row r="1371" spans="1:8" ht="15" customHeight="1" x14ac:dyDescent="0.25">
      <c r="A1371" s="111" t="s">
        <v>4838</v>
      </c>
      <c r="B1371" s="125" t="s">
        <v>3220</v>
      </c>
      <c r="C1371" s="138">
        <v>1</v>
      </c>
      <c r="D1371" s="138">
        <v>60</v>
      </c>
      <c r="E1371" s="138">
        <v>60</v>
      </c>
      <c r="F1371" s="140">
        <v>1</v>
      </c>
      <c r="H1371" t="str">
        <f t="shared" si="24"/>
        <v>15006150061527</v>
      </c>
    </row>
    <row r="1372" spans="1:8" ht="15" customHeight="1" x14ac:dyDescent="0.25">
      <c r="A1372" s="111" t="s">
        <v>4839</v>
      </c>
      <c r="B1372" s="125" t="s">
        <v>3221</v>
      </c>
      <c r="C1372" s="138">
        <v>1</v>
      </c>
      <c r="D1372" s="138">
        <v>60</v>
      </c>
      <c r="E1372" s="138">
        <v>60</v>
      </c>
      <c r="F1372" s="140">
        <v>1</v>
      </c>
      <c r="H1372" t="str">
        <f t="shared" si="24"/>
        <v>15006150061528</v>
      </c>
    </row>
    <row r="1373" spans="1:8" ht="15" customHeight="1" x14ac:dyDescent="0.25">
      <c r="A1373" s="110" t="s">
        <v>4932</v>
      </c>
      <c r="B1373" s="125" t="s">
        <v>1803</v>
      </c>
      <c r="C1373" s="138">
        <v>0.19</v>
      </c>
      <c r="D1373" s="138">
        <v>11.4</v>
      </c>
      <c r="E1373" s="138">
        <v>315.78947368421052</v>
      </c>
      <c r="F1373" s="139">
        <v>0.19</v>
      </c>
      <c r="H1373" t="str">
        <f t="shared" si="24"/>
        <v>15006150061530</v>
      </c>
    </row>
    <row r="1374" spans="1:8" ht="15" customHeight="1" x14ac:dyDescent="0.25">
      <c r="A1374" s="110" t="s">
        <v>5573</v>
      </c>
      <c r="B1374" s="125" t="s">
        <v>1804</v>
      </c>
      <c r="C1374" s="138">
        <v>0.17</v>
      </c>
      <c r="D1374" s="138">
        <v>10.200000000000001</v>
      </c>
      <c r="E1374" s="138">
        <v>352.94117647058818</v>
      </c>
      <c r="F1374" s="139">
        <v>0.17</v>
      </c>
      <c r="H1374" t="str">
        <f t="shared" si="24"/>
        <v>15006150061540</v>
      </c>
    </row>
    <row r="1375" spans="1:8" ht="15" customHeight="1" x14ac:dyDescent="0.25">
      <c r="A1375" s="112" t="s">
        <v>4842</v>
      </c>
      <c r="B1375" s="128" t="s">
        <v>3224</v>
      </c>
      <c r="C1375" s="138">
        <v>0.65</v>
      </c>
      <c r="D1375" s="138">
        <v>39</v>
      </c>
      <c r="E1375" s="138">
        <v>92.307692307692307</v>
      </c>
      <c r="F1375" s="140">
        <v>0.65</v>
      </c>
      <c r="H1375" t="str">
        <f t="shared" si="24"/>
        <v>15006150061549</v>
      </c>
    </row>
    <row r="1376" spans="1:8" ht="15" customHeight="1" x14ac:dyDescent="0.25">
      <c r="A1376" s="112" t="s">
        <v>4843</v>
      </c>
      <c r="B1376" s="128" t="s">
        <v>3225</v>
      </c>
      <c r="C1376" s="138">
        <v>0.65</v>
      </c>
      <c r="D1376" s="138">
        <v>39</v>
      </c>
      <c r="E1376" s="138">
        <v>92.307692307692307</v>
      </c>
      <c r="F1376" s="140">
        <v>0.65</v>
      </c>
      <c r="H1376" t="str">
        <f t="shared" si="24"/>
        <v>15006150061550</v>
      </c>
    </row>
    <row r="1377" spans="1:8" ht="15" customHeight="1" x14ac:dyDescent="0.25">
      <c r="A1377" s="118" t="s">
        <v>5574</v>
      </c>
      <c r="B1377" s="135" t="s">
        <v>3319</v>
      </c>
      <c r="C1377" s="138">
        <v>0.5</v>
      </c>
      <c r="D1377" s="138">
        <v>30</v>
      </c>
      <c r="E1377" s="138">
        <v>120</v>
      </c>
      <c r="F1377" s="144">
        <v>0.5</v>
      </c>
      <c r="H1377" t="str">
        <f t="shared" si="24"/>
        <v>15006150061551</v>
      </c>
    </row>
    <row r="1378" spans="1:8" ht="15" customHeight="1" x14ac:dyDescent="0.25">
      <c r="A1378" s="118" t="s">
        <v>5575</v>
      </c>
      <c r="B1378" s="135" t="s">
        <v>3320</v>
      </c>
      <c r="C1378" s="138">
        <v>0.5</v>
      </c>
      <c r="D1378" s="138">
        <v>30</v>
      </c>
      <c r="E1378" s="138">
        <v>120</v>
      </c>
      <c r="F1378" s="144">
        <v>0.5</v>
      </c>
      <c r="H1378" t="str">
        <f t="shared" si="24"/>
        <v>15006150061552</v>
      </c>
    </row>
    <row r="1379" spans="1:8" ht="15" customHeight="1" x14ac:dyDescent="0.25">
      <c r="A1379" s="112" t="s">
        <v>4840</v>
      </c>
      <c r="B1379" s="128" t="s">
        <v>3222</v>
      </c>
      <c r="C1379" s="138">
        <v>0.5</v>
      </c>
      <c r="D1379" s="138">
        <v>30</v>
      </c>
      <c r="E1379" s="138">
        <v>120</v>
      </c>
      <c r="F1379" s="140">
        <v>0.5</v>
      </c>
      <c r="H1379" t="str">
        <f t="shared" si="24"/>
        <v>15006150061557</v>
      </c>
    </row>
    <row r="1380" spans="1:8" ht="15" customHeight="1" x14ac:dyDescent="0.25">
      <c r="A1380" s="112" t="s">
        <v>4841</v>
      </c>
      <c r="B1380" s="128" t="s">
        <v>3223</v>
      </c>
      <c r="C1380" s="138">
        <v>0.5</v>
      </c>
      <c r="D1380" s="138">
        <v>30</v>
      </c>
      <c r="E1380" s="138">
        <v>120</v>
      </c>
      <c r="F1380" s="140">
        <v>0.5</v>
      </c>
      <c r="H1380" t="str">
        <f t="shared" si="24"/>
        <v>15006150061558</v>
      </c>
    </row>
    <row r="1381" spans="1:8" ht="15" customHeight="1" x14ac:dyDescent="0.25">
      <c r="A1381" s="110" t="s">
        <v>4822</v>
      </c>
      <c r="B1381" s="127" t="s">
        <v>3202</v>
      </c>
      <c r="C1381" s="138">
        <v>0.75</v>
      </c>
      <c r="D1381" s="138">
        <v>45</v>
      </c>
      <c r="E1381" s="138">
        <v>80</v>
      </c>
      <c r="F1381" s="140">
        <v>0.75</v>
      </c>
      <c r="H1381" t="str">
        <f t="shared" si="24"/>
        <v>15006150061565</v>
      </c>
    </row>
    <row r="1382" spans="1:8" ht="15" customHeight="1" x14ac:dyDescent="0.25">
      <c r="A1382" s="110" t="s">
        <v>4823</v>
      </c>
      <c r="B1382" s="125" t="s">
        <v>3203</v>
      </c>
      <c r="C1382" s="138">
        <v>0.75</v>
      </c>
      <c r="D1382" s="138">
        <v>45</v>
      </c>
      <c r="E1382" s="138">
        <v>80</v>
      </c>
      <c r="F1382" s="140">
        <v>0.75</v>
      </c>
      <c r="H1382" t="str">
        <f t="shared" si="24"/>
        <v>15006150061566</v>
      </c>
    </row>
    <row r="1383" spans="1:8" ht="15" customHeight="1" x14ac:dyDescent="0.25">
      <c r="A1383" s="118" t="s">
        <v>4879</v>
      </c>
      <c r="B1383" s="135" t="s">
        <v>3291</v>
      </c>
      <c r="C1383" s="138">
        <v>0.5</v>
      </c>
      <c r="D1383" s="138">
        <v>30</v>
      </c>
      <c r="E1383" s="138">
        <v>120</v>
      </c>
      <c r="F1383" s="144">
        <v>0.5</v>
      </c>
      <c r="H1383" t="str">
        <f t="shared" si="24"/>
        <v>15006150061567</v>
      </c>
    </row>
    <row r="1384" spans="1:8" ht="15" customHeight="1" x14ac:dyDescent="0.25">
      <c r="A1384" s="118" t="s">
        <v>4880</v>
      </c>
      <c r="B1384" s="135" t="s">
        <v>3292</v>
      </c>
      <c r="C1384" s="138">
        <v>0.5</v>
      </c>
      <c r="D1384" s="138">
        <v>30</v>
      </c>
      <c r="E1384" s="138">
        <v>120</v>
      </c>
      <c r="F1384" s="144">
        <v>0.5</v>
      </c>
      <c r="H1384" t="str">
        <f t="shared" si="24"/>
        <v>15006150061568</v>
      </c>
    </row>
    <row r="1385" spans="1:8" ht="15" customHeight="1" x14ac:dyDescent="0.25">
      <c r="A1385" s="111" t="s">
        <v>5576</v>
      </c>
      <c r="B1385" s="126" t="s">
        <v>3234</v>
      </c>
      <c r="C1385" s="138">
        <v>0.6</v>
      </c>
      <c r="D1385" s="138">
        <v>36</v>
      </c>
      <c r="E1385" s="138">
        <v>100</v>
      </c>
      <c r="F1385" s="140">
        <v>0.6</v>
      </c>
      <c r="H1385" t="str">
        <f t="shared" si="24"/>
        <v>15006150061569</v>
      </c>
    </row>
    <row r="1386" spans="1:8" ht="15" customHeight="1" x14ac:dyDescent="0.25">
      <c r="A1386" s="111" t="s">
        <v>5577</v>
      </c>
      <c r="B1386" s="126" t="s">
        <v>3235</v>
      </c>
      <c r="C1386" s="138">
        <v>0.6</v>
      </c>
      <c r="D1386" s="138">
        <v>36</v>
      </c>
      <c r="E1386" s="138">
        <v>100</v>
      </c>
      <c r="F1386" s="140">
        <v>0.6</v>
      </c>
      <c r="H1386" t="str">
        <f t="shared" si="24"/>
        <v>15006150061570</v>
      </c>
    </row>
    <row r="1387" spans="1:8" ht="15" customHeight="1" x14ac:dyDescent="0.25">
      <c r="A1387" s="118" t="s">
        <v>4917</v>
      </c>
      <c r="B1387" s="135" t="s">
        <v>3335</v>
      </c>
      <c r="C1387" s="138">
        <v>1</v>
      </c>
      <c r="D1387" s="138">
        <v>60</v>
      </c>
      <c r="E1387" s="138">
        <v>60</v>
      </c>
      <c r="F1387" s="144">
        <v>1</v>
      </c>
      <c r="H1387" t="str">
        <f t="shared" si="24"/>
        <v>15006150061571</v>
      </c>
    </row>
    <row r="1388" spans="1:8" ht="15" customHeight="1" x14ac:dyDescent="0.25">
      <c r="A1388" s="118" t="s">
        <v>4918</v>
      </c>
      <c r="B1388" s="135" t="s">
        <v>3336</v>
      </c>
      <c r="C1388" s="138">
        <v>1</v>
      </c>
      <c r="D1388" s="138">
        <v>60</v>
      </c>
      <c r="E1388" s="138">
        <v>60</v>
      </c>
      <c r="F1388" s="144">
        <v>1</v>
      </c>
      <c r="H1388" t="str">
        <f t="shared" si="24"/>
        <v>15006150061572</v>
      </c>
    </row>
    <row r="1389" spans="1:8" ht="15" customHeight="1" x14ac:dyDescent="0.25">
      <c r="A1389" s="118" t="s">
        <v>4881</v>
      </c>
      <c r="B1389" s="135" t="s">
        <v>3297</v>
      </c>
      <c r="C1389" s="138">
        <v>0.8</v>
      </c>
      <c r="D1389" s="138">
        <v>48</v>
      </c>
      <c r="E1389" s="138">
        <v>75</v>
      </c>
      <c r="F1389" s="144">
        <v>0.8</v>
      </c>
      <c r="H1389" t="str">
        <f t="shared" si="24"/>
        <v>15006150061575</v>
      </c>
    </row>
    <row r="1390" spans="1:8" ht="15" customHeight="1" x14ac:dyDescent="0.25">
      <c r="A1390" s="118" t="s">
        <v>4882</v>
      </c>
      <c r="B1390" s="135" t="s">
        <v>3298</v>
      </c>
      <c r="C1390" s="138">
        <v>0.8</v>
      </c>
      <c r="D1390" s="138">
        <v>48</v>
      </c>
      <c r="E1390" s="138">
        <v>75</v>
      </c>
      <c r="F1390" s="144">
        <v>0.8</v>
      </c>
      <c r="H1390" t="str">
        <f t="shared" si="24"/>
        <v>15006150061576</v>
      </c>
    </row>
    <row r="1391" spans="1:8" ht="15" customHeight="1" x14ac:dyDescent="0.25">
      <c r="A1391" s="110" t="s">
        <v>4796</v>
      </c>
      <c r="B1391" s="125" t="s">
        <v>3184</v>
      </c>
      <c r="C1391" s="138">
        <v>0.32</v>
      </c>
      <c r="D1391" s="138">
        <v>19.2</v>
      </c>
      <c r="E1391" s="138">
        <v>187.5</v>
      </c>
      <c r="F1391" s="139">
        <v>0.32</v>
      </c>
      <c r="H1391" t="str">
        <f t="shared" si="24"/>
        <v>15006150061577</v>
      </c>
    </row>
    <row r="1392" spans="1:8" ht="15" customHeight="1" x14ac:dyDescent="0.25">
      <c r="A1392" s="110" t="s">
        <v>4797</v>
      </c>
      <c r="B1392" s="125" t="s">
        <v>3185</v>
      </c>
      <c r="C1392" s="138">
        <v>0.32</v>
      </c>
      <c r="D1392" s="138">
        <v>19.2</v>
      </c>
      <c r="E1392" s="138">
        <v>187.5</v>
      </c>
      <c r="F1392" s="140">
        <v>0.32</v>
      </c>
      <c r="H1392" t="str">
        <f t="shared" si="24"/>
        <v>15006150061578</v>
      </c>
    </row>
    <row r="1393" spans="1:8" ht="15" customHeight="1" x14ac:dyDescent="0.25">
      <c r="A1393" s="111" t="s">
        <v>5578</v>
      </c>
      <c r="B1393" s="125" t="s">
        <v>3228</v>
      </c>
      <c r="C1393" s="138">
        <v>0.6</v>
      </c>
      <c r="D1393" s="138">
        <v>36</v>
      </c>
      <c r="E1393" s="138">
        <v>100</v>
      </c>
      <c r="F1393" s="140">
        <v>0.6</v>
      </c>
      <c r="H1393" t="str">
        <f t="shared" si="24"/>
        <v>15006150061579</v>
      </c>
    </row>
    <row r="1394" spans="1:8" ht="15" customHeight="1" x14ac:dyDescent="0.25">
      <c r="A1394" s="111" t="s">
        <v>5579</v>
      </c>
      <c r="B1394" s="125" t="s">
        <v>3229</v>
      </c>
      <c r="C1394" s="138">
        <v>0.6</v>
      </c>
      <c r="D1394" s="138">
        <v>36</v>
      </c>
      <c r="E1394" s="138">
        <v>100</v>
      </c>
      <c r="F1394" s="140">
        <v>0.6</v>
      </c>
      <c r="H1394" t="str">
        <f t="shared" si="24"/>
        <v>15006150061580</v>
      </c>
    </row>
    <row r="1395" spans="1:8" ht="15" customHeight="1" x14ac:dyDescent="0.25">
      <c r="A1395" s="118" t="s">
        <v>4877</v>
      </c>
      <c r="B1395" s="134" t="s">
        <v>3287</v>
      </c>
      <c r="C1395" s="138">
        <v>0.5</v>
      </c>
      <c r="D1395" s="138">
        <v>30</v>
      </c>
      <c r="E1395" s="138">
        <v>120</v>
      </c>
      <c r="F1395" s="144">
        <v>0.5</v>
      </c>
      <c r="H1395" t="str">
        <f t="shared" si="24"/>
        <v>15006150061581</v>
      </c>
    </row>
    <row r="1396" spans="1:8" ht="15" customHeight="1" x14ac:dyDescent="0.25">
      <c r="A1396" s="118" t="s">
        <v>4877</v>
      </c>
      <c r="B1396" s="135" t="s">
        <v>3287</v>
      </c>
      <c r="C1396" s="138">
        <v>0.6</v>
      </c>
      <c r="D1396" s="138">
        <v>60</v>
      </c>
      <c r="E1396" s="138">
        <v>60</v>
      </c>
      <c r="F1396" s="144">
        <v>0.6</v>
      </c>
      <c r="H1396" t="str">
        <f t="shared" si="24"/>
        <v>15006150061581</v>
      </c>
    </row>
    <row r="1397" spans="1:8" ht="15" customHeight="1" x14ac:dyDescent="0.25">
      <c r="A1397" s="118" t="s">
        <v>4878</v>
      </c>
      <c r="B1397" s="134" t="s">
        <v>3288</v>
      </c>
      <c r="C1397" s="138">
        <v>0.5</v>
      </c>
      <c r="D1397" s="138">
        <v>30</v>
      </c>
      <c r="E1397" s="138">
        <v>120</v>
      </c>
      <c r="F1397" s="144">
        <v>0.5</v>
      </c>
      <c r="H1397" t="str">
        <f t="shared" si="24"/>
        <v>15006150061582</v>
      </c>
    </row>
    <row r="1398" spans="1:8" ht="15" customHeight="1" x14ac:dyDescent="0.25">
      <c r="A1398" s="118" t="s">
        <v>4878</v>
      </c>
      <c r="B1398" s="135" t="s">
        <v>3288</v>
      </c>
      <c r="C1398" s="138">
        <v>0.6</v>
      </c>
      <c r="D1398" s="138">
        <v>60</v>
      </c>
      <c r="E1398" s="138">
        <v>60</v>
      </c>
      <c r="F1398" s="144">
        <v>0.6</v>
      </c>
      <c r="H1398" t="str">
        <f t="shared" si="24"/>
        <v>15006150061582</v>
      </c>
    </row>
    <row r="1399" spans="1:8" ht="15" customHeight="1" x14ac:dyDescent="0.25">
      <c r="A1399" s="110" t="s">
        <v>5580</v>
      </c>
      <c r="B1399" s="125" t="s">
        <v>1206</v>
      </c>
      <c r="C1399" s="138">
        <v>0.39</v>
      </c>
      <c r="D1399" s="138">
        <v>23.400000000000002</v>
      </c>
      <c r="E1399" s="138">
        <v>153.84615384615384</v>
      </c>
      <c r="F1399" s="139">
        <v>0.39</v>
      </c>
      <c r="H1399" t="str">
        <f t="shared" si="24"/>
        <v>15006150061583</v>
      </c>
    </row>
    <row r="1400" spans="1:8" ht="15" customHeight="1" x14ac:dyDescent="0.25">
      <c r="A1400" s="110" t="s">
        <v>5581</v>
      </c>
      <c r="B1400" s="125" t="s">
        <v>1207</v>
      </c>
      <c r="C1400" s="138">
        <v>0.39</v>
      </c>
      <c r="D1400" s="138">
        <v>23.400000000000002</v>
      </c>
      <c r="E1400" s="138">
        <v>153.84615384615384</v>
      </c>
      <c r="F1400" s="139">
        <v>0.39</v>
      </c>
      <c r="H1400" t="str">
        <f t="shared" si="24"/>
        <v>15006150061584</v>
      </c>
    </row>
    <row r="1401" spans="1:8" ht="15" customHeight="1" x14ac:dyDescent="0.25">
      <c r="A1401" s="110" t="s">
        <v>5582</v>
      </c>
      <c r="B1401" s="125" t="s">
        <v>1208</v>
      </c>
      <c r="C1401" s="138">
        <v>0.36</v>
      </c>
      <c r="D1401" s="138">
        <v>21.599999999999998</v>
      </c>
      <c r="E1401" s="138">
        <v>166.66666666666669</v>
      </c>
      <c r="F1401" s="139">
        <v>0.36</v>
      </c>
      <c r="H1401" t="str">
        <f t="shared" si="24"/>
        <v>15006150061585</v>
      </c>
    </row>
    <row r="1402" spans="1:8" ht="15" customHeight="1" x14ac:dyDescent="0.25">
      <c r="A1402" s="110" t="s">
        <v>5583</v>
      </c>
      <c r="B1402" s="125" t="s">
        <v>1209</v>
      </c>
      <c r="C1402" s="138">
        <v>0.36</v>
      </c>
      <c r="D1402" s="138">
        <v>21.599999999999998</v>
      </c>
      <c r="E1402" s="138">
        <v>166.66666666666669</v>
      </c>
      <c r="F1402" s="139">
        <v>0.36</v>
      </c>
      <c r="H1402" t="str">
        <f t="shared" si="24"/>
        <v>15006150061586</v>
      </c>
    </row>
    <row r="1403" spans="1:8" ht="15" customHeight="1" x14ac:dyDescent="0.25">
      <c r="A1403" s="118" t="s">
        <v>4907</v>
      </c>
      <c r="B1403" s="135" t="s">
        <v>3321</v>
      </c>
      <c r="C1403" s="138">
        <v>0.6</v>
      </c>
      <c r="D1403" s="138">
        <v>60</v>
      </c>
      <c r="E1403" s="138">
        <v>60</v>
      </c>
      <c r="F1403" s="144">
        <v>0.6</v>
      </c>
      <c r="H1403" t="str">
        <f t="shared" si="24"/>
        <v>15006150061587</v>
      </c>
    </row>
    <row r="1404" spans="1:8" ht="15" customHeight="1" x14ac:dyDescent="0.25">
      <c r="A1404" s="118" t="s">
        <v>4908</v>
      </c>
      <c r="B1404" s="135" t="s">
        <v>3322</v>
      </c>
      <c r="C1404" s="138">
        <v>0.6</v>
      </c>
      <c r="D1404" s="138">
        <v>60</v>
      </c>
      <c r="E1404" s="138">
        <v>60</v>
      </c>
      <c r="F1404" s="144">
        <v>0.6</v>
      </c>
      <c r="H1404" t="str">
        <f t="shared" si="24"/>
        <v>15006150061588</v>
      </c>
    </row>
    <row r="1405" spans="1:8" ht="15" customHeight="1" x14ac:dyDescent="0.25">
      <c r="A1405" s="110" t="s">
        <v>4815</v>
      </c>
      <c r="B1405" s="125" t="s">
        <v>3195</v>
      </c>
      <c r="C1405" s="138">
        <v>0.4</v>
      </c>
      <c r="D1405" s="138">
        <v>24</v>
      </c>
      <c r="E1405" s="138">
        <v>150</v>
      </c>
      <c r="F1405" s="140">
        <v>0.4</v>
      </c>
      <c r="H1405" t="str">
        <f t="shared" si="24"/>
        <v>15006150061589</v>
      </c>
    </row>
    <row r="1406" spans="1:8" ht="15" customHeight="1" x14ac:dyDescent="0.25">
      <c r="A1406" s="110" t="s">
        <v>4816</v>
      </c>
      <c r="B1406" s="125" t="s">
        <v>3196</v>
      </c>
      <c r="C1406" s="138">
        <v>0.4</v>
      </c>
      <c r="D1406" s="138">
        <v>24</v>
      </c>
      <c r="E1406" s="138">
        <v>150</v>
      </c>
      <c r="F1406" s="140">
        <v>0.4</v>
      </c>
      <c r="H1406" t="str">
        <f t="shared" si="24"/>
        <v>15006150061590</v>
      </c>
    </row>
    <row r="1407" spans="1:8" ht="15" customHeight="1" x14ac:dyDescent="0.25">
      <c r="A1407" s="110" t="s">
        <v>5584</v>
      </c>
      <c r="B1407" s="125" t="s">
        <v>1210</v>
      </c>
      <c r="C1407" s="138">
        <v>0.37</v>
      </c>
      <c r="D1407" s="138">
        <v>22.2</v>
      </c>
      <c r="E1407" s="138">
        <v>162.16216216216216</v>
      </c>
      <c r="F1407" s="139">
        <v>0.37</v>
      </c>
      <c r="H1407" t="str">
        <f t="shared" si="24"/>
        <v>15006150061591</v>
      </c>
    </row>
    <row r="1408" spans="1:8" ht="15" customHeight="1" x14ac:dyDescent="0.25">
      <c r="A1408" s="110" t="s">
        <v>5585</v>
      </c>
      <c r="B1408" s="125" t="s">
        <v>1211</v>
      </c>
      <c r="C1408" s="138">
        <v>0.37</v>
      </c>
      <c r="D1408" s="138">
        <v>22.2</v>
      </c>
      <c r="E1408" s="138">
        <v>162.16216216216216</v>
      </c>
      <c r="F1408" s="139">
        <v>0.37</v>
      </c>
      <c r="H1408" t="str">
        <f t="shared" si="24"/>
        <v>15006150061592</v>
      </c>
    </row>
    <row r="1409" spans="1:8" ht="15" customHeight="1" x14ac:dyDescent="0.25">
      <c r="A1409" s="110" t="s">
        <v>5586</v>
      </c>
      <c r="B1409" s="125" t="s">
        <v>1212</v>
      </c>
      <c r="C1409" s="138">
        <v>0.35</v>
      </c>
      <c r="D1409" s="138">
        <v>21</v>
      </c>
      <c r="E1409" s="138">
        <v>171.42857142857142</v>
      </c>
      <c r="F1409" s="139">
        <v>0.35</v>
      </c>
      <c r="H1409" t="str">
        <f t="shared" si="24"/>
        <v>15006150061593</v>
      </c>
    </row>
    <row r="1410" spans="1:8" ht="15" customHeight="1" x14ac:dyDescent="0.25">
      <c r="A1410" s="110" t="s">
        <v>5587</v>
      </c>
      <c r="B1410" s="125" t="s">
        <v>1213</v>
      </c>
      <c r="C1410" s="138">
        <v>0.35</v>
      </c>
      <c r="D1410" s="138">
        <v>21</v>
      </c>
      <c r="E1410" s="138">
        <v>171.42857142857142</v>
      </c>
      <c r="F1410" s="139">
        <v>0.35</v>
      </c>
      <c r="H1410" t="str">
        <f t="shared" si="24"/>
        <v>15006150061594</v>
      </c>
    </row>
    <row r="1411" spans="1:8" ht="15" customHeight="1" x14ac:dyDescent="0.25">
      <c r="A1411" s="110" t="s">
        <v>4372</v>
      </c>
      <c r="B1411" s="125" t="s">
        <v>601</v>
      </c>
      <c r="C1411" s="138">
        <v>7.0000000000000007E-2</v>
      </c>
      <c r="D1411" s="138">
        <v>4.2</v>
      </c>
      <c r="E1411" s="138">
        <v>857.14285714285711</v>
      </c>
      <c r="F1411" s="139">
        <v>7.0000000000000007E-2</v>
      </c>
      <c r="H1411" t="str">
        <f t="shared" si="24"/>
        <v>15006150061600</v>
      </c>
    </row>
    <row r="1412" spans="1:8" ht="15" customHeight="1" x14ac:dyDescent="0.25">
      <c r="A1412" s="110" t="s">
        <v>4372</v>
      </c>
      <c r="B1412" s="125" t="s">
        <v>1805</v>
      </c>
      <c r="C1412" s="138">
        <v>0.21</v>
      </c>
      <c r="D1412" s="138">
        <v>12.6</v>
      </c>
      <c r="E1412" s="138">
        <v>285.71428571428572</v>
      </c>
      <c r="F1412" s="139">
        <v>0.21</v>
      </c>
      <c r="H1412" t="str">
        <f t="shared" ref="H1412:H1475" si="25">CONCATENATE($G$835,A1412)</f>
        <v>15006150061600</v>
      </c>
    </row>
    <row r="1413" spans="1:8" ht="15" customHeight="1" x14ac:dyDescent="0.25">
      <c r="A1413" s="110" t="s">
        <v>4373</v>
      </c>
      <c r="B1413" s="125" t="s">
        <v>861</v>
      </c>
      <c r="C1413" s="138">
        <v>0.14000000000000001</v>
      </c>
      <c r="D1413" s="138">
        <v>8.4</v>
      </c>
      <c r="E1413" s="138">
        <v>428.57142857142856</v>
      </c>
      <c r="F1413" s="139">
        <v>0.14000000000000001</v>
      </c>
      <c r="H1413" t="str">
        <f t="shared" si="25"/>
        <v>15006150061603</v>
      </c>
    </row>
    <row r="1414" spans="1:8" ht="15" customHeight="1" x14ac:dyDescent="0.25">
      <c r="A1414" s="110" t="s">
        <v>4374</v>
      </c>
      <c r="B1414" s="125" t="s">
        <v>369</v>
      </c>
      <c r="C1414" s="138">
        <v>0.04</v>
      </c>
      <c r="D1414" s="138">
        <v>2.4</v>
      </c>
      <c r="E1414" s="138">
        <v>1500</v>
      </c>
      <c r="F1414" s="139">
        <v>0.04</v>
      </c>
      <c r="H1414" t="str">
        <f t="shared" si="25"/>
        <v>15006150061604</v>
      </c>
    </row>
    <row r="1415" spans="1:8" ht="15" customHeight="1" x14ac:dyDescent="0.25">
      <c r="A1415" s="110" t="s">
        <v>5588</v>
      </c>
      <c r="B1415" s="125" t="s">
        <v>1806</v>
      </c>
      <c r="C1415" s="138">
        <v>0.21</v>
      </c>
      <c r="D1415" s="138">
        <v>12.6</v>
      </c>
      <c r="E1415" s="138">
        <v>285.71428571428572</v>
      </c>
      <c r="F1415" s="139">
        <v>0.21</v>
      </c>
      <c r="H1415" t="str">
        <f t="shared" si="25"/>
        <v>15006150061610</v>
      </c>
    </row>
    <row r="1416" spans="1:8" ht="15" customHeight="1" x14ac:dyDescent="0.25">
      <c r="A1416" s="110" t="s">
        <v>5589</v>
      </c>
      <c r="B1416" s="125" t="s">
        <v>1214</v>
      </c>
      <c r="C1416" s="138">
        <v>0.03</v>
      </c>
      <c r="D1416" s="138">
        <v>1.7999999999999998</v>
      </c>
      <c r="E1416" s="138">
        <v>2000.0000000000002</v>
      </c>
      <c r="F1416" s="139">
        <v>0.03</v>
      </c>
      <c r="H1416" t="str">
        <f t="shared" si="25"/>
        <v>15006150061612</v>
      </c>
    </row>
    <row r="1417" spans="1:8" ht="15" customHeight="1" x14ac:dyDescent="0.25">
      <c r="A1417" s="110" t="s">
        <v>4375</v>
      </c>
      <c r="B1417" s="125" t="s">
        <v>662</v>
      </c>
      <c r="C1417" s="138">
        <v>0.25</v>
      </c>
      <c r="D1417" s="138">
        <v>15</v>
      </c>
      <c r="E1417" s="138">
        <v>240</v>
      </c>
      <c r="F1417" s="139">
        <v>0.25</v>
      </c>
      <c r="H1417" t="str">
        <f t="shared" si="25"/>
        <v>15006150061615</v>
      </c>
    </row>
    <row r="1418" spans="1:8" ht="15" customHeight="1" x14ac:dyDescent="0.25">
      <c r="A1418" s="110" t="s">
        <v>5590</v>
      </c>
      <c r="B1418" s="125" t="s">
        <v>867</v>
      </c>
      <c r="C1418" s="138">
        <v>0.03</v>
      </c>
      <c r="D1418" s="138">
        <v>1.7999999999999998</v>
      </c>
      <c r="E1418" s="138">
        <v>2000.0000000000002</v>
      </c>
      <c r="F1418" s="139">
        <v>0.03</v>
      </c>
      <c r="H1418" t="str">
        <f t="shared" si="25"/>
        <v>15006150061619</v>
      </c>
    </row>
    <row r="1419" spans="1:8" ht="15" customHeight="1" x14ac:dyDescent="0.25">
      <c r="A1419" s="110" t="s">
        <v>5591</v>
      </c>
      <c r="B1419" s="125" t="s">
        <v>1215</v>
      </c>
      <c r="C1419" s="138">
        <v>0.14000000000000001</v>
      </c>
      <c r="D1419" s="138">
        <v>8.4</v>
      </c>
      <c r="E1419" s="138">
        <v>428.57142857142856</v>
      </c>
      <c r="F1419" s="139">
        <v>0.14000000000000001</v>
      </c>
      <c r="H1419" t="str">
        <f t="shared" si="25"/>
        <v>15006150061620</v>
      </c>
    </row>
    <row r="1420" spans="1:8" ht="15" customHeight="1" x14ac:dyDescent="0.25">
      <c r="A1420" s="110" t="s">
        <v>5591</v>
      </c>
      <c r="B1420" s="125" t="s">
        <v>1807</v>
      </c>
      <c r="C1420" s="138">
        <v>0.21</v>
      </c>
      <c r="D1420" s="138">
        <v>12.6</v>
      </c>
      <c r="E1420" s="138">
        <v>285.71428571428572</v>
      </c>
      <c r="F1420" s="139">
        <v>0.21</v>
      </c>
      <c r="H1420" t="str">
        <f t="shared" si="25"/>
        <v>15006150061620</v>
      </c>
    </row>
    <row r="1421" spans="1:8" ht="15" customHeight="1" x14ac:dyDescent="0.25">
      <c r="A1421" s="110" t="s">
        <v>5592</v>
      </c>
      <c r="B1421" s="125" t="s">
        <v>1216</v>
      </c>
      <c r="C1421" s="138">
        <v>0.06</v>
      </c>
      <c r="D1421" s="138">
        <v>3.5999999999999996</v>
      </c>
      <c r="E1421" s="138">
        <v>1000.0000000000001</v>
      </c>
      <c r="F1421" s="139">
        <v>0.06</v>
      </c>
      <c r="H1421" t="str">
        <f t="shared" si="25"/>
        <v>15006150061629</v>
      </c>
    </row>
    <row r="1422" spans="1:8" ht="15" customHeight="1" x14ac:dyDescent="0.25">
      <c r="A1422" s="110" t="s">
        <v>4376</v>
      </c>
      <c r="B1422" s="125" t="s">
        <v>370</v>
      </c>
      <c r="C1422" s="138">
        <v>0.19</v>
      </c>
      <c r="D1422" s="138">
        <v>11.4</v>
      </c>
      <c r="E1422" s="138">
        <v>315.78947368421052</v>
      </c>
      <c r="F1422" s="139">
        <v>0.19</v>
      </c>
      <c r="H1422" t="str">
        <f t="shared" si="25"/>
        <v>15006150061630</v>
      </c>
    </row>
    <row r="1423" spans="1:8" ht="15" customHeight="1" x14ac:dyDescent="0.25">
      <c r="A1423" s="110" t="s">
        <v>4377</v>
      </c>
      <c r="B1423" s="125" t="s">
        <v>371</v>
      </c>
      <c r="C1423" s="138">
        <v>0.14000000000000001</v>
      </c>
      <c r="D1423" s="138">
        <v>8.4</v>
      </c>
      <c r="E1423" s="138">
        <v>428.57142857142856</v>
      </c>
      <c r="F1423" s="139">
        <v>0.14000000000000001</v>
      </c>
      <c r="H1423" t="str">
        <f t="shared" si="25"/>
        <v>15006150061631</v>
      </c>
    </row>
    <row r="1424" spans="1:8" ht="15" customHeight="1" x14ac:dyDescent="0.25">
      <c r="A1424" s="110" t="s">
        <v>5593</v>
      </c>
      <c r="B1424" s="125" t="s">
        <v>1217</v>
      </c>
      <c r="C1424" s="138">
        <v>0.75</v>
      </c>
      <c r="D1424" s="138">
        <v>45</v>
      </c>
      <c r="E1424" s="138">
        <v>80</v>
      </c>
      <c r="F1424" s="139">
        <v>0.75</v>
      </c>
      <c r="H1424" t="str">
        <f t="shared" si="25"/>
        <v>15006150061632</v>
      </c>
    </row>
    <row r="1425" spans="1:8" ht="15" customHeight="1" x14ac:dyDescent="0.25">
      <c r="A1425" s="110" t="s">
        <v>5594</v>
      </c>
      <c r="B1425" s="125" t="s">
        <v>1218</v>
      </c>
      <c r="C1425" s="138">
        <v>0.3</v>
      </c>
      <c r="D1425" s="138">
        <v>18</v>
      </c>
      <c r="E1425" s="138">
        <v>200</v>
      </c>
      <c r="F1425" s="139">
        <v>0.3</v>
      </c>
      <c r="H1425" t="str">
        <f t="shared" si="25"/>
        <v>15006150061638</v>
      </c>
    </row>
    <row r="1426" spans="1:8" ht="15" customHeight="1" x14ac:dyDescent="0.25">
      <c r="A1426" s="110" t="s">
        <v>5595</v>
      </c>
      <c r="B1426" s="125" t="s">
        <v>1219</v>
      </c>
      <c r="C1426" s="138">
        <v>0.12</v>
      </c>
      <c r="D1426" s="138">
        <v>7.1999999999999993</v>
      </c>
      <c r="E1426" s="138">
        <v>500.00000000000006</v>
      </c>
      <c r="F1426" s="139">
        <v>0.12</v>
      </c>
      <c r="H1426" t="str">
        <f t="shared" si="25"/>
        <v>15006150061639</v>
      </c>
    </row>
    <row r="1427" spans="1:8" ht="15" customHeight="1" x14ac:dyDescent="0.25">
      <c r="A1427" s="110" t="s">
        <v>5596</v>
      </c>
      <c r="B1427" s="125" t="s">
        <v>1220</v>
      </c>
      <c r="C1427" s="138">
        <v>0.06</v>
      </c>
      <c r="D1427" s="138">
        <v>3.5999999999999996</v>
      </c>
      <c r="E1427" s="138">
        <v>1000.0000000000001</v>
      </c>
      <c r="F1427" s="139">
        <v>0.06</v>
      </c>
      <c r="H1427" t="str">
        <f t="shared" si="25"/>
        <v>15006150061640</v>
      </c>
    </row>
    <row r="1428" spans="1:8" ht="15" customHeight="1" x14ac:dyDescent="0.25">
      <c r="A1428" s="110" t="s">
        <v>5596</v>
      </c>
      <c r="B1428" s="125" t="s">
        <v>1808</v>
      </c>
      <c r="C1428" s="138">
        <v>0.21</v>
      </c>
      <c r="D1428" s="138">
        <v>12.6</v>
      </c>
      <c r="E1428" s="138">
        <v>285.71428571428572</v>
      </c>
      <c r="F1428" s="139">
        <v>0.21</v>
      </c>
      <c r="H1428" t="str">
        <f t="shared" si="25"/>
        <v>15006150061640</v>
      </c>
    </row>
    <row r="1429" spans="1:8" ht="15" customHeight="1" x14ac:dyDescent="0.25">
      <c r="A1429" s="110" t="s">
        <v>5597</v>
      </c>
      <c r="B1429" s="125" t="s">
        <v>1221</v>
      </c>
      <c r="C1429" s="138">
        <v>0.06</v>
      </c>
      <c r="D1429" s="138">
        <v>3.5999999999999996</v>
      </c>
      <c r="E1429" s="138">
        <v>1000.0000000000001</v>
      </c>
      <c r="F1429" s="139">
        <v>0.06</v>
      </c>
      <c r="H1429" t="str">
        <f t="shared" si="25"/>
        <v>15006150061641</v>
      </c>
    </row>
    <row r="1430" spans="1:8" ht="15" customHeight="1" x14ac:dyDescent="0.25">
      <c r="A1430" s="110" t="s">
        <v>5598</v>
      </c>
      <c r="B1430" s="125" t="s">
        <v>1809</v>
      </c>
      <c r="C1430" s="138">
        <v>0.3</v>
      </c>
      <c r="D1430" s="138">
        <v>18</v>
      </c>
      <c r="E1430" s="138">
        <v>200</v>
      </c>
      <c r="F1430" s="139">
        <v>0.3</v>
      </c>
      <c r="H1430" t="str">
        <f t="shared" si="25"/>
        <v>15006150061645</v>
      </c>
    </row>
    <row r="1431" spans="1:8" ht="15" customHeight="1" x14ac:dyDescent="0.25">
      <c r="A1431" s="110" t="s">
        <v>5599</v>
      </c>
      <c r="B1431" s="125" t="s">
        <v>868</v>
      </c>
      <c r="C1431" s="138">
        <v>0.25</v>
      </c>
      <c r="D1431" s="138">
        <v>15</v>
      </c>
      <c r="E1431" s="138">
        <v>240</v>
      </c>
      <c r="F1431" s="139">
        <v>0.25</v>
      </c>
      <c r="H1431" t="str">
        <f t="shared" si="25"/>
        <v>15006150061656</v>
      </c>
    </row>
    <row r="1432" spans="1:8" ht="15" customHeight="1" x14ac:dyDescent="0.25">
      <c r="A1432" s="110" t="s">
        <v>4378</v>
      </c>
      <c r="B1432" s="125" t="s">
        <v>1222</v>
      </c>
      <c r="C1432" s="138">
        <v>0.4</v>
      </c>
      <c r="D1432" s="138">
        <v>24</v>
      </c>
      <c r="E1432" s="138">
        <v>150</v>
      </c>
      <c r="F1432" s="139">
        <v>0.4</v>
      </c>
      <c r="H1432" t="str">
        <f t="shared" si="25"/>
        <v>15006150061657</v>
      </c>
    </row>
    <row r="1433" spans="1:8" ht="15" customHeight="1" x14ac:dyDescent="0.25">
      <c r="A1433" s="110" t="s">
        <v>4379</v>
      </c>
      <c r="B1433" s="125" t="s">
        <v>663</v>
      </c>
      <c r="C1433" s="138">
        <v>0.5</v>
      </c>
      <c r="D1433" s="138">
        <v>30</v>
      </c>
      <c r="E1433" s="138">
        <v>120</v>
      </c>
      <c r="F1433" s="139">
        <v>0.5</v>
      </c>
      <c r="H1433" t="str">
        <f t="shared" si="25"/>
        <v>15006150061658</v>
      </c>
    </row>
    <row r="1434" spans="1:8" ht="15" customHeight="1" x14ac:dyDescent="0.25">
      <c r="A1434" s="110" t="s">
        <v>4380</v>
      </c>
      <c r="B1434" s="125" t="s">
        <v>1810</v>
      </c>
      <c r="C1434" s="138">
        <v>0.43</v>
      </c>
      <c r="D1434" s="138">
        <v>25.8</v>
      </c>
      <c r="E1434" s="138">
        <v>139.53488372093022</v>
      </c>
      <c r="F1434" s="139">
        <v>0.43</v>
      </c>
      <c r="H1434" t="str">
        <f t="shared" si="25"/>
        <v>15006150061660</v>
      </c>
    </row>
    <row r="1435" spans="1:8" ht="15" customHeight="1" x14ac:dyDescent="0.25">
      <c r="A1435" s="110" t="s">
        <v>4382</v>
      </c>
      <c r="B1435" s="125" t="s">
        <v>1223</v>
      </c>
      <c r="C1435" s="138">
        <v>0.26</v>
      </c>
      <c r="D1435" s="138">
        <v>15.600000000000001</v>
      </c>
      <c r="E1435" s="138">
        <v>230.76923076923075</v>
      </c>
      <c r="F1435" s="139">
        <v>0.26</v>
      </c>
      <c r="H1435" t="str">
        <f t="shared" si="25"/>
        <v>15006150061662</v>
      </c>
    </row>
    <row r="1436" spans="1:8" ht="15" customHeight="1" x14ac:dyDescent="0.25">
      <c r="A1436" s="110" t="s">
        <v>4383</v>
      </c>
      <c r="B1436" s="125" t="s">
        <v>1224</v>
      </c>
      <c r="C1436" s="138">
        <v>0.26</v>
      </c>
      <c r="D1436" s="138">
        <v>15.600000000000001</v>
      </c>
      <c r="E1436" s="138">
        <v>230.76923076923075</v>
      </c>
      <c r="F1436" s="139">
        <v>0.26</v>
      </c>
      <c r="H1436" t="str">
        <f t="shared" si="25"/>
        <v>15006150061663</v>
      </c>
    </row>
    <row r="1437" spans="1:8" ht="15" customHeight="1" x14ac:dyDescent="0.25">
      <c r="A1437" s="110" t="s">
        <v>4384</v>
      </c>
      <c r="B1437" s="125" t="s">
        <v>1225</v>
      </c>
      <c r="C1437" s="138">
        <v>0.26</v>
      </c>
      <c r="D1437" s="138">
        <v>15.600000000000001</v>
      </c>
      <c r="E1437" s="138">
        <v>230.76923076923075</v>
      </c>
      <c r="F1437" s="139">
        <v>0.26</v>
      </c>
      <c r="H1437" t="str">
        <f t="shared" si="25"/>
        <v>15006150061664</v>
      </c>
    </row>
    <row r="1438" spans="1:8" ht="15" customHeight="1" x14ac:dyDescent="0.25">
      <c r="A1438" s="110" t="s">
        <v>4385</v>
      </c>
      <c r="B1438" s="125" t="s">
        <v>1226</v>
      </c>
      <c r="C1438" s="138">
        <v>0.26</v>
      </c>
      <c r="D1438" s="138">
        <v>15.600000000000001</v>
      </c>
      <c r="E1438" s="138">
        <v>230.76923076923075</v>
      </c>
      <c r="F1438" s="139">
        <v>0.26</v>
      </c>
      <c r="H1438" t="str">
        <f t="shared" si="25"/>
        <v>15006150061665</v>
      </c>
    </row>
    <row r="1439" spans="1:8" ht="15" customHeight="1" x14ac:dyDescent="0.25">
      <c r="A1439" s="110" t="s">
        <v>4386</v>
      </c>
      <c r="B1439" s="125" t="s">
        <v>1227</v>
      </c>
      <c r="C1439" s="138">
        <v>0.32</v>
      </c>
      <c r="D1439" s="138">
        <v>19.2</v>
      </c>
      <c r="E1439" s="138">
        <v>187.5</v>
      </c>
      <c r="F1439" s="139">
        <v>0.32</v>
      </c>
      <c r="H1439" t="str">
        <f t="shared" si="25"/>
        <v>15006150061666</v>
      </c>
    </row>
    <row r="1440" spans="1:8" ht="15" customHeight="1" x14ac:dyDescent="0.25">
      <c r="A1440" s="110" t="s">
        <v>4387</v>
      </c>
      <c r="B1440" s="125" t="s">
        <v>1228</v>
      </c>
      <c r="C1440" s="138">
        <v>0.32</v>
      </c>
      <c r="D1440" s="138">
        <v>19.2</v>
      </c>
      <c r="E1440" s="138">
        <v>187.5</v>
      </c>
      <c r="F1440" s="139">
        <v>0.32</v>
      </c>
      <c r="H1440" t="str">
        <f t="shared" si="25"/>
        <v>15006150061667</v>
      </c>
    </row>
    <row r="1441" spans="1:8" ht="15" customHeight="1" x14ac:dyDescent="0.25">
      <c r="A1441" s="110" t="s">
        <v>4388</v>
      </c>
      <c r="B1441" s="125" t="s">
        <v>1229</v>
      </c>
      <c r="C1441" s="138">
        <v>0.32</v>
      </c>
      <c r="D1441" s="138">
        <v>19.2</v>
      </c>
      <c r="E1441" s="138">
        <v>187.5</v>
      </c>
      <c r="F1441" s="139">
        <v>0.32</v>
      </c>
      <c r="H1441" t="str">
        <f t="shared" si="25"/>
        <v>15006150061668</v>
      </c>
    </row>
    <row r="1442" spans="1:8" ht="15" customHeight="1" x14ac:dyDescent="0.25">
      <c r="A1442" s="110" t="s">
        <v>4389</v>
      </c>
      <c r="B1442" s="125" t="s">
        <v>1230</v>
      </c>
      <c r="C1442" s="138">
        <v>0.32</v>
      </c>
      <c r="D1442" s="138">
        <v>19.2</v>
      </c>
      <c r="E1442" s="138">
        <v>187.5</v>
      </c>
      <c r="F1442" s="139">
        <v>0.32</v>
      </c>
      <c r="H1442" t="str">
        <f t="shared" si="25"/>
        <v>15006150061669</v>
      </c>
    </row>
    <row r="1443" spans="1:8" ht="15" customHeight="1" x14ac:dyDescent="0.25">
      <c r="A1443" s="110" t="s">
        <v>4390</v>
      </c>
      <c r="B1443" s="125" t="s">
        <v>1231</v>
      </c>
      <c r="C1443" s="138">
        <v>0.27</v>
      </c>
      <c r="D1443" s="138">
        <v>16.200000000000003</v>
      </c>
      <c r="E1443" s="138">
        <v>222.22222222222217</v>
      </c>
      <c r="F1443" s="139">
        <v>0.27</v>
      </c>
      <c r="H1443" t="str">
        <f t="shared" si="25"/>
        <v>15006150061670</v>
      </c>
    </row>
    <row r="1444" spans="1:8" ht="15" customHeight="1" x14ac:dyDescent="0.25">
      <c r="A1444" s="110" t="s">
        <v>4391</v>
      </c>
      <c r="B1444" s="125" t="s">
        <v>1232</v>
      </c>
      <c r="C1444" s="138">
        <v>0.27</v>
      </c>
      <c r="D1444" s="138">
        <v>16.200000000000003</v>
      </c>
      <c r="E1444" s="138">
        <v>222.22222222222217</v>
      </c>
      <c r="F1444" s="139">
        <v>0.27</v>
      </c>
      <c r="H1444" t="str">
        <f t="shared" si="25"/>
        <v>15006150061671</v>
      </c>
    </row>
    <row r="1445" spans="1:8" ht="15" customHeight="1" x14ac:dyDescent="0.25">
      <c r="A1445" s="110" t="s">
        <v>4392</v>
      </c>
      <c r="B1445" s="125" t="s">
        <v>1233</v>
      </c>
      <c r="C1445" s="138">
        <v>0.27</v>
      </c>
      <c r="D1445" s="138">
        <v>16.200000000000003</v>
      </c>
      <c r="E1445" s="138">
        <v>222.22222222222217</v>
      </c>
      <c r="F1445" s="139">
        <v>0.27</v>
      </c>
      <c r="H1445" t="str">
        <f t="shared" si="25"/>
        <v>15006150061672</v>
      </c>
    </row>
    <row r="1446" spans="1:8" ht="15" customHeight="1" x14ac:dyDescent="0.25">
      <c r="A1446" s="110" t="s">
        <v>4393</v>
      </c>
      <c r="B1446" s="125" t="s">
        <v>1234</v>
      </c>
      <c r="C1446" s="138">
        <v>0.27</v>
      </c>
      <c r="D1446" s="138">
        <v>16.200000000000003</v>
      </c>
      <c r="E1446" s="138">
        <v>222.22222222222217</v>
      </c>
      <c r="F1446" s="139">
        <v>0.27</v>
      </c>
      <c r="H1446" t="str">
        <f t="shared" si="25"/>
        <v>15006150061673</v>
      </c>
    </row>
    <row r="1447" spans="1:8" ht="15" customHeight="1" x14ac:dyDescent="0.25">
      <c r="A1447" s="110" t="s">
        <v>4394</v>
      </c>
      <c r="B1447" s="125" t="s">
        <v>493</v>
      </c>
      <c r="C1447" s="138">
        <v>0.23</v>
      </c>
      <c r="D1447" s="138">
        <v>13.8</v>
      </c>
      <c r="E1447" s="138">
        <v>260.86956521739131</v>
      </c>
      <c r="F1447" s="139">
        <v>0.23</v>
      </c>
      <c r="H1447" t="str">
        <f t="shared" si="25"/>
        <v>15006150061674</v>
      </c>
    </row>
    <row r="1448" spans="1:8" ht="15" customHeight="1" x14ac:dyDescent="0.25">
      <c r="A1448" s="110" t="s">
        <v>4395</v>
      </c>
      <c r="B1448" s="125" t="s">
        <v>494</v>
      </c>
      <c r="C1448" s="138">
        <v>0.16</v>
      </c>
      <c r="D1448" s="138">
        <v>9.6</v>
      </c>
      <c r="E1448" s="138">
        <v>375</v>
      </c>
      <c r="F1448" s="139">
        <v>0.16</v>
      </c>
      <c r="H1448" t="str">
        <f t="shared" si="25"/>
        <v>15006150061675</v>
      </c>
    </row>
    <row r="1449" spans="1:8" ht="15" customHeight="1" x14ac:dyDescent="0.25">
      <c r="A1449" s="110" t="s">
        <v>4396</v>
      </c>
      <c r="B1449" s="125" t="s">
        <v>495</v>
      </c>
      <c r="C1449" s="138">
        <v>0.88</v>
      </c>
      <c r="D1449" s="138">
        <v>52.8</v>
      </c>
      <c r="E1449" s="138">
        <v>68.181818181818187</v>
      </c>
      <c r="F1449" s="139">
        <v>0.88</v>
      </c>
      <c r="H1449" t="str">
        <f t="shared" si="25"/>
        <v>15006150061676</v>
      </c>
    </row>
    <row r="1450" spans="1:8" ht="15" customHeight="1" x14ac:dyDescent="0.25">
      <c r="A1450" s="110" t="s">
        <v>4397</v>
      </c>
      <c r="B1450" s="125" t="s">
        <v>1235</v>
      </c>
      <c r="C1450" s="138">
        <v>0.88</v>
      </c>
      <c r="D1450" s="138">
        <v>52.8</v>
      </c>
      <c r="E1450" s="138">
        <v>68.181818181818187</v>
      </c>
      <c r="F1450" s="139">
        <v>0.88</v>
      </c>
      <c r="H1450" t="str">
        <f t="shared" si="25"/>
        <v>15006150061677</v>
      </c>
    </row>
    <row r="1451" spans="1:8" ht="15" customHeight="1" x14ac:dyDescent="0.25">
      <c r="A1451" s="110" t="s">
        <v>4398</v>
      </c>
      <c r="B1451" s="125" t="s">
        <v>496</v>
      </c>
      <c r="C1451" s="138">
        <v>0.83</v>
      </c>
      <c r="D1451" s="138">
        <v>49.8</v>
      </c>
      <c r="E1451" s="138">
        <v>72.289156626506028</v>
      </c>
      <c r="F1451" s="139">
        <v>0.83</v>
      </c>
      <c r="H1451" t="str">
        <f t="shared" si="25"/>
        <v>15006150061678</v>
      </c>
    </row>
    <row r="1452" spans="1:8" ht="15" customHeight="1" x14ac:dyDescent="0.25">
      <c r="A1452" s="110" t="s">
        <v>4399</v>
      </c>
      <c r="B1452" s="125" t="s">
        <v>1236</v>
      </c>
      <c r="C1452" s="138">
        <v>0.83</v>
      </c>
      <c r="D1452" s="138">
        <v>49.8</v>
      </c>
      <c r="E1452" s="138">
        <v>72.289156626506028</v>
      </c>
      <c r="F1452" s="139">
        <v>0.83</v>
      </c>
      <c r="H1452" t="str">
        <f t="shared" si="25"/>
        <v>15006150061679</v>
      </c>
    </row>
    <row r="1453" spans="1:8" ht="15" customHeight="1" x14ac:dyDescent="0.25">
      <c r="A1453" s="110" t="s">
        <v>4400</v>
      </c>
      <c r="B1453" s="125" t="s">
        <v>1237</v>
      </c>
      <c r="C1453" s="138">
        <v>0.67</v>
      </c>
      <c r="D1453" s="138">
        <v>40.200000000000003</v>
      </c>
      <c r="E1453" s="138">
        <v>89.552238805970148</v>
      </c>
      <c r="F1453" s="139">
        <v>0.67</v>
      </c>
      <c r="H1453" t="str">
        <f t="shared" si="25"/>
        <v>15006150061680</v>
      </c>
    </row>
    <row r="1454" spans="1:8" ht="15" customHeight="1" x14ac:dyDescent="0.25">
      <c r="A1454" s="110" t="s">
        <v>4401</v>
      </c>
      <c r="B1454" s="125" t="s">
        <v>1238</v>
      </c>
      <c r="C1454" s="138">
        <v>0.67</v>
      </c>
      <c r="D1454" s="138">
        <v>40.200000000000003</v>
      </c>
      <c r="E1454" s="138">
        <v>89.552238805970148</v>
      </c>
      <c r="F1454" s="139">
        <v>0.67</v>
      </c>
      <c r="H1454" t="str">
        <f t="shared" si="25"/>
        <v>15006150061681</v>
      </c>
    </row>
    <row r="1455" spans="1:8" ht="15" customHeight="1" x14ac:dyDescent="0.25">
      <c r="A1455" s="110" t="s">
        <v>4402</v>
      </c>
      <c r="B1455" s="125" t="s">
        <v>1239</v>
      </c>
      <c r="C1455" s="138">
        <v>0.54</v>
      </c>
      <c r="D1455" s="138">
        <v>32.400000000000006</v>
      </c>
      <c r="E1455" s="138">
        <v>111.11111111111109</v>
      </c>
      <c r="F1455" s="139">
        <v>0.54</v>
      </c>
      <c r="H1455" t="str">
        <f t="shared" si="25"/>
        <v>15006150061682</v>
      </c>
    </row>
    <row r="1456" spans="1:8" ht="15" customHeight="1" x14ac:dyDescent="0.25">
      <c r="A1456" s="110" t="s">
        <v>4403</v>
      </c>
      <c r="B1456" s="125" t="s">
        <v>1240</v>
      </c>
      <c r="C1456" s="138">
        <v>0.54</v>
      </c>
      <c r="D1456" s="138">
        <v>32.400000000000006</v>
      </c>
      <c r="E1456" s="138">
        <v>111.11111111111109</v>
      </c>
      <c r="F1456" s="139">
        <v>0.54</v>
      </c>
      <c r="H1456" t="str">
        <f t="shared" si="25"/>
        <v>15006150061683</v>
      </c>
    </row>
    <row r="1457" spans="1:8" ht="15" customHeight="1" x14ac:dyDescent="0.25">
      <c r="A1457" s="110" t="s">
        <v>4404</v>
      </c>
      <c r="B1457" s="125" t="s">
        <v>1241</v>
      </c>
      <c r="C1457" s="138">
        <v>0.5</v>
      </c>
      <c r="D1457" s="138">
        <v>30</v>
      </c>
      <c r="E1457" s="138">
        <v>120</v>
      </c>
      <c r="F1457" s="139">
        <v>0.5</v>
      </c>
      <c r="H1457" t="str">
        <f t="shared" si="25"/>
        <v>15006150061684</v>
      </c>
    </row>
    <row r="1458" spans="1:8" ht="15" customHeight="1" x14ac:dyDescent="0.25">
      <c r="A1458" s="110" t="s">
        <v>4405</v>
      </c>
      <c r="B1458" s="125" t="s">
        <v>1242</v>
      </c>
      <c r="C1458" s="138">
        <v>0.5</v>
      </c>
      <c r="D1458" s="138">
        <v>30</v>
      </c>
      <c r="E1458" s="138">
        <v>120</v>
      </c>
      <c r="F1458" s="139">
        <v>0.5</v>
      </c>
      <c r="H1458" t="str">
        <f t="shared" si="25"/>
        <v>15006150061685</v>
      </c>
    </row>
    <row r="1459" spans="1:8" ht="15" customHeight="1" x14ac:dyDescent="0.25">
      <c r="A1459" s="110" t="s">
        <v>4406</v>
      </c>
      <c r="B1459" s="125" t="s">
        <v>1243</v>
      </c>
      <c r="C1459" s="138">
        <v>0.96</v>
      </c>
      <c r="D1459" s="138">
        <v>57.599999999999994</v>
      </c>
      <c r="E1459" s="138">
        <v>62.500000000000007</v>
      </c>
      <c r="F1459" s="139">
        <v>0.96</v>
      </c>
      <c r="H1459" t="str">
        <f t="shared" si="25"/>
        <v>15006150061686</v>
      </c>
    </row>
    <row r="1460" spans="1:8" ht="15" customHeight="1" x14ac:dyDescent="0.25">
      <c r="A1460" s="110" t="s">
        <v>4407</v>
      </c>
      <c r="B1460" s="125" t="s">
        <v>1244</v>
      </c>
      <c r="C1460" s="138">
        <v>0.96</v>
      </c>
      <c r="D1460" s="138">
        <v>57.599999999999994</v>
      </c>
      <c r="E1460" s="138">
        <v>62.500000000000007</v>
      </c>
      <c r="F1460" s="139">
        <v>0.96</v>
      </c>
      <c r="H1460" t="str">
        <f t="shared" si="25"/>
        <v>15006150061687</v>
      </c>
    </row>
    <row r="1461" spans="1:8" ht="15" customHeight="1" x14ac:dyDescent="0.25">
      <c r="A1461" s="110" t="s">
        <v>4408</v>
      </c>
      <c r="B1461" s="125" t="s">
        <v>1245</v>
      </c>
      <c r="C1461" s="138">
        <v>0.5</v>
      </c>
      <c r="D1461" s="138">
        <v>30</v>
      </c>
      <c r="E1461" s="138">
        <v>120</v>
      </c>
      <c r="F1461" s="139">
        <v>0.5</v>
      </c>
      <c r="H1461" t="str">
        <f t="shared" si="25"/>
        <v>15006150061688</v>
      </c>
    </row>
    <row r="1462" spans="1:8" ht="15" customHeight="1" x14ac:dyDescent="0.25">
      <c r="A1462" s="110" t="s">
        <v>4409</v>
      </c>
      <c r="B1462" s="125" t="s">
        <v>1246</v>
      </c>
      <c r="C1462" s="138">
        <v>0.5</v>
      </c>
      <c r="D1462" s="138">
        <v>30</v>
      </c>
      <c r="E1462" s="138">
        <v>120</v>
      </c>
      <c r="F1462" s="139">
        <v>0.5</v>
      </c>
      <c r="H1462" t="str">
        <f t="shared" si="25"/>
        <v>15006150061689</v>
      </c>
    </row>
    <row r="1463" spans="1:8" ht="15" customHeight="1" x14ac:dyDescent="0.25">
      <c r="A1463" s="110" t="s">
        <v>4410</v>
      </c>
      <c r="B1463" s="125" t="s">
        <v>1247</v>
      </c>
      <c r="C1463" s="138">
        <v>0.5</v>
      </c>
      <c r="D1463" s="138">
        <v>30</v>
      </c>
      <c r="E1463" s="138">
        <v>120</v>
      </c>
      <c r="F1463" s="139">
        <v>0.5</v>
      </c>
      <c r="H1463" t="str">
        <f t="shared" si="25"/>
        <v>15006150061690</v>
      </c>
    </row>
    <row r="1464" spans="1:8" ht="15" customHeight="1" x14ac:dyDescent="0.25">
      <c r="A1464" s="110" t="s">
        <v>4411</v>
      </c>
      <c r="B1464" s="125" t="s">
        <v>1248</v>
      </c>
      <c r="C1464" s="138">
        <v>0.5</v>
      </c>
      <c r="D1464" s="138">
        <v>30</v>
      </c>
      <c r="E1464" s="138">
        <v>120</v>
      </c>
      <c r="F1464" s="139">
        <v>0.5</v>
      </c>
      <c r="H1464" t="str">
        <f t="shared" si="25"/>
        <v>15006150061691</v>
      </c>
    </row>
    <row r="1465" spans="1:8" ht="15" customHeight="1" x14ac:dyDescent="0.25">
      <c r="A1465" s="110" t="s">
        <v>4412</v>
      </c>
      <c r="B1465" s="125" t="s">
        <v>1249</v>
      </c>
      <c r="C1465" s="138">
        <v>0.67</v>
      </c>
      <c r="D1465" s="138">
        <v>40.200000000000003</v>
      </c>
      <c r="E1465" s="138">
        <v>89.552238805970148</v>
      </c>
      <c r="F1465" s="139">
        <v>0.67</v>
      </c>
      <c r="H1465" t="str">
        <f t="shared" si="25"/>
        <v>15006150061692</v>
      </c>
    </row>
    <row r="1466" spans="1:8" ht="15" customHeight="1" x14ac:dyDescent="0.25">
      <c r="A1466" s="110" t="s">
        <v>4413</v>
      </c>
      <c r="B1466" s="125" t="s">
        <v>1250</v>
      </c>
      <c r="C1466" s="138">
        <v>0.67</v>
      </c>
      <c r="D1466" s="138">
        <v>40.200000000000003</v>
      </c>
      <c r="E1466" s="138">
        <v>89.552238805970148</v>
      </c>
      <c r="F1466" s="139">
        <v>0.67</v>
      </c>
      <c r="H1466" t="str">
        <f t="shared" si="25"/>
        <v>15006150061693</v>
      </c>
    </row>
    <row r="1467" spans="1:8" ht="15" customHeight="1" x14ac:dyDescent="0.25">
      <c r="A1467" s="110" t="s">
        <v>4414</v>
      </c>
      <c r="B1467" s="125" t="s">
        <v>1251</v>
      </c>
      <c r="C1467" s="138">
        <v>0.46</v>
      </c>
      <c r="D1467" s="138">
        <v>27.6</v>
      </c>
      <c r="E1467" s="138">
        <v>130.43478260869566</v>
      </c>
      <c r="F1467" s="139">
        <v>0.46</v>
      </c>
      <c r="H1467" t="str">
        <f t="shared" si="25"/>
        <v>15006150061694</v>
      </c>
    </row>
    <row r="1468" spans="1:8" ht="15" customHeight="1" x14ac:dyDescent="0.25">
      <c r="A1468" s="110" t="s">
        <v>4415</v>
      </c>
      <c r="B1468" s="125" t="s">
        <v>1252</v>
      </c>
      <c r="C1468" s="138">
        <v>0.46</v>
      </c>
      <c r="D1468" s="138">
        <v>27.6</v>
      </c>
      <c r="E1468" s="138">
        <v>130.43478260869566</v>
      </c>
      <c r="F1468" s="139">
        <v>0.46</v>
      </c>
      <c r="H1468" t="str">
        <f t="shared" si="25"/>
        <v>15006150061695</v>
      </c>
    </row>
    <row r="1469" spans="1:8" ht="15" customHeight="1" x14ac:dyDescent="0.25">
      <c r="A1469" s="110" t="s">
        <v>4418</v>
      </c>
      <c r="B1469" s="125" t="s">
        <v>1253</v>
      </c>
      <c r="C1469" s="138">
        <v>0.67</v>
      </c>
      <c r="D1469" s="138">
        <v>40.200000000000003</v>
      </c>
      <c r="E1469" s="138">
        <v>89.552238805970148</v>
      </c>
      <c r="F1469" s="139">
        <v>0.67</v>
      </c>
      <c r="H1469" t="str">
        <f t="shared" si="25"/>
        <v>15006150061698</v>
      </c>
    </row>
    <row r="1470" spans="1:8" ht="15" customHeight="1" x14ac:dyDescent="0.25">
      <c r="A1470" s="110" t="s">
        <v>4419</v>
      </c>
      <c r="B1470" s="125" t="s">
        <v>1254</v>
      </c>
      <c r="C1470" s="138">
        <v>0.67</v>
      </c>
      <c r="D1470" s="138">
        <v>40.200000000000003</v>
      </c>
      <c r="E1470" s="138">
        <v>89.552238805970148</v>
      </c>
      <c r="F1470" s="139">
        <v>0.67</v>
      </c>
      <c r="H1470" t="str">
        <f t="shared" si="25"/>
        <v>15006150061699</v>
      </c>
    </row>
    <row r="1471" spans="1:8" ht="15" customHeight="1" x14ac:dyDescent="0.25">
      <c r="A1471" s="110" t="s">
        <v>4420</v>
      </c>
      <c r="B1471" s="125" t="s">
        <v>1255</v>
      </c>
      <c r="C1471" s="138">
        <v>1.33</v>
      </c>
      <c r="D1471" s="138">
        <v>79.800000000000011</v>
      </c>
      <c r="E1471" s="138">
        <v>45.112781954887211</v>
      </c>
      <c r="F1471" s="139">
        <v>1.33</v>
      </c>
      <c r="H1471" t="str">
        <f t="shared" si="25"/>
        <v>15006150061700</v>
      </c>
    </row>
    <row r="1472" spans="1:8" ht="15" customHeight="1" x14ac:dyDescent="0.25">
      <c r="A1472" s="110" t="s">
        <v>4421</v>
      </c>
      <c r="B1472" s="125" t="s">
        <v>1256</v>
      </c>
      <c r="C1472" s="138">
        <v>1.33</v>
      </c>
      <c r="D1472" s="138">
        <v>79.800000000000011</v>
      </c>
      <c r="E1472" s="138">
        <v>45.112781954887211</v>
      </c>
      <c r="F1472" s="139">
        <v>1.33</v>
      </c>
      <c r="H1472" t="str">
        <f t="shared" si="25"/>
        <v>15006150061701</v>
      </c>
    </row>
    <row r="1473" spans="1:8" ht="15" customHeight="1" x14ac:dyDescent="0.25">
      <c r="A1473" s="110" t="s">
        <v>4422</v>
      </c>
      <c r="B1473" s="125" t="s">
        <v>1257</v>
      </c>
      <c r="C1473" s="138">
        <v>1.08</v>
      </c>
      <c r="D1473" s="138">
        <v>64.800000000000011</v>
      </c>
      <c r="E1473" s="138">
        <v>55.555555555555543</v>
      </c>
      <c r="F1473" s="139">
        <v>1.08</v>
      </c>
      <c r="H1473" t="str">
        <f t="shared" si="25"/>
        <v>15006150061702</v>
      </c>
    </row>
    <row r="1474" spans="1:8" ht="15" customHeight="1" x14ac:dyDescent="0.25">
      <c r="A1474" s="110" t="s">
        <v>4423</v>
      </c>
      <c r="B1474" s="125" t="s">
        <v>1258</v>
      </c>
      <c r="C1474" s="138">
        <v>1.08</v>
      </c>
      <c r="D1474" s="138">
        <v>64.800000000000011</v>
      </c>
      <c r="E1474" s="138">
        <v>55.555555555555543</v>
      </c>
      <c r="F1474" s="139">
        <v>1.08</v>
      </c>
      <c r="H1474" t="str">
        <f t="shared" si="25"/>
        <v>15006150061703</v>
      </c>
    </row>
    <row r="1475" spans="1:8" ht="15" customHeight="1" x14ac:dyDescent="0.25">
      <c r="A1475" s="110" t="s">
        <v>4424</v>
      </c>
      <c r="B1475" s="125" t="s">
        <v>1259</v>
      </c>
      <c r="C1475" s="138">
        <v>0.67</v>
      </c>
      <c r="D1475" s="138">
        <v>40.200000000000003</v>
      </c>
      <c r="E1475" s="138">
        <v>89.552238805970148</v>
      </c>
      <c r="F1475" s="139">
        <v>0.67</v>
      </c>
      <c r="H1475" t="str">
        <f t="shared" si="25"/>
        <v>15006150061704</v>
      </c>
    </row>
    <row r="1476" spans="1:8" ht="15" customHeight="1" x14ac:dyDescent="0.25">
      <c r="A1476" s="110" t="s">
        <v>4425</v>
      </c>
      <c r="B1476" s="125" t="s">
        <v>1260</v>
      </c>
      <c r="C1476" s="138">
        <v>0.67</v>
      </c>
      <c r="D1476" s="138">
        <v>40.200000000000003</v>
      </c>
      <c r="E1476" s="138">
        <v>89.552238805970148</v>
      </c>
      <c r="F1476" s="139">
        <v>0.67</v>
      </c>
      <c r="H1476" t="str">
        <f t="shared" ref="H1476:H1539" si="26">CONCATENATE($G$835,A1476)</f>
        <v>15006150061705</v>
      </c>
    </row>
    <row r="1477" spans="1:8" ht="15" customHeight="1" x14ac:dyDescent="0.25">
      <c r="A1477" s="110" t="s">
        <v>4426</v>
      </c>
      <c r="B1477" s="125" t="s">
        <v>1259</v>
      </c>
      <c r="C1477" s="138">
        <v>1.33</v>
      </c>
      <c r="D1477" s="138">
        <v>79.800000000000011</v>
      </c>
      <c r="E1477" s="138">
        <v>45.112781954887211</v>
      </c>
      <c r="F1477" s="139">
        <v>1.33</v>
      </c>
      <c r="H1477" t="str">
        <f t="shared" si="26"/>
        <v>15006150061706</v>
      </c>
    </row>
    <row r="1478" spans="1:8" ht="15" customHeight="1" x14ac:dyDescent="0.25">
      <c r="A1478" s="110" t="s">
        <v>4427</v>
      </c>
      <c r="B1478" s="125" t="s">
        <v>1260</v>
      </c>
      <c r="C1478" s="138">
        <v>1.17</v>
      </c>
      <c r="D1478" s="138">
        <v>70.199999999999989</v>
      </c>
      <c r="E1478" s="138">
        <v>51.282051282051292</v>
      </c>
      <c r="F1478" s="139">
        <v>1.17</v>
      </c>
      <c r="H1478" t="str">
        <f t="shared" si="26"/>
        <v>15006150061707</v>
      </c>
    </row>
    <row r="1479" spans="1:8" ht="15" customHeight="1" x14ac:dyDescent="0.25">
      <c r="A1479" s="110" t="s">
        <v>4428</v>
      </c>
      <c r="B1479" s="125" t="s">
        <v>1261</v>
      </c>
      <c r="C1479" s="138">
        <v>1.33</v>
      </c>
      <c r="D1479" s="138">
        <v>79.800000000000011</v>
      </c>
      <c r="E1479" s="138">
        <v>45.112781954887211</v>
      </c>
      <c r="F1479" s="139">
        <v>1.33</v>
      </c>
      <c r="H1479" t="str">
        <f t="shared" si="26"/>
        <v>15006150061708</v>
      </c>
    </row>
    <row r="1480" spans="1:8" ht="15" customHeight="1" x14ac:dyDescent="0.25">
      <c r="A1480" s="110" t="s">
        <v>4429</v>
      </c>
      <c r="B1480" s="125" t="s">
        <v>1262</v>
      </c>
      <c r="C1480" s="138">
        <v>1.33</v>
      </c>
      <c r="D1480" s="138">
        <v>79.800000000000011</v>
      </c>
      <c r="E1480" s="138">
        <v>45.112781954887211</v>
      </c>
      <c r="F1480" s="139">
        <v>1.33</v>
      </c>
      <c r="H1480" t="str">
        <f t="shared" si="26"/>
        <v>15006150061709</v>
      </c>
    </row>
    <row r="1481" spans="1:8" ht="15" customHeight="1" x14ac:dyDescent="0.25">
      <c r="A1481" s="110" t="s">
        <v>4430</v>
      </c>
      <c r="B1481" s="125" t="s">
        <v>1263</v>
      </c>
      <c r="C1481" s="138">
        <v>0.54</v>
      </c>
      <c r="D1481" s="138">
        <v>32.400000000000006</v>
      </c>
      <c r="E1481" s="138">
        <v>111.11111111111109</v>
      </c>
      <c r="F1481" s="139">
        <v>0.54</v>
      </c>
      <c r="H1481" t="str">
        <f t="shared" si="26"/>
        <v>15006150061710</v>
      </c>
    </row>
    <row r="1482" spans="1:8" ht="15" customHeight="1" x14ac:dyDescent="0.25">
      <c r="A1482" s="110" t="s">
        <v>4431</v>
      </c>
      <c r="B1482" s="125" t="s">
        <v>1264</v>
      </c>
      <c r="C1482" s="138">
        <v>0.54</v>
      </c>
      <c r="D1482" s="138">
        <v>32.400000000000006</v>
      </c>
      <c r="E1482" s="138">
        <v>111.11111111111109</v>
      </c>
      <c r="F1482" s="139">
        <v>0.54</v>
      </c>
      <c r="H1482" t="str">
        <f t="shared" si="26"/>
        <v>15006150061711</v>
      </c>
    </row>
    <row r="1483" spans="1:8" ht="15" customHeight="1" x14ac:dyDescent="0.25">
      <c r="A1483" s="110" t="s">
        <v>4432</v>
      </c>
      <c r="B1483" s="125" t="s">
        <v>1265</v>
      </c>
      <c r="C1483" s="138">
        <v>1</v>
      </c>
      <c r="D1483" s="138">
        <v>60</v>
      </c>
      <c r="E1483" s="138">
        <v>60</v>
      </c>
      <c r="F1483" s="139">
        <v>1</v>
      </c>
      <c r="H1483" t="str">
        <f t="shared" si="26"/>
        <v>15006150061712</v>
      </c>
    </row>
    <row r="1484" spans="1:8" ht="15" customHeight="1" x14ac:dyDescent="0.25">
      <c r="A1484" s="110" t="s">
        <v>4433</v>
      </c>
      <c r="B1484" s="125" t="s">
        <v>1266</v>
      </c>
      <c r="C1484" s="138">
        <v>1</v>
      </c>
      <c r="D1484" s="138">
        <v>60</v>
      </c>
      <c r="E1484" s="138">
        <v>60</v>
      </c>
      <c r="F1484" s="139">
        <v>1</v>
      </c>
      <c r="H1484" t="str">
        <f t="shared" si="26"/>
        <v>15006150061713</v>
      </c>
    </row>
    <row r="1485" spans="1:8" ht="15" customHeight="1" x14ac:dyDescent="0.25">
      <c r="A1485" s="110" t="s">
        <v>5600</v>
      </c>
      <c r="B1485" s="125" t="s">
        <v>1267</v>
      </c>
      <c r="C1485" s="138">
        <v>0.16</v>
      </c>
      <c r="D1485" s="138">
        <v>9.6</v>
      </c>
      <c r="E1485" s="138">
        <v>375</v>
      </c>
      <c r="F1485" s="139">
        <v>0.16</v>
      </c>
      <c r="H1485" t="str">
        <f t="shared" si="26"/>
        <v>15006150061714</v>
      </c>
    </row>
    <row r="1486" spans="1:8" ht="15" customHeight="1" x14ac:dyDescent="0.25">
      <c r="A1486" s="110" t="s">
        <v>4434</v>
      </c>
      <c r="B1486" s="125" t="s">
        <v>1268</v>
      </c>
      <c r="C1486" s="138">
        <v>0.67</v>
      </c>
      <c r="D1486" s="138">
        <v>40.200000000000003</v>
      </c>
      <c r="E1486" s="138">
        <v>89.552238805970148</v>
      </c>
      <c r="F1486" s="139">
        <v>0.67</v>
      </c>
      <c r="H1486" t="str">
        <f t="shared" si="26"/>
        <v>15006150061718</v>
      </c>
    </row>
    <row r="1487" spans="1:8" ht="15" customHeight="1" x14ac:dyDescent="0.25">
      <c r="A1487" s="110" t="s">
        <v>4435</v>
      </c>
      <c r="B1487" s="125" t="s">
        <v>1269</v>
      </c>
      <c r="C1487" s="138">
        <v>0.67</v>
      </c>
      <c r="D1487" s="138">
        <v>40.200000000000003</v>
      </c>
      <c r="E1487" s="138">
        <v>89.552238805970148</v>
      </c>
      <c r="F1487" s="139">
        <v>0.67</v>
      </c>
      <c r="H1487" t="str">
        <f t="shared" si="26"/>
        <v>15006150061719</v>
      </c>
    </row>
    <row r="1488" spans="1:8" ht="15" customHeight="1" x14ac:dyDescent="0.25">
      <c r="A1488" s="110" t="s">
        <v>4436</v>
      </c>
      <c r="B1488" s="125" t="s">
        <v>1270</v>
      </c>
      <c r="C1488" s="138">
        <v>0.5</v>
      </c>
      <c r="D1488" s="138">
        <v>30</v>
      </c>
      <c r="E1488" s="138">
        <v>120</v>
      </c>
      <c r="F1488" s="139">
        <v>0.5</v>
      </c>
      <c r="H1488" t="str">
        <f t="shared" si="26"/>
        <v>15006150061720</v>
      </c>
    </row>
    <row r="1489" spans="1:8" ht="15" customHeight="1" x14ac:dyDescent="0.25">
      <c r="A1489" s="110" t="s">
        <v>4436</v>
      </c>
      <c r="B1489" s="125" t="s">
        <v>1811</v>
      </c>
      <c r="C1489" s="138">
        <v>0.11</v>
      </c>
      <c r="D1489" s="138">
        <v>6.6</v>
      </c>
      <c r="E1489" s="138">
        <v>545.4545454545455</v>
      </c>
      <c r="F1489" s="139">
        <v>0.11</v>
      </c>
      <c r="H1489" t="str">
        <f t="shared" si="26"/>
        <v>15006150061720</v>
      </c>
    </row>
    <row r="1490" spans="1:8" ht="15" customHeight="1" x14ac:dyDescent="0.25">
      <c r="A1490" s="110" t="s">
        <v>4437</v>
      </c>
      <c r="B1490" s="125" t="s">
        <v>1271</v>
      </c>
      <c r="C1490" s="138">
        <v>0.5</v>
      </c>
      <c r="D1490" s="138">
        <v>30</v>
      </c>
      <c r="E1490" s="138">
        <v>120</v>
      </c>
      <c r="F1490" s="139">
        <v>0.5</v>
      </c>
      <c r="H1490" t="str">
        <f t="shared" si="26"/>
        <v>15006150061721</v>
      </c>
    </row>
    <row r="1491" spans="1:8" ht="15" customHeight="1" x14ac:dyDescent="0.25">
      <c r="A1491" s="110" t="s">
        <v>4438</v>
      </c>
      <c r="B1491" s="125" t="s">
        <v>1272</v>
      </c>
      <c r="C1491" s="138">
        <v>1.33</v>
      </c>
      <c r="D1491" s="138">
        <v>79.800000000000011</v>
      </c>
      <c r="E1491" s="138">
        <v>45.112781954887211</v>
      </c>
      <c r="F1491" s="139">
        <v>1.33</v>
      </c>
      <c r="H1491" t="str">
        <f t="shared" si="26"/>
        <v>15006150061722</v>
      </c>
    </row>
    <row r="1492" spans="1:8" ht="15" customHeight="1" x14ac:dyDescent="0.25">
      <c r="A1492" s="110" t="s">
        <v>4439</v>
      </c>
      <c r="B1492" s="125" t="s">
        <v>1273</v>
      </c>
      <c r="C1492" s="138">
        <v>1.33</v>
      </c>
      <c r="D1492" s="138">
        <v>79.800000000000011</v>
      </c>
      <c r="E1492" s="138">
        <v>45.112781954887211</v>
      </c>
      <c r="F1492" s="139">
        <v>1.33</v>
      </c>
      <c r="H1492" t="str">
        <f t="shared" si="26"/>
        <v>15006150061723</v>
      </c>
    </row>
    <row r="1493" spans="1:8" ht="15" customHeight="1" x14ac:dyDescent="0.25">
      <c r="A1493" s="110" t="s">
        <v>4440</v>
      </c>
      <c r="B1493" s="125" t="s">
        <v>1274</v>
      </c>
      <c r="C1493" s="138">
        <v>0.54</v>
      </c>
      <c r="D1493" s="138">
        <v>32.400000000000006</v>
      </c>
      <c r="E1493" s="138">
        <v>111.11111111111109</v>
      </c>
      <c r="F1493" s="139">
        <v>0.54</v>
      </c>
      <c r="H1493" t="str">
        <f t="shared" si="26"/>
        <v>15006150061724</v>
      </c>
    </row>
    <row r="1494" spans="1:8" ht="15" customHeight="1" x14ac:dyDescent="0.25">
      <c r="A1494" s="110" t="s">
        <v>4441</v>
      </c>
      <c r="B1494" s="125" t="s">
        <v>1275</v>
      </c>
      <c r="C1494" s="138">
        <v>0.54</v>
      </c>
      <c r="D1494" s="138">
        <v>32.400000000000006</v>
      </c>
      <c r="E1494" s="138">
        <v>111.11111111111109</v>
      </c>
      <c r="F1494" s="139">
        <v>0.54</v>
      </c>
      <c r="H1494" t="str">
        <f t="shared" si="26"/>
        <v>15006150061725</v>
      </c>
    </row>
    <row r="1495" spans="1:8" ht="15" customHeight="1" x14ac:dyDescent="0.25">
      <c r="A1495" s="110" t="s">
        <v>4441</v>
      </c>
      <c r="B1495" s="125" t="s">
        <v>1812</v>
      </c>
      <c r="C1495" s="138">
        <v>0.11</v>
      </c>
      <c r="D1495" s="138">
        <v>6.6</v>
      </c>
      <c r="E1495" s="138">
        <v>545.4545454545455</v>
      </c>
      <c r="F1495" s="139">
        <v>0.11</v>
      </c>
      <c r="H1495" t="str">
        <f t="shared" si="26"/>
        <v>15006150061725</v>
      </c>
    </row>
    <row r="1496" spans="1:8" ht="15" customHeight="1" x14ac:dyDescent="0.25">
      <c r="A1496" s="110" t="s">
        <v>4442</v>
      </c>
      <c r="B1496" s="125" t="s">
        <v>1276</v>
      </c>
      <c r="C1496" s="138">
        <v>0.57999999999999996</v>
      </c>
      <c r="D1496" s="138">
        <v>34.799999999999997</v>
      </c>
      <c r="E1496" s="138">
        <v>103.44827586206897</v>
      </c>
      <c r="F1496" s="139">
        <v>0.57999999999999996</v>
      </c>
      <c r="H1496" t="str">
        <f t="shared" si="26"/>
        <v>15006150061726</v>
      </c>
    </row>
    <row r="1497" spans="1:8" ht="15" customHeight="1" x14ac:dyDescent="0.25">
      <c r="A1497" s="110" t="s">
        <v>4443</v>
      </c>
      <c r="B1497" s="125" t="s">
        <v>1277</v>
      </c>
      <c r="C1497" s="138">
        <v>0.57999999999999996</v>
      </c>
      <c r="D1497" s="138">
        <v>34.799999999999997</v>
      </c>
      <c r="E1497" s="138">
        <v>103.44827586206897</v>
      </c>
      <c r="F1497" s="139">
        <v>0.57999999999999996</v>
      </c>
      <c r="H1497" t="str">
        <f t="shared" si="26"/>
        <v>15006150061727</v>
      </c>
    </row>
    <row r="1498" spans="1:8" ht="15" customHeight="1" x14ac:dyDescent="0.25">
      <c r="A1498" s="110" t="s">
        <v>4444</v>
      </c>
      <c r="B1498" s="125" t="s">
        <v>1278</v>
      </c>
      <c r="C1498" s="138">
        <v>0.57999999999999996</v>
      </c>
      <c r="D1498" s="138">
        <v>34.799999999999997</v>
      </c>
      <c r="E1498" s="138">
        <v>103.44827586206897</v>
      </c>
      <c r="F1498" s="139">
        <v>0.57999999999999996</v>
      </c>
      <c r="H1498" t="str">
        <f t="shared" si="26"/>
        <v>15006150061728</v>
      </c>
    </row>
    <row r="1499" spans="1:8" ht="15" customHeight="1" x14ac:dyDescent="0.25">
      <c r="A1499" s="110" t="s">
        <v>4444</v>
      </c>
      <c r="B1499" s="125" t="s">
        <v>1813</v>
      </c>
      <c r="C1499" s="138">
        <v>1.7</v>
      </c>
      <c r="D1499" s="138">
        <v>102</v>
      </c>
      <c r="E1499" s="138">
        <v>35.294117647058826</v>
      </c>
      <c r="F1499" s="139">
        <v>1.7</v>
      </c>
      <c r="H1499" t="str">
        <f t="shared" si="26"/>
        <v>15006150061728</v>
      </c>
    </row>
    <row r="1500" spans="1:8" ht="15" customHeight="1" x14ac:dyDescent="0.25">
      <c r="A1500" s="110" t="s">
        <v>4445</v>
      </c>
      <c r="B1500" s="125" t="s">
        <v>1279</v>
      </c>
      <c r="C1500" s="138">
        <v>0.57999999999999996</v>
      </c>
      <c r="D1500" s="138">
        <v>34.799999999999997</v>
      </c>
      <c r="E1500" s="138">
        <v>103.44827586206897</v>
      </c>
      <c r="F1500" s="139">
        <v>0.57999999999999996</v>
      </c>
      <c r="H1500" t="str">
        <f t="shared" si="26"/>
        <v>15006150061729</v>
      </c>
    </row>
    <row r="1501" spans="1:8" ht="15" customHeight="1" x14ac:dyDescent="0.25">
      <c r="A1501" s="110" t="s">
        <v>4445</v>
      </c>
      <c r="B1501" s="125" t="s">
        <v>1814</v>
      </c>
      <c r="C1501" s="138">
        <v>1.7</v>
      </c>
      <c r="D1501" s="138">
        <v>102</v>
      </c>
      <c r="E1501" s="138">
        <v>35.294117647058826</v>
      </c>
      <c r="F1501" s="139">
        <v>1.7</v>
      </c>
      <c r="H1501" t="str">
        <f t="shared" si="26"/>
        <v>15006150061729</v>
      </c>
    </row>
    <row r="1502" spans="1:8" ht="15" customHeight="1" x14ac:dyDescent="0.25">
      <c r="A1502" s="110" t="s">
        <v>4446</v>
      </c>
      <c r="B1502" s="125" t="s">
        <v>1280</v>
      </c>
      <c r="C1502" s="138">
        <v>1.58</v>
      </c>
      <c r="D1502" s="138">
        <v>94.800000000000011</v>
      </c>
      <c r="E1502" s="138">
        <v>37.974683544303794</v>
      </c>
      <c r="F1502" s="139">
        <v>1.58</v>
      </c>
      <c r="H1502" t="str">
        <f t="shared" si="26"/>
        <v>15006150061730</v>
      </c>
    </row>
    <row r="1503" spans="1:8" ht="15" customHeight="1" x14ac:dyDescent="0.25">
      <c r="A1503" s="110" t="s">
        <v>4446</v>
      </c>
      <c r="B1503" s="125" t="s">
        <v>1815</v>
      </c>
      <c r="C1503" s="138">
        <v>0.11</v>
      </c>
      <c r="D1503" s="138">
        <v>6.6</v>
      </c>
      <c r="E1503" s="138">
        <v>545.4545454545455</v>
      </c>
      <c r="F1503" s="139">
        <v>0.11</v>
      </c>
      <c r="H1503" t="str">
        <f t="shared" si="26"/>
        <v>15006150061730</v>
      </c>
    </row>
    <row r="1504" spans="1:8" ht="15" customHeight="1" x14ac:dyDescent="0.25">
      <c r="A1504" s="110" t="s">
        <v>4447</v>
      </c>
      <c r="B1504" s="125" t="s">
        <v>664</v>
      </c>
      <c r="C1504" s="138">
        <v>1.58</v>
      </c>
      <c r="D1504" s="138">
        <v>94.800000000000011</v>
      </c>
      <c r="E1504" s="138">
        <v>37.974683544303794</v>
      </c>
      <c r="F1504" s="139">
        <v>1.58</v>
      </c>
      <c r="H1504" t="str">
        <f t="shared" si="26"/>
        <v>15006150061731</v>
      </c>
    </row>
    <row r="1505" spans="1:8" ht="15" customHeight="1" x14ac:dyDescent="0.25">
      <c r="A1505" s="110" t="s">
        <v>4448</v>
      </c>
      <c r="B1505" s="125" t="s">
        <v>1281</v>
      </c>
      <c r="C1505" s="138">
        <v>1.33</v>
      </c>
      <c r="D1505" s="138">
        <v>79.800000000000011</v>
      </c>
      <c r="E1505" s="138">
        <v>45.112781954887211</v>
      </c>
      <c r="F1505" s="139">
        <v>1.33</v>
      </c>
      <c r="H1505" t="str">
        <f t="shared" si="26"/>
        <v>15006150061732</v>
      </c>
    </row>
    <row r="1506" spans="1:8" ht="15" customHeight="1" x14ac:dyDescent="0.25">
      <c r="A1506" s="110" t="s">
        <v>4449</v>
      </c>
      <c r="B1506" s="125" t="s">
        <v>1282</v>
      </c>
      <c r="C1506" s="138">
        <v>1.33</v>
      </c>
      <c r="D1506" s="138">
        <v>79.800000000000011</v>
      </c>
      <c r="E1506" s="138">
        <v>45.112781954887211</v>
      </c>
      <c r="F1506" s="139">
        <v>1.33</v>
      </c>
      <c r="H1506" t="str">
        <f t="shared" si="26"/>
        <v>15006150061733</v>
      </c>
    </row>
    <row r="1507" spans="1:8" ht="15" customHeight="1" x14ac:dyDescent="0.25">
      <c r="A1507" s="110" t="s">
        <v>4450</v>
      </c>
      <c r="B1507" s="125" t="s">
        <v>1283</v>
      </c>
      <c r="C1507" s="138">
        <v>0.54</v>
      </c>
      <c r="D1507" s="138">
        <v>32.400000000000006</v>
      </c>
      <c r="E1507" s="138">
        <v>111.11111111111109</v>
      </c>
      <c r="F1507" s="139">
        <v>0.54</v>
      </c>
      <c r="H1507" t="str">
        <f t="shared" si="26"/>
        <v>15006150061734</v>
      </c>
    </row>
    <row r="1508" spans="1:8" ht="15" customHeight="1" x14ac:dyDescent="0.25">
      <c r="A1508" s="110" t="s">
        <v>4451</v>
      </c>
      <c r="B1508" s="125" t="s">
        <v>1284</v>
      </c>
      <c r="C1508" s="138">
        <v>0.54</v>
      </c>
      <c r="D1508" s="138">
        <v>32.400000000000006</v>
      </c>
      <c r="E1508" s="138">
        <v>111.11111111111109</v>
      </c>
      <c r="F1508" s="139">
        <v>0.54</v>
      </c>
      <c r="H1508" t="str">
        <f t="shared" si="26"/>
        <v>15006150061735</v>
      </c>
    </row>
    <row r="1509" spans="1:8" ht="15" customHeight="1" x14ac:dyDescent="0.25">
      <c r="A1509" s="110" t="s">
        <v>4451</v>
      </c>
      <c r="B1509" s="125" t="s">
        <v>1816</v>
      </c>
      <c r="C1509" s="138">
        <v>0.11</v>
      </c>
      <c r="D1509" s="138">
        <v>6.6</v>
      </c>
      <c r="E1509" s="138">
        <v>545.4545454545455</v>
      </c>
      <c r="F1509" s="139">
        <v>0.11</v>
      </c>
      <c r="H1509" t="str">
        <f t="shared" si="26"/>
        <v>15006150061735</v>
      </c>
    </row>
    <row r="1510" spans="1:8" ht="15" customHeight="1" x14ac:dyDescent="0.25">
      <c r="A1510" s="110" t="s">
        <v>4452</v>
      </c>
      <c r="B1510" s="125" t="s">
        <v>1285</v>
      </c>
      <c r="C1510" s="138">
        <v>0.57999999999999996</v>
      </c>
      <c r="D1510" s="138">
        <v>34.799999999999997</v>
      </c>
      <c r="E1510" s="138">
        <v>103.44827586206897</v>
      </c>
      <c r="F1510" s="139">
        <v>0.57999999999999996</v>
      </c>
      <c r="H1510" t="str">
        <f t="shared" si="26"/>
        <v>15006150061736</v>
      </c>
    </row>
    <row r="1511" spans="1:8" ht="15" customHeight="1" x14ac:dyDescent="0.25">
      <c r="A1511" s="110" t="s">
        <v>4453</v>
      </c>
      <c r="B1511" s="125" t="s">
        <v>1286</v>
      </c>
      <c r="C1511" s="138">
        <v>0.57999999999999996</v>
      </c>
      <c r="D1511" s="138">
        <v>34.799999999999997</v>
      </c>
      <c r="E1511" s="138">
        <v>103.44827586206897</v>
      </c>
      <c r="F1511" s="139">
        <v>0.57999999999999996</v>
      </c>
      <c r="H1511" t="str">
        <f t="shared" si="26"/>
        <v>15006150061737</v>
      </c>
    </row>
    <row r="1512" spans="1:8" ht="15" customHeight="1" x14ac:dyDescent="0.25">
      <c r="A1512" s="110" t="s">
        <v>5601</v>
      </c>
      <c r="B1512" s="125" t="s">
        <v>1817</v>
      </c>
      <c r="C1512" s="138">
        <v>1.7</v>
      </c>
      <c r="D1512" s="138">
        <v>102</v>
      </c>
      <c r="E1512" s="138">
        <v>35.294117647058826</v>
      </c>
      <c r="F1512" s="139">
        <v>1.7</v>
      </c>
      <c r="H1512" t="str">
        <f t="shared" si="26"/>
        <v>15006150061738</v>
      </c>
    </row>
    <row r="1513" spans="1:8" ht="15" customHeight="1" x14ac:dyDescent="0.25">
      <c r="A1513" s="110" t="s">
        <v>5602</v>
      </c>
      <c r="B1513" s="125" t="s">
        <v>1818</v>
      </c>
      <c r="C1513" s="138">
        <v>1.7</v>
      </c>
      <c r="D1513" s="138">
        <v>102</v>
      </c>
      <c r="E1513" s="138">
        <v>35.294117647058826</v>
      </c>
      <c r="F1513" s="139">
        <v>1.7</v>
      </c>
      <c r="H1513" t="str">
        <f t="shared" si="26"/>
        <v>15006150061739</v>
      </c>
    </row>
    <row r="1514" spans="1:8" ht="15" customHeight="1" x14ac:dyDescent="0.25">
      <c r="A1514" s="110" t="s">
        <v>4454</v>
      </c>
      <c r="B1514" s="125" t="s">
        <v>1287</v>
      </c>
      <c r="C1514" s="138">
        <v>0.54</v>
      </c>
      <c r="D1514" s="138">
        <v>32.400000000000006</v>
      </c>
      <c r="E1514" s="138">
        <v>111.11111111111109</v>
      </c>
      <c r="F1514" s="139">
        <v>0.54</v>
      </c>
      <c r="H1514" t="str">
        <f t="shared" si="26"/>
        <v>15006150061740</v>
      </c>
    </row>
    <row r="1515" spans="1:8" ht="15" customHeight="1" x14ac:dyDescent="0.25">
      <c r="A1515" s="110" t="s">
        <v>4454</v>
      </c>
      <c r="B1515" s="125" t="s">
        <v>1819</v>
      </c>
      <c r="C1515" s="138">
        <v>1.7</v>
      </c>
      <c r="D1515" s="138">
        <v>102</v>
      </c>
      <c r="E1515" s="138">
        <v>35.294117647058826</v>
      </c>
      <c r="F1515" s="139">
        <v>1.7</v>
      </c>
      <c r="H1515" t="str">
        <f t="shared" si="26"/>
        <v>15006150061740</v>
      </c>
    </row>
    <row r="1516" spans="1:8" ht="15" customHeight="1" x14ac:dyDescent="0.25">
      <c r="A1516" s="110" t="s">
        <v>4455</v>
      </c>
      <c r="B1516" s="125" t="s">
        <v>1288</v>
      </c>
      <c r="C1516" s="138">
        <v>0.54</v>
      </c>
      <c r="D1516" s="138">
        <v>32.400000000000006</v>
      </c>
      <c r="E1516" s="138">
        <v>111.11111111111109</v>
      </c>
      <c r="F1516" s="139">
        <v>0.54</v>
      </c>
      <c r="H1516" t="str">
        <f t="shared" si="26"/>
        <v>15006150061741</v>
      </c>
    </row>
    <row r="1517" spans="1:8" ht="15" customHeight="1" x14ac:dyDescent="0.25">
      <c r="A1517" s="110" t="s">
        <v>4455</v>
      </c>
      <c r="B1517" s="125" t="s">
        <v>1820</v>
      </c>
      <c r="C1517" s="138">
        <v>1.7</v>
      </c>
      <c r="D1517" s="138">
        <v>102</v>
      </c>
      <c r="E1517" s="138">
        <v>35.294117647058826</v>
      </c>
      <c r="F1517" s="139">
        <v>1.7</v>
      </c>
      <c r="H1517" t="str">
        <f t="shared" si="26"/>
        <v>15006150061741</v>
      </c>
    </row>
    <row r="1518" spans="1:8" ht="15" customHeight="1" x14ac:dyDescent="0.25">
      <c r="A1518" s="110" t="s">
        <v>4456</v>
      </c>
      <c r="B1518" s="125" t="s">
        <v>1289</v>
      </c>
      <c r="C1518" s="138">
        <v>1.5</v>
      </c>
      <c r="D1518" s="138">
        <v>90</v>
      </c>
      <c r="E1518" s="138">
        <v>40</v>
      </c>
      <c r="F1518" s="139">
        <v>1.5</v>
      </c>
      <c r="H1518" t="str">
        <f t="shared" si="26"/>
        <v>15006150061742</v>
      </c>
    </row>
    <row r="1519" spans="1:8" ht="15" customHeight="1" x14ac:dyDescent="0.25">
      <c r="A1519" s="110" t="s">
        <v>4457</v>
      </c>
      <c r="B1519" s="125" t="s">
        <v>1290</v>
      </c>
      <c r="C1519" s="138">
        <v>1.5</v>
      </c>
      <c r="D1519" s="138">
        <v>90</v>
      </c>
      <c r="E1519" s="138">
        <v>40</v>
      </c>
      <c r="F1519" s="139">
        <v>1.5</v>
      </c>
      <c r="H1519" t="str">
        <f t="shared" si="26"/>
        <v>15006150061743</v>
      </c>
    </row>
    <row r="1520" spans="1:8" ht="15" customHeight="1" x14ac:dyDescent="0.25">
      <c r="A1520" s="110" t="s">
        <v>4458</v>
      </c>
      <c r="B1520" s="125" t="s">
        <v>1291</v>
      </c>
      <c r="C1520" s="138">
        <v>0.67</v>
      </c>
      <c r="D1520" s="138">
        <v>40.200000000000003</v>
      </c>
      <c r="E1520" s="138">
        <v>89.552238805970148</v>
      </c>
      <c r="F1520" s="139">
        <v>0.67</v>
      </c>
      <c r="H1520" t="str">
        <f t="shared" si="26"/>
        <v>15006150061744</v>
      </c>
    </row>
    <row r="1521" spans="1:8" ht="15" customHeight="1" x14ac:dyDescent="0.25">
      <c r="A1521" s="110" t="s">
        <v>4459</v>
      </c>
      <c r="B1521" s="125" t="s">
        <v>1292</v>
      </c>
      <c r="C1521" s="138">
        <v>0.67</v>
      </c>
      <c r="D1521" s="138">
        <v>40.200000000000003</v>
      </c>
      <c r="E1521" s="138">
        <v>89.552238805970148</v>
      </c>
      <c r="F1521" s="139">
        <v>0.67</v>
      </c>
      <c r="H1521" t="str">
        <f t="shared" si="26"/>
        <v>15006150061745</v>
      </c>
    </row>
    <row r="1522" spans="1:8" ht="15" customHeight="1" x14ac:dyDescent="0.25">
      <c r="A1522" s="110" t="s">
        <v>4459</v>
      </c>
      <c r="B1522" s="125" t="s">
        <v>1821</v>
      </c>
      <c r="C1522" s="138">
        <v>0.24</v>
      </c>
      <c r="D1522" s="138">
        <v>14.399999999999999</v>
      </c>
      <c r="E1522" s="138">
        <v>250.00000000000003</v>
      </c>
      <c r="F1522" s="139">
        <v>0.24</v>
      </c>
      <c r="H1522" t="str">
        <f t="shared" si="26"/>
        <v>15006150061745</v>
      </c>
    </row>
    <row r="1523" spans="1:8" ht="15" customHeight="1" x14ac:dyDescent="0.25">
      <c r="A1523" s="110" t="s">
        <v>4460</v>
      </c>
      <c r="B1523" s="125" t="s">
        <v>1293</v>
      </c>
      <c r="C1523" s="138">
        <v>0.57999999999999996</v>
      </c>
      <c r="D1523" s="138">
        <v>34.799999999999997</v>
      </c>
      <c r="E1523" s="138">
        <v>103.44827586206897</v>
      </c>
      <c r="F1523" s="139">
        <v>0.57999999999999996</v>
      </c>
      <c r="H1523" t="str">
        <f t="shared" si="26"/>
        <v>15006150061746</v>
      </c>
    </row>
    <row r="1524" spans="1:8" ht="15" customHeight="1" x14ac:dyDescent="0.25">
      <c r="A1524" s="110" t="s">
        <v>4460</v>
      </c>
      <c r="B1524" s="125" t="s">
        <v>1822</v>
      </c>
      <c r="C1524" s="138">
        <v>1.7</v>
      </c>
      <c r="D1524" s="138">
        <v>102</v>
      </c>
      <c r="E1524" s="138">
        <v>35.294117647058826</v>
      </c>
      <c r="F1524" s="139">
        <v>1.7</v>
      </c>
      <c r="H1524" t="str">
        <f t="shared" si="26"/>
        <v>15006150061746</v>
      </c>
    </row>
    <row r="1525" spans="1:8" ht="15" customHeight="1" x14ac:dyDescent="0.25">
      <c r="A1525" s="110" t="s">
        <v>4461</v>
      </c>
      <c r="B1525" s="125" t="s">
        <v>1294</v>
      </c>
      <c r="C1525" s="138">
        <v>0.57999999999999996</v>
      </c>
      <c r="D1525" s="138">
        <v>34.799999999999997</v>
      </c>
      <c r="E1525" s="138">
        <v>103.44827586206897</v>
      </c>
      <c r="F1525" s="139">
        <v>0.57999999999999996</v>
      </c>
      <c r="H1525" t="str">
        <f t="shared" si="26"/>
        <v>15006150061747</v>
      </c>
    </row>
    <row r="1526" spans="1:8" ht="15" customHeight="1" x14ac:dyDescent="0.25">
      <c r="A1526" s="110" t="s">
        <v>4461</v>
      </c>
      <c r="B1526" s="125" t="s">
        <v>1823</v>
      </c>
      <c r="C1526" s="138">
        <v>1.7</v>
      </c>
      <c r="D1526" s="138">
        <v>102</v>
      </c>
      <c r="E1526" s="138">
        <v>35.294117647058826</v>
      </c>
      <c r="F1526" s="139">
        <v>1.7</v>
      </c>
      <c r="H1526" t="str">
        <f t="shared" si="26"/>
        <v>15006150061747</v>
      </c>
    </row>
    <row r="1527" spans="1:8" ht="15" customHeight="1" x14ac:dyDescent="0.25">
      <c r="A1527" s="110" t="s">
        <v>4462</v>
      </c>
      <c r="B1527" s="125" t="s">
        <v>1295</v>
      </c>
      <c r="C1527" s="138">
        <v>0.67</v>
      </c>
      <c r="D1527" s="138">
        <v>40.200000000000003</v>
      </c>
      <c r="E1527" s="138">
        <v>89.552238805970148</v>
      </c>
      <c r="F1527" s="139">
        <v>0.67</v>
      </c>
      <c r="H1527" t="str">
        <f t="shared" si="26"/>
        <v>15006150061748</v>
      </c>
    </row>
    <row r="1528" spans="1:8" ht="15" customHeight="1" x14ac:dyDescent="0.25">
      <c r="A1528" s="110" t="s">
        <v>4462</v>
      </c>
      <c r="B1528" s="125" t="s">
        <v>1824</v>
      </c>
      <c r="C1528" s="138">
        <v>1.7</v>
      </c>
      <c r="D1528" s="138">
        <v>102</v>
      </c>
      <c r="E1528" s="138">
        <v>35.294117647058826</v>
      </c>
      <c r="F1528" s="139">
        <v>1.7</v>
      </c>
      <c r="H1528" t="str">
        <f t="shared" si="26"/>
        <v>15006150061748</v>
      </c>
    </row>
    <row r="1529" spans="1:8" ht="15" customHeight="1" x14ac:dyDescent="0.25">
      <c r="A1529" s="110" t="s">
        <v>4463</v>
      </c>
      <c r="B1529" s="125" t="s">
        <v>1296</v>
      </c>
      <c r="C1529" s="138">
        <v>0.67</v>
      </c>
      <c r="D1529" s="138">
        <v>40.200000000000003</v>
      </c>
      <c r="E1529" s="138">
        <v>89.552238805970148</v>
      </c>
      <c r="F1529" s="139">
        <v>0.67</v>
      </c>
      <c r="H1529" t="str">
        <f t="shared" si="26"/>
        <v>15006150061749</v>
      </c>
    </row>
    <row r="1530" spans="1:8" ht="15" customHeight="1" x14ac:dyDescent="0.25">
      <c r="A1530" s="110" t="s">
        <v>4463</v>
      </c>
      <c r="B1530" s="125" t="s">
        <v>1825</v>
      </c>
      <c r="C1530" s="138">
        <v>1.7</v>
      </c>
      <c r="D1530" s="138">
        <v>102</v>
      </c>
      <c r="E1530" s="138">
        <v>35.294117647058826</v>
      </c>
      <c r="F1530" s="139">
        <v>1.7</v>
      </c>
      <c r="H1530" t="str">
        <f t="shared" si="26"/>
        <v>15006150061749</v>
      </c>
    </row>
    <row r="1531" spans="1:8" ht="15" customHeight="1" x14ac:dyDescent="0.25">
      <c r="A1531" s="110" t="s">
        <v>4464</v>
      </c>
      <c r="B1531" s="125" t="s">
        <v>1297</v>
      </c>
      <c r="C1531" s="138">
        <v>0.67</v>
      </c>
      <c r="D1531" s="138">
        <v>40.200000000000003</v>
      </c>
      <c r="E1531" s="138">
        <v>89.552238805970148</v>
      </c>
      <c r="F1531" s="139">
        <v>0.67</v>
      </c>
      <c r="H1531" t="str">
        <f t="shared" si="26"/>
        <v>15006150061750</v>
      </c>
    </row>
    <row r="1532" spans="1:8" ht="15" customHeight="1" x14ac:dyDescent="0.25">
      <c r="A1532" s="110" t="s">
        <v>4465</v>
      </c>
      <c r="B1532" s="125" t="s">
        <v>1298</v>
      </c>
      <c r="C1532" s="138">
        <v>0.67</v>
      </c>
      <c r="D1532" s="138">
        <v>40.200000000000003</v>
      </c>
      <c r="E1532" s="138">
        <v>89.552238805970148</v>
      </c>
      <c r="F1532" s="139">
        <v>0.67</v>
      </c>
      <c r="H1532" t="str">
        <f t="shared" si="26"/>
        <v>15006150061751</v>
      </c>
    </row>
    <row r="1533" spans="1:8" ht="15" customHeight="1" x14ac:dyDescent="0.25">
      <c r="A1533" s="110" t="s">
        <v>4466</v>
      </c>
      <c r="B1533" s="125" t="s">
        <v>1299</v>
      </c>
      <c r="C1533" s="138">
        <v>1.5</v>
      </c>
      <c r="D1533" s="138">
        <v>90</v>
      </c>
      <c r="E1533" s="138">
        <v>40</v>
      </c>
      <c r="F1533" s="139">
        <v>1.5</v>
      </c>
      <c r="H1533" t="str">
        <f t="shared" si="26"/>
        <v>15006150061752</v>
      </c>
    </row>
    <row r="1534" spans="1:8" ht="15" customHeight="1" x14ac:dyDescent="0.25">
      <c r="A1534" s="110" t="s">
        <v>4467</v>
      </c>
      <c r="B1534" s="125" t="s">
        <v>1300</v>
      </c>
      <c r="C1534" s="138">
        <v>1.5</v>
      </c>
      <c r="D1534" s="138">
        <v>90</v>
      </c>
      <c r="E1534" s="138">
        <v>40</v>
      </c>
      <c r="F1534" s="139">
        <v>1.5</v>
      </c>
      <c r="H1534" t="str">
        <f t="shared" si="26"/>
        <v>15006150061753</v>
      </c>
    </row>
    <row r="1535" spans="1:8" ht="15" customHeight="1" x14ac:dyDescent="0.25">
      <c r="A1535" s="110" t="s">
        <v>4468</v>
      </c>
      <c r="B1535" s="125" t="s">
        <v>1301</v>
      </c>
      <c r="C1535" s="138">
        <v>1.5</v>
      </c>
      <c r="D1535" s="138">
        <v>90</v>
      </c>
      <c r="E1535" s="138">
        <v>40</v>
      </c>
      <c r="F1535" s="139">
        <v>1.5</v>
      </c>
      <c r="H1535" t="str">
        <f t="shared" si="26"/>
        <v>15006150061754</v>
      </c>
    </row>
    <row r="1536" spans="1:8" ht="15" customHeight="1" x14ac:dyDescent="0.25">
      <c r="A1536" s="110" t="s">
        <v>4469</v>
      </c>
      <c r="B1536" s="125" t="s">
        <v>1302</v>
      </c>
      <c r="C1536" s="138">
        <v>1.5</v>
      </c>
      <c r="D1536" s="138">
        <v>90</v>
      </c>
      <c r="E1536" s="138">
        <v>40</v>
      </c>
      <c r="F1536" s="139">
        <v>1.5</v>
      </c>
      <c r="H1536" t="str">
        <f t="shared" si="26"/>
        <v>15006150061755</v>
      </c>
    </row>
    <row r="1537" spans="1:8" ht="15" customHeight="1" x14ac:dyDescent="0.25">
      <c r="A1537" s="110" t="s">
        <v>4470</v>
      </c>
      <c r="B1537" s="125" t="s">
        <v>1303</v>
      </c>
      <c r="C1537" s="138">
        <v>0.5</v>
      </c>
      <c r="D1537" s="138">
        <v>30</v>
      </c>
      <c r="E1537" s="138">
        <v>120</v>
      </c>
      <c r="F1537" s="139">
        <v>0.5</v>
      </c>
      <c r="H1537" t="str">
        <f t="shared" si="26"/>
        <v>15006150061756</v>
      </c>
    </row>
    <row r="1538" spans="1:8" ht="15" customHeight="1" x14ac:dyDescent="0.25">
      <c r="A1538" s="110" t="s">
        <v>4471</v>
      </c>
      <c r="B1538" s="125" t="s">
        <v>1304</v>
      </c>
      <c r="C1538" s="138">
        <v>0.5</v>
      </c>
      <c r="D1538" s="138">
        <v>30</v>
      </c>
      <c r="E1538" s="138">
        <v>120</v>
      </c>
      <c r="F1538" s="139">
        <v>0.5</v>
      </c>
      <c r="H1538" t="str">
        <f t="shared" si="26"/>
        <v>15006150061757</v>
      </c>
    </row>
    <row r="1539" spans="1:8" ht="15" customHeight="1" x14ac:dyDescent="0.25">
      <c r="A1539" s="110" t="s">
        <v>4472</v>
      </c>
      <c r="B1539" s="125" t="s">
        <v>1305</v>
      </c>
      <c r="C1539" s="138">
        <v>0.54</v>
      </c>
      <c r="D1539" s="138">
        <v>32.400000000000006</v>
      </c>
      <c r="E1539" s="138">
        <v>111.11111111111109</v>
      </c>
      <c r="F1539" s="139">
        <v>0.54</v>
      </c>
      <c r="H1539" t="str">
        <f t="shared" si="26"/>
        <v>15006150061760</v>
      </c>
    </row>
    <row r="1540" spans="1:8" ht="15" customHeight="1" x14ac:dyDescent="0.25">
      <c r="A1540" s="110" t="s">
        <v>4473</v>
      </c>
      <c r="B1540" s="125" t="s">
        <v>1306</v>
      </c>
      <c r="C1540" s="138">
        <v>0.54</v>
      </c>
      <c r="D1540" s="138">
        <v>32.400000000000006</v>
      </c>
      <c r="E1540" s="138">
        <v>111.11111111111109</v>
      </c>
      <c r="F1540" s="139">
        <v>0.54</v>
      </c>
      <c r="H1540" t="str">
        <f t="shared" ref="H1540:H1603" si="27">CONCATENATE($G$835,A1540)</f>
        <v>15006150061761</v>
      </c>
    </row>
    <row r="1541" spans="1:8" ht="15" customHeight="1" x14ac:dyDescent="0.25">
      <c r="A1541" s="110" t="s">
        <v>4474</v>
      </c>
      <c r="B1541" s="125" t="s">
        <v>1307</v>
      </c>
      <c r="C1541" s="138">
        <v>0.83</v>
      </c>
      <c r="D1541" s="138">
        <v>49.8</v>
      </c>
      <c r="E1541" s="138">
        <v>72.289156626506028</v>
      </c>
      <c r="F1541" s="139">
        <v>0.83</v>
      </c>
      <c r="H1541" t="str">
        <f t="shared" si="27"/>
        <v>15006150061762</v>
      </c>
    </row>
    <row r="1542" spans="1:8" ht="15" customHeight="1" x14ac:dyDescent="0.25">
      <c r="A1542" s="110" t="s">
        <v>4475</v>
      </c>
      <c r="B1542" s="125" t="s">
        <v>1308</v>
      </c>
      <c r="C1542" s="138">
        <v>0.83</v>
      </c>
      <c r="D1542" s="138">
        <v>49.8</v>
      </c>
      <c r="E1542" s="138">
        <v>72.289156626506028</v>
      </c>
      <c r="F1542" s="139">
        <v>0.83</v>
      </c>
      <c r="H1542" t="str">
        <f t="shared" si="27"/>
        <v>15006150061763</v>
      </c>
    </row>
    <row r="1543" spans="1:8" ht="15" customHeight="1" x14ac:dyDescent="0.25">
      <c r="A1543" s="110" t="s">
        <v>4476</v>
      </c>
      <c r="B1543" s="125" t="s">
        <v>1309</v>
      </c>
      <c r="C1543" s="138">
        <v>0.5</v>
      </c>
      <c r="D1543" s="138">
        <v>30</v>
      </c>
      <c r="E1543" s="138">
        <v>120</v>
      </c>
      <c r="F1543" s="139">
        <v>0.5</v>
      </c>
      <c r="H1543" t="str">
        <f t="shared" si="27"/>
        <v>15006150061764</v>
      </c>
    </row>
    <row r="1544" spans="1:8" ht="15" customHeight="1" x14ac:dyDescent="0.25">
      <c r="A1544" s="110" t="s">
        <v>4477</v>
      </c>
      <c r="B1544" s="125" t="s">
        <v>1310</v>
      </c>
      <c r="C1544" s="138">
        <v>0.5</v>
      </c>
      <c r="D1544" s="138">
        <v>30</v>
      </c>
      <c r="E1544" s="138">
        <v>120</v>
      </c>
      <c r="F1544" s="139">
        <v>0.5</v>
      </c>
      <c r="H1544" t="str">
        <f t="shared" si="27"/>
        <v>15006150061765</v>
      </c>
    </row>
    <row r="1545" spans="1:8" ht="15" customHeight="1" x14ac:dyDescent="0.25">
      <c r="A1545" s="110" t="s">
        <v>4478</v>
      </c>
      <c r="B1545" s="125" t="s">
        <v>1311</v>
      </c>
      <c r="C1545" s="138">
        <v>0.67</v>
      </c>
      <c r="D1545" s="138">
        <v>40.200000000000003</v>
      </c>
      <c r="E1545" s="138">
        <v>89.552238805970148</v>
      </c>
      <c r="F1545" s="139">
        <v>0.67</v>
      </c>
      <c r="H1545" t="str">
        <f t="shared" si="27"/>
        <v>15006150061768</v>
      </c>
    </row>
    <row r="1546" spans="1:8" ht="15" customHeight="1" x14ac:dyDescent="0.25">
      <c r="A1546" s="110" t="s">
        <v>4479</v>
      </c>
      <c r="B1546" s="125" t="s">
        <v>1312</v>
      </c>
      <c r="C1546" s="138">
        <v>0.67</v>
      </c>
      <c r="D1546" s="138">
        <v>40.200000000000003</v>
      </c>
      <c r="E1546" s="138">
        <v>89.552238805970148</v>
      </c>
      <c r="F1546" s="139">
        <v>0.67</v>
      </c>
      <c r="H1546" t="str">
        <f t="shared" si="27"/>
        <v>15006150061769</v>
      </c>
    </row>
    <row r="1547" spans="1:8" ht="15" customHeight="1" x14ac:dyDescent="0.25">
      <c r="A1547" s="110" t="s">
        <v>4480</v>
      </c>
      <c r="B1547" s="125" t="s">
        <v>1313</v>
      </c>
      <c r="C1547" s="138">
        <v>0.83</v>
      </c>
      <c r="D1547" s="138">
        <v>49.8</v>
      </c>
      <c r="E1547" s="138">
        <v>72.289156626506028</v>
      </c>
      <c r="F1547" s="139">
        <v>0.83</v>
      </c>
      <c r="H1547" t="str">
        <f t="shared" si="27"/>
        <v>15006150061770</v>
      </c>
    </row>
    <row r="1548" spans="1:8" ht="15" customHeight="1" x14ac:dyDescent="0.25">
      <c r="A1548" s="110" t="s">
        <v>4480</v>
      </c>
      <c r="B1548" s="125" t="s">
        <v>1826</v>
      </c>
      <c r="C1548" s="138">
        <v>0.22</v>
      </c>
      <c r="D1548" s="138">
        <v>13.2</v>
      </c>
      <c r="E1548" s="138">
        <v>272.72727272727275</v>
      </c>
      <c r="F1548" s="139">
        <v>0.22</v>
      </c>
      <c r="H1548" t="str">
        <f t="shared" si="27"/>
        <v>15006150061770</v>
      </c>
    </row>
    <row r="1549" spans="1:8" ht="15" customHeight="1" x14ac:dyDescent="0.25">
      <c r="A1549" s="110" t="s">
        <v>4481</v>
      </c>
      <c r="B1549" s="125" t="s">
        <v>1314</v>
      </c>
      <c r="C1549" s="138">
        <v>0.83</v>
      </c>
      <c r="D1549" s="138">
        <v>49.8</v>
      </c>
      <c r="E1549" s="138">
        <v>72.289156626506028</v>
      </c>
      <c r="F1549" s="139">
        <v>0.83</v>
      </c>
      <c r="H1549" t="str">
        <f t="shared" si="27"/>
        <v>15006150061771</v>
      </c>
    </row>
    <row r="1550" spans="1:8" ht="15" customHeight="1" x14ac:dyDescent="0.25">
      <c r="A1550" s="110" t="s">
        <v>4482</v>
      </c>
      <c r="B1550" s="125" t="s">
        <v>1315</v>
      </c>
      <c r="C1550" s="138">
        <v>0.83</v>
      </c>
      <c r="D1550" s="138">
        <v>49.8</v>
      </c>
      <c r="E1550" s="138">
        <v>72.289156626506028</v>
      </c>
      <c r="F1550" s="139">
        <v>0.83</v>
      </c>
      <c r="H1550" t="str">
        <f t="shared" si="27"/>
        <v>15006150061772</v>
      </c>
    </row>
    <row r="1551" spans="1:8" ht="15" customHeight="1" x14ac:dyDescent="0.25">
      <c r="A1551" s="110" t="s">
        <v>4483</v>
      </c>
      <c r="B1551" s="125" t="s">
        <v>1316</v>
      </c>
      <c r="C1551" s="138">
        <v>0.83</v>
      </c>
      <c r="D1551" s="138">
        <v>49.8</v>
      </c>
      <c r="E1551" s="138">
        <v>72.289156626506028</v>
      </c>
      <c r="F1551" s="139">
        <v>0.83</v>
      </c>
      <c r="H1551" t="str">
        <f t="shared" si="27"/>
        <v>15006150061773</v>
      </c>
    </row>
    <row r="1552" spans="1:8" ht="15" customHeight="1" x14ac:dyDescent="0.25">
      <c r="A1552" s="110" t="s">
        <v>4484</v>
      </c>
      <c r="B1552" s="125" t="s">
        <v>1317</v>
      </c>
      <c r="C1552" s="138">
        <v>0.5</v>
      </c>
      <c r="D1552" s="138">
        <v>30</v>
      </c>
      <c r="E1552" s="138">
        <v>120</v>
      </c>
      <c r="F1552" s="139">
        <v>0.5</v>
      </c>
      <c r="H1552" t="str">
        <f t="shared" si="27"/>
        <v>15006150061774</v>
      </c>
    </row>
    <row r="1553" spans="1:8" ht="15" customHeight="1" x14ac:dyDescent="0.25">
      <c r="A1553" s="110" t="s">
        <v>4485</v>
      </c>
      <c r="B1553" s="125" t="s">
        <v>1318</v>
      </c>
      <c r="C1553" s="138">
        <v>0.5</v>
      </c>
      <c r="D1553" s="138">
        <v>30</v>
      </c>
      <c r="E1553" s="138">
        <v>120</v>
      </c>
      <c r="F1553" s="139">
        <v>0.5</v>
      </c>
      <c r="H1553" t="str">
        <f t="shared" si="27"/>
        <v>15006150061775</v>
      </c>
    </row>
    <row r="1554" spans="1:8" ht="15" customHeight="1" x14ac:dyDescent="0.25">
      <c r="A1554" s="110" t="s">
        <v>4485</v>
      </c>
      <c r="B1554" s="125" t="s">
        <v>1827</v>
      </c>
      <c r="C1554" s="138">
        <v>0.56000000000000005</v>
      </c>
      <c r="D1554" s="138">
        <v>33.6</v>
      </c>
      <c r="E1554" s="138">
        <v>107.14285714285714</v>
      </c>
      <c r="F1554" s="139">
        <v>0.56000000000000005</v>
      </c>
      <c r="H1554" t="str">
        <f t="shared" si="27"/>
        <v>15006150061775</v>
      </c>
    </row>
    <row r="1555" spans="1:8" ht="15" customHeight="1" x14ac:dyDescent="0.25">
      <c r="A1555" s="110" t="s">
        <v>4486</v>
      </c>
      <c r="B1555" s="125" t="s">
        <v>1319</v>
      </c>
      <c r="C1555" s="138">
        <v>0.85</v>
      </c>
      <c r="D1555" s="138">
        <v>51</v>
      </c>
      <c r="E1555" s="138">
        <v>70.588235294117652</v>
      </c>
      <c r="F1555" s="139">
        <v>0.85</v>
      </c>
      <c r="H1555" t="str">
        <f t="shared" si="27"/>
        <v>15006150061776</v>
      </c>
    </row>
    <row r="1556" spans="1:8" ht="15" customHeight="1" x14ac:dyDescent="0.25">
      <c r="A1556" s="110" t="s">
        <v>4487</v>
      </c>
      <c r="B1556" s="125" t="s">
        <v>1320</v>
      </c>
      <c r="C1556" s="138">
        <v>0.85</v>
      </c>
      <c r="D1556" s="138">
        <v>51</v>
      </c>
      <c r="E1556" s="138">
        <v>70.588235294117652</v>
      </c>
      <c r="F1556" s="139">
        <v>0.85</v>
      </c>
      <c r="H1556" t="str">
        <f t="shared" si="27"/>
        <v>15006150061777</v>
      </c>
    </row>
    <row r="1557" spans="1:8" ht="15" customHeight="1" x14ac:dyDescent="0.25">
      <c r="A1557" s="110" t="s">
        <v>4488</v>
      </c>
      <c r="B1557" s="125" t="s">
        <v>1321</v>
      </c>
      <c r="C1557" s="138">
        <v>0.83</v>
      </c>
      <c r="D1557" s="138">
        <v>49.8</v>
      </c>
      <c r="E1557" s="138">
        <v>72.289156626506028</v>
      </c>
      <c r="F1557" s="139">
        <v>0.83</v>
      </c>
      <c r="H1557" t="str">
        <f t="shared" si="27"/>
        <v>15006150061778</v>
      </c>
    </row>
    <row r="1558" spans="1:8" ht="15" customHeight="1" x14ac:dyDescent="0.25">
      <c r="A1558" s="110" t="s">
        <v>4489</v>
      </c>
      <c r="B1558" s="125" t="s">
        <v>1322</v>
      </c>
      <c r="C1558" s="138">
        <v>0.83</v>
      </c>
      <c r="D1558" s="138">
        <v>49.8</v>
      </c>
      <c r="E1558" s="138">
        <v>72.289156626506028</v>
      </c>
      <c r="F1558" s="139">
        <v>0.83</v>
      </c>
      <c r="H1558" t="str">
        <f t="shared" si="27"/>
        <v>15006150061779</v>
      </c>
    </row>
    <row r="1559" spans="1:8" ht="10.5" customHeight="1" x14ac:dyDescent="0.25">
      <c r="A1559" s="110" t="s">
        <v>4490</v>
      </c>
      <c r="B1559" s="125" t="s">
        <v>1323</v>
      </c>
      <c r="C1559" s="138">
        <v>0.54</v>
      </c>
      <c r="D1559" s="138">
        <v>32.400000000000006</v>
      </c>
      <c r="E1559" s="138">
        <v>111.11111111111109</v>
      </c>
      <c r="F1559" s="139">
        <v>0.54</v>
      </c>
      <c r="H1559" t="str">
        <f t="shared" si="27"/>
        <v>15006150061780</v>
      </c>
    </row>
    <row r="1560" spans="1:8" ht="10.5" customHeight="1" x14ac:dyDescent="0.25">
      <c r="A1560" s="110" t="s">
        <v>4490</v>
      </c>
      <c r="B1560" s="125" t="s">
        <v>1828</v>
      </c>
      <c r="C1560" s="138">
        <v>0.93</v>
      </c>
      <c r="D1560" s="138">
        <v>55.800000000000004</v>
      </c>
      <c r="E1560" s="138">
        <v>64.516129032258064</v>
      </c>
      <c r="F1560" s="139">
        <v>0.93</v>
      </c>
      <c r="H1560" t="str">
        <f t="shared" si="27"/>
        <v>15006150061780</v>
      </c>
    </row>
    <row r="1561" spans="1:8" ht="10.5" customHeight="1" x14ac:dyDescent="0.25">
      <c r="A1561" s="110" t="s">
        <v>4491</v>
      </c>
      <c r="B1561" s="125" t="s">
        <v>1324</v>
      </c>
      <c r="C1561" s="138">
        <v>0.54</v>
      </c>
      <c r="D1561" s="138">
        <v>32.400000000000006</v>
      </c>
      <c r="E1561" s="138">
        <v>111.11111111111109</v>
      </c>
      <c r="F1561" s="139">
        <v>0.54</v>
      </c>
      <c r="H1561" t="str">
        <f t="shared" si="27"/>
        <v>15006150061781</v>
      </c>
    </row>
    <row r="1562" spans="1:8" ht="10.5" customHeight="1" x14ac:dyDescent="0.25">
      <c r="A1562" s="110" t="s">
        <v>4492</v>
      </c>
      <c r="B1562" s="125" t="s">
        <v>1325</v>
      </c>
      <c r="C1562" s="138">
        <v>0.83</v>
      </c>
      <c r="D1562" s="138">
        <v>49.8</v>
      </c>
      <c r="E1562" s="138">
        <v>72.289156626506028</v>
      </c>
      <c r="F1562" s="139">
        <v>0.83</v>
      </c>
      <c r="H1562" t="str">
        <f t="shared" si="27"/>
        <v>15006150061782</v>
      </c>
    </row>
    <row r="1563" spans="1:8" ht="10.5" customHeight="1" x14ac:dyDescent="0.25">
      <c r="A1563" s="110" t="s">
        <v>4493</v>
      </c>
      <c r="B1563" s="125" t="s">
        <v>1326</v>
      </c>
      <c r="C1563" s="138">
        <v>0.83</v>
      </c>
      <c r="D1563" s="138">
        <v>49.8</v>
      </c>
      <c r="E1563" s="138">
        <v>72.289156626506028</v>
      </c>
      <c r="F1563" s="139">
        <v>0.83</v>
      </c>
      <c r="H1563" t="str">
        <f t="shared" si="27"/>
        <v>15006150061783</v>
      </c>
    </row>
    <row r="1564" spans="1:8" ht="10.5" customHeight="1" x14ac:dyDescent="0.25">
      <c r="A1564" s="110" t="s">
        <v>4494</v>
      </c>
      <c r="B1564" s="125" t="s">
        <v>1327</v>
      </c>
      <c r="C1564" s="138">
        <v>0.67</v>
      </c>
      <c r="D1564" s="138">
        <v>40.200000000000003</v>
      </c>
      <c r="E1564" s="138">
        <v>89.552238805970148</v>
      </c>
      <c r="F1564" s="139">
        <v>0.67</v>
      </c>
      <c r="H1564" t="str">
        <f t="shared" si="27"/>
        <v>15006150061784</v>
      </c>
    </row>
    <row r="1565" spans="1:8" ht="10.5" customHeight="1" x14ac:dyDescent="0.25">
      <c r="A1565" s="110" t="s">
        <v>4495</v>
      </c>
      <c r="B1565" s="125" t="s">
        <v>1328</v>
      </c>
      <c r="C1565" s="138">
        <v>0.67</v>
      </c>
      <c r="D1565" s="138">
        <v>40.200000000000003</v>
      </c>
      <c r="E1565" s="138">
        <v>89.552238805970148</v>
      </c>
      <c r="F1565" s="139">
        <v>0.67</v>
      </c>
      <c r="H1565" t="str">
        <f t="shared" si="27"/>
        <v>15006150061785</v>
      </c>
    </row>
    <row r="1566" spans="1:8" ht="10.5" customHeight="1" x14ac:dyDescent="0.25">
      <c r="A1566" s="110" t="s">
        <v>4496</v>
      </c>
      <c r="B1566" s="125" t="s">
        <v>1329</v>
      </c>
      <c r="C1566" s="138">
        <v>0.83</v>
      </c>
      <c r="D1566" s="138">
        <v>49.8</v>
      </c>
      <c r="E1566" s="138">
        <v>72.289156626506028</v>
      </c>
      <c r="F1566" s="139">
        <v>0.83</v>
      </c>
      <c r="H1566" t="str">
        <f t="shared" si="27"/>
        <v>15006150061786</v>
      </c>
    </row>
    <row r="1567" spans="1:8" ht="10.5" customHeight="1" x14ac:dyDescent="0.25">
      <c r="A1567" s="110" t="s">
        <v>4497</v>
      </c>
      <c r="B1567" s="125" t="s">
        <v>1330</v>
      </c>
      <c r="C1567" s="138">
        <v>0.83</v>
      </c>
      <c r="D1567" s="138">
        <v>49.8</v>
      </c>
      <c r="E1567" s="138">
        <v>72.289156626506028</v>
      </c>
      <c r="F1567" s="139">
        <v>0.83</v>
      </c>
      <c r="H1567" t="str">
        <f t="shared" si="27"/>
        <v>15006150061787</v>
      </c>
    </row>
    <row r="1568" spans="1:8" ht="10.5" customHeight="1" x14ac:dyDescent="0.25">
      <c r="A1568" s="110" t="s">
        <v>4498</v>
      </c>
      <c r="B1568" s="125" t="s">
        <v>1331</v>
      </c>
      <c r="C1568" s="138">
        <v>0.5</v>
      </c>
      <c r="D1568" s="138">
        <v>30</v>
      </c>
      <c r="E1568" s="138">
        <v>120</v>
      </c>
      <c r="F1568" s="139">
        <v>0.5</v>
      </c>
      <c r="H1568" t="str">
        <f t="shared" si="27"/>
        <v>15006150061788</v>
      </c>
    </row>
    <row r="1569" spans="1:8" ht="10.5" customHeight="1" x14ac:dyDescent="0.25">
      <c r="A1569" s="110" t="s">
        <v>4499</v>
      </c>
      <c r="B1569" s="125" t="s">
        <v>1332</v>
      </c>
      <c r="C1569" s="138">
        <v>0.5</v>
      </c>
      <c r="D1569" s="138">
        <v>30</v>
      </c>
      <c r="E1569" s="138">
        <v>120</v>
      </c>
      <c r="F1569" s="139">
        <v>0.5</v>
      </c>
      <c r="H1569" t="str">
        <f t="shared" si="27"/>
        <v>15006150061789</v>
      </c>
    </row>
    <row r="1570" spans="1:8" ht="10.5" customHeight="1" x14ac:dyDescent="0.25">
      <c r="A1570" s="110" t="s">
        <v>4500</v>
      </c>
      <c r="B1570" s="125" t="s">
        <v>1333</v>
      </c>
      <c r="C1570" s="138">
        <v>0.67</v>
      </c>
      <c r="D1570" s="138">
        <v>40.200000000000003</v>
      </c>
      <c r="E1570" s="138">
        <v>89.552238805970148</v>
      </c>
      <c r="F1570" s="139">
        <v>0.67</v>
      </c>
      <c r="H1570" t="str">
        <f t="shared" si="27"/>
        <v>15006150061790</v>
      </c>
    </row>
    <row r="1571" spans="1:8" ht="10.5" customHeight="1" x14ac:dyDescent="0.25">
      <c r="A1571" s="110" t="s">
        <v>4501</v>
      </c>
      <c r="B1571" s="125" t="s">
        <v>1334</v>
      </c>
      <c r="C1571" s="138">
        <v>0.67</v>
      </c>
      <c r="D1571" s="138">
        <v>40.200000000000003</v>
      </c>
      <c r="E1571" s="138">
        <v>89.552238805970148</v>
      </c>
      <c r="F1571" s="139">
        <v>0.67</v>
      </c>
      <c r="H1571" t="str">
        <f t="shared" si="27"/>
        <v>15006150061791</v>
      </c>
    </row>
    <row r="1572" spans="1:8" ht="10.5" customHeight="1" x14ac:dyDescent="0.25">
      <c r="A1572" s="110" t="s">
        <v>4502</v>
      </c>
      <c r="B1572" s="125" t="s">
        <v>1335</v>
      </c>
      <c r="C1572" s="138">
        <v>0.5</v>
      </c>
      <c r="D1572" s="138">
        <v>30</v>
      </c>
      <c r="E1572" s="138">
        <v>120</v>
      </c>
      <c r="F1572" s="139">
        <v>0.5</v>
      </c>
      <c r="H1572" t="str">
        <f t="shared" si="27"/>
        <v>15006150061792</v>
      </c>
    </row>
    <row r="1573" spans="1:8" ht="10.5" customHeight="1" x14ac:dyDescent="0.25">
      <c r="A1573" s="110" t="s">
        <v>4503</v>
      </c>
      <c r="B1573" s="125" t="s">
        <v>1336</v>
      </c>
      <c r="C1573" s="138">
        <v>0.5</v>
      </c>
      <c r="D1573" s="138">
        <v>30</v>
      </c>
      <c r="E1573" s="138">
        <v>120</v>
      </c>
      <c r="F1573" s="139">
        <v>0.5</v>
      </c>
      <c r="H1573" t="str">
        <f t="shared" si="27"/>
        <v>15006150061793</v>
      </c>
    </row>
    <row r="1574" spans="1:8" ht="10.5" customHeight="1" x14ac:dyDescent="0.25">
      <c r="A1574" s="110" t="s">
        <v>4504</v>
      </c>
      <c r="B1574" s="125" t="s">
        <v>1337</v>
      </c>
      <c r="C1574" s="138">
        <v>0.67</v>
      </c>
      <c r="D1574" s="138">
        <v>40.200000000000003</v>
      </c>
      <c r="E1574" s="138">
        <v>89.552238805970148</v>
      </c>
      <c r="F1574" s="139">
        <v>0.67</v>
      </c>
      <c r="H1574" t="str">
        <f t="shared" si="27"/>
        <v>15006150061794</v>
      </c>
    </row>
    <row r="1575" spans="1:8" ht="10.5" customHeight="1" x14ac:dyDescent="0.25">
      <c r="A1575" s="110" t="s">
        <v>4505</v>
      </c>
      <c r="B1575" s="125" t="s">
        <v>1338</v>
      </c>
      <c r="C1575" s="138">
        <v>0.67</v>
      </c>
      <c r="D1575" s="138">
        <v>40.200000000000003</v>
      </c>
      <c r="E1575" s="138">
        <v>89.552238805970148</v>
      </c>
      <c r="F1575" s="139">
        <v>0.67</v>
      </c>
      <c r="H1575" t="str">
        <f t="shared" si="27"/>
        <v>15006150061795</v>
      </c>
    </row>
    <row r="1576" spans="1:8" ht="10.5" customHeight="1" x14ac:dyDescent="0.25">
      <c r="A1576" s="110" t="s">
        <v>4506</v>
      </c>
      <c r="B1576" s="125" t="s">
        <v>1339</v>
      </c>
      <c r="C1576" s="138">
        <v>0.57999999999999996</v>
      </c>
      <c r="D1576" s="138">
        <v>34.799999999999997</v>
      </c>
      <c r="E1576" s="138">
        <v>103.44827586206897</v>
      </c>
      <c r="F1576" s="139">
        <v>0.57999999999999996</v>
      </c>
      <c r="H1576" t="str">
        <f t="shared" si="27"/>
        <v>15006150061796</v>
      </c>
    </row>
    <row r="1577" spans="1:8" ht="10.5" customHeight="1" x14ac:dyDescent="0.25">
      <c r="A1577" s="110" t="s">
        <v>4507</v>
      </c>
      <c r="B1577" s="125" t="s">
        <v>1340</v>
      </c>
      <c r="C1577" s="138">
        <v>0.57999999999999996</v>
      </c>
      <c r="D1577" s="138">
        <v>34.799999999999997</v>
      </c>
      <c r="E1577" s="138">
        <v>103.44827586206897</v>
      </c>
      <c r="F1577" s="139">
        <v>0.57999999999999996</v>
      </c>
      <c r="H1577" t="str">
        <f t="shared" si="27"/>
        <v>15006150061797</v>
      </c>
    </row>
    <row r="1578" spans="1:8" ht="10.5" customHeight="1" x14ac:dyDescent="0.25">
      <c r="A1578" s="110" t="s">
        <v>4508</v>
      </c>
      <c r="B1578" s="125" t="s">
        <v>1341</v>
      </c>
      <c r="C1578" s="138">
        <v>0.5</v>
      </c>
      <c r="D1578" s="138">
        <v>30</v>
      </c>
      <c r="E1578" s="138">
        <v>120</v>
      </c>
      <c r="F1578" s="139">
        <v>0.5</v>
      </c>
      <c r="H1578" t="str">
        <f t="shared" si="27"/>
        <v>15006150061798</v>
      </c>
    </row>
    <row r="1579" spans="1:8" ht="10.5" customHeight="1" x14ac:dyDescent="0.25">
      <c r="A1579" s="110" t="s">
        <v>4509</v>
      </c>
      <c r="B1579" s="125" t="s">
        <v>1342</v>
      </c>
      <c r="C1579" s="138">
        <v>0.5</v>
      </c>
      <c r="D1579" s="138">
        <v>30</v>
      </c>
      <c r="E1579" s="138">
        <v>120</v>
      </c>
      <c r="F1579" s="139">
        <v>0.5</v>
      </c>
      <c r="H1579" t="str">
        <f t="shared" si="27"/>
        <v>15006150061799</v>
      </c>
    </row>
    <row r="1580" spans="1:8" ht="10.5" customHeight="1" x14ac:dyDescent="0.25">
      <c r="A1580" s="110" t="s">
        <v>4510</v>
      </c>
      <c r="B1580" s="125" t="s">
        <v>1343</v>
      </c>
      <c r="C1580" s="138">
        <v>0.5</v>
      </c>
      <c r="D1580" s="138">
        <v>30</v>
      </c>
      <c r="E1580" s="138">
        <v>120</v>
      </c>
      <c r="F1580" s="139">
        <v>0.5</v>
      </c>
      <c r="H1580" t="str">
        <f t="shared" si="27"/>
        <v>15006150061800</v>
      </c>
    </row>
    <row r="1581" spans="1:8" ht="10.5" customHeight="1" x14ac:dyDescent="0.25">
      <c r="A1581" s="110" t="s">
        <v>4510</v>
      </c>
      <c r="B1581" s="125" t="s">
        <v>1829</v>
      </c>
      <c r="C1581" s="138">
        <v>0.34</v>
      </c>
      <c r="D1581" s="138">
        <v>20.400000000000002</v>
      </c>
      <c r="E1581" s="138">
        <v>176.47058823529409</v>
      </c>
      <c r="F1581" s="139">
        <v>0.34</v>
      </c>
      <c r="H1581" t="str">
        <f t="shared" si="27"/>
        <v>15006150061800</v>
      </c>
    </row>
    <row r="1582" spans="1:8" ht="10.5" customHeight="1" x14ac:dyDescent="0.25">
      <c r="A1582" s="110" t="s">
        <v>4511</v>
      </c>
      <c r="B1582" s="125" t="s">
        <v>1344</v>
      </c>
      <c r="C1582" s="138">
        <v>0.5</v>
      </c>
      <c r="D1582" s="138">
        <v>30</v>
      </c>
      <c r="E1582" s="138">
        <v>120</v>
      </c>
      <c r="F1582" s="139">
        <v>0.5</v>
      </c>
      <c r="H1582" t="str">
        <f t="shared" si="27"/>
        <v>15006150061801</v>
      </c>
    </row>
    <row r="1583" spans="1:8" ht="10.5" customHeight="1" x14ac:dyDescent="0.25">
      <c r="A1583" s="110" t="s">
        <v>4512</v>
      </c>
      <c r="B1583" s="125" t="s">
        <v>1333</v>
      </c>
      <c r="C1583" s="138">
        <v>0.67</v>
      </c>
      <c r="D1583" s="138">
        <v>40.200000000000003</v>
      </c>
      <c r="E1583" s="138">
        <v>89.552238805970148</v>
      </c>
      <c r="F1583" s="139">
        <v>0.67</v>
      </c>
      <c r="H1583" t="str">
        <f t="shared" si="27"/>
        <v>15006150061802</v>
      </c>
    </row>
    <row r="1584" spans="1:8" ht="10.5" customHeight="1" x14ac:dyDescent="0.25">
      <c r="A1584" s="110" t="s">
        <v>4513</v>
      </c>
      <c r="B1584" s="125" t="s">
        <v>1345</v>
      </c>
      <c r="C1584" s="138">
        <v>0.67</v>
      </c>
      <c r="D1584" s="138">
        <v>40.200000000000003</v>
      </c>
      <c r="E1584" s="138">
        <v>89.552238805970148</v>
      </c>
      <c r="F1584" s="139">
        <v>0.67</v>
      </c>
      <c r="H1584" t="str">
        <f t="shared" si="27"/>
        <v>15006150061803</v>
      </c>
    </row>
    <row r="1585" spans="1:8" ht="10.5" customHeight="1" x14ac:dyDescent="0.25">
      <c r="A1585" s="110" t="s">
        <v>4514</v>
      </c>
      <c r="B1585" s="125" t="s">
        <v>1346</v>
      </c>
      <c r="C1585" s="138">
        <v>0.5</v>
      </c>
      <c r="D1585" s="138">
        <v>30</v>
      </c>
      <c r="E1585" s="138">
        <v>120</v>
      </c>
      <c r="F1585" s="139">
        <v>0.5</v>
      </c>
      <c r="H1585" t="str">
        <f t="shared" si="27"/>
        <v>15006150061804</v>
      </c>
    </row>
    <row r="1586" spans="1:8" ht="10.5" customHeight="1" x14ac:dyDescent="0.25">
      <c r="A1586" s="110" t="s">
        <v>4515</v>
      </c>
      <c r="B1586" s="125" t="s">
        <v>1347</v>
      </c>
      <c r="C1586" s="138">
        <v>0.5</v>
      </c>
      <c r="D1586" s="138">
        <v>30</v>
      </c>
      <c r="E1586" s="138">
        <v>120</v>
      </c>
      <c r="F1586" s="139">
        <v>0.5</v>
      </c>
      <c r="H1586" t="str">
        <f t="shared" si="27"/>
        <v>15006150061805</v>
      </c>
    </row>
    <row r="1587" spans="1:8" ht="10.5" customHeight="1" x14ac:dyDescent="0.25">
      <c r="A1587" s="110" t="s">
        <v>4515</v>
      </c>
      <c r="B1587" s="125" t="s">
        <v>1830</v>
      </c>
      <c r="C1587" s="138">
        <v>0.34</v>
      </c>
      <c r="D1587" s="138">
        <v>20.400000000000002</v>
      </c>
      <c r="E1587" s="138">
        <v>176.47058823529409</v>
      </c>
      <c r="F1587" s="139">
        <v>0.34</v>
      </c>
      <c r="H1587" t="str">
        <f t="shared" si="27"/>
        <v>15006150061805</v>
      </c>
    </row>
    <row r="1588" spans="1:8" ht="10.5" customHeight="1" x14ac:dyDescent="0.25">
      <c r="A1588" s="110" t="s">
        <v>4516</v>
      </c>
      <c r="B1588" s="125" t="s">
        <v>1348</v>
      </c>
      <c r="C1588" s="138">
        <v>0.67</v>
      </c>
      <c r="D1588" s="138">
        <v>40.200000000000003</v>
      </c>
      <c r="E1588" s="138">
        <v>89.552238805970148</v>
      </c>
      <c r="F1588" s="139">
        <v>0.67</v>
      </c>
      <c r="H1588" t="str">
        <f t="shared" si="27"/>
        <v>15006150061806</v>
      </c>
    </row>
    <row r="1589" spans="1:8" ht="10.5" customHeight="1" x14ac:dyDescent="0.25">
      <c r="A1589" s="110" t="s">
        <v>4517</v>
      </c>
      <c r="B1589" s="125" t="s">
        <v>1349</v>
      </c>
      <c r="C1589" s="138">
        <v>0.67</v>
      </c>
      <c r="D1589" s="138">
        <v>40.200000000000003</v>
      </c>
      <c r="E1589" s="138">
        <v>89.552238805970148</v>
      </c>
      <c r="F1589" s="139">
        <v>0.67</v>
      </c>
      <c r="H1589" t="str">
        <f t="shared" si="27"/>
        <v>15006150061807</v>
      </c>
    </row>
    <row r="1590" spans="1:8" ht="10.5" customHeight="1" x14ac:dyDescent="0.25">
      <c r="A1590" s="110" t="s">
        <v>4518</v>
      </c>
      <c r="B1590" s="125" t="s">
        <v>1350</v>
      </c>
      <c r="C1590" s="138">
        <v>0.57999999999999996</v>
      </c>
      <c r="D1590" s="138">
        <v>34.799999999999997</v>
      </c>
      <c r="E1590" s="138">
        <v>103.44827586206897</v>
      </c>
      <c r="F1590" s="139">
        <v>0.57999999999999996</v>
      </c>
      <c r="H1590" t="str">
        <f t="shared" si="27"/>
        <v>15006150061808</v>
      </c>
    </row>
    <row r="1591" spans="1:8" x14ac:dyDescent="0.25">
      <c r="A1591" s="110" t="s">
        <v>4519</v>
      </c>
      <c r="B1591" s="125" t="s">
        <v>1351</v>
      </c>
      <c r="C1591" s="138">
        <v>0.57999999999999996</v>
      </c>
      <c r="D1591" s="138">
        <v>34.799999999999997</v>
      </c>
      <c r="E1591" s="138">
        <v>103.44827586206897</v>
      </c>
      <c r="F1591" s="139">
        <v>0.57999999999999996</v>
      </c>
      <c r="H1591" t="str">
        <f t="shared" si="27"/>
        <v>15006150061809</v>
      </c>
    </row>
    <row r="1592" spans="1:8" x14ac:dyDescent="0.25">
      <c r="A1592" s="110" t="s">
        <v>4520</v>
      </c>
      <c r="B1592" s="125" t="s">
        <v>1350</v>
      </c>
      <c r="C1592" s="138">
        <v>0.5</v>
      </c>
      <c r="D1592" s="138">
        <v>30</v>
      </c>
      <c r="E1592" s="138">
        <v>120</v>
      </c>
      <c r="F1592" s="139">
        <v>0.5</v>
      </c>
      <c r="H1592" t="str">
        <f t="shared" si="27"/>
        <v>15006150061810</v>
      </c>
    </row>
    <row r="1593" spans="1:8" x14ac:dyDescent="0.25">
      <c r="A1593" s="110" t="s">
        <v>4521</v>
      </c>
      <c r="B1593" s="125" t="s">
        <v>1351</v>
      </c>
      <c r="C1593" s="138">
        <v>0.5</v>
      </c>
      <c r="D1593" s="138">
        <v>30</v>
      </c>
      <c r="E1593" s="138">
        <v>120</v>
      </c>
      <c r="F1593" s="139">
        <v>0.5</v>
      </c>
      <c r="H1593" t="str">
        <f t="shared" si="27"/>
        <v>15006150061811</v>
      </c>
    </row>
    <row r="1594" spans="1:8" x14ac:dyDescent="0.25">
      <c r="A1594" s="110" t="s">
        <v>4522</v>
      </c>
      <c r="B1594" s="125" t="s">
        <v>1352</v>
      </c>
      <c r="C1594" s="138">
        <v>0.85</v>
      </c>
      <c r="D1594" s="138">
        <v>51</v>
      </c>
      <c r="E1594" s="138">
        <v>70.588235294117652</v>
      </c>
      <c r="F1594" s="139">
        <v>0.85</v>
      </c>
      <c r="H1594" t="str">
        <f t="shared" si="27"/>
        <v>15006150061812</v>
      </c>
    </row>
    <row r="1595" spans="1:8" x14ac:dyDescent="0.25">
      <c r="A1595" s="110" t="s">
        <v>4523</v>
      </c>
      <c r="B1595" s="125" t="s">
        <v>1353</v>
      </c>
      <c r="C1595" s="138">
        <v>0.85</v>
      </c>
      <c r="D1595" s="138">
        <v>51</v>
      </c>
      <c r="E1595" s="138">
        <v>70.588235294117652</v>
      </c>
      <c r="F1595" s="139">
        <v>0.85</v>
      </c>
      <c r="H1595" t="str">
        <f t="shared" si="27"/>
        <v>15006150061813</v>
      </c>
    </row>
    <row r="1596" spans="1:8" x14ac:dyDescent="0.25">
      <c r="A1596" s="110" t="s">
        <v>4524</v>
      </c>
      <c r="B1596" s="125" t="s">
        <v>1354</v>
      </c>
      <c r="C1596" s="138">
        <v>1</v>
      </c>
      <c r="D1596" s="138">
        <v>60</v>
      </c>
      <c r="E1596" s="138">
        <v>60</v>
      </c>
      <c r="F1596" s="139">
        <v>1</v>
      </c>
      <c r="H1596" t="str">
        <f t="shared" si="27"/>
        <v>15006150061814</v>
      </c>
    </row>
    <row r="1597" spans="1:8" x14ac:dyDescent="0.25">
      <c r="A1597" s="110" t="s">
        <v>4525</v>
      </c>
      <c r="B1597" s="125" t="s">
        <v>1355</v>
      </c>
      <c r="C1597" s="138">
        <v>1</v>
      </c>
      <c r="D1597" s="138">
        <v>60</v>
      </c>
      <c r="E1597" s="138">
        <v>60</v>
      </c>
      <c r="F1597" s="139">
        <v>1</v>
      </c>
      <c r="H1597" t="str">
        <f t="shared" si="27"/>
        <v>15006150061815</v>
      </c>
    </row>
    <row r="1598" spans="1:8" x14ac:dyDescent="0.25">
      <c r="A1598" s="110" t="s">
        <v>4526</v>
      </c>
      <c r="B1598" s="125" t="s">
        <v>1356</v>
      </c>
      <c r="C1598" s="138">
        <v>0.57999999999999996</v>
      </c>
      <c r="D1598" s="138">
        <v>34.799999999999997</v>
      </c>
      <c r="E1598" s="138">
        <v>103.44827586206897</v>
      </c>
      <c r="F1598" s="139">
        <v>0.57999999999999996</v>
      </c>
      <c r="H1598" t="str">
        <f t="shared" si="27"/>
        <v>15006150061816</v>
      </c>
    </row>
    <row r="1599" spans="1:8" x14ac:dyDescent="0.25">
      <c r="A1599" s="110" t="s">
        <v>4527</v>
      </c>
      <c r="B1599" s="125" t="s">
        <v>1357</v>
      </c>
      <c r="C1599" s="138">
        <v>0.57999999999999996</v>
      </c>
      <c r="D1599" s="138">
        <v>34.799999999999997</v>
      </c>
      <c r="E1599" s="138">
        <v>103.44827586206897</v>
      </c>
      <c r="F1599" s="139">
        <v>0.57999999999999996</v>
      </c>
      <c r="H1599" t="str">
        <f t="shared" si="27"/>
        <v>15006150061817</v>
      </c>
    </row>
    <row r="1600" spans="1:8" x14ac:dyDescent="0.25">
      <c r="A1600" s="110" t="s">
        <v>4528</v>
      </c>
      <c r="B1600" s="125" t="s">
        <v>1358</v>
      </c>
      <c r="C1600" s="138">
        <v>0.67</v>
      </c>
      <c r="D1600" s="138">
        <v>40.200000000000003</v>
      </c>
      <c r="E1600" s="138">
        <v>89.552238805970148</v>
      </c>
      <c r="F1600" s="139">
        <v>0.67</v>
      </c>
      <c r="H1600" t="str">
        <f t="shared" si="27"/>
        <v>15006150061818</v>
      </c>
    </row>
    <row r="1601" spans="1:8" x14ac:dyDescent="0.25">
      <c r="A1601" s="110" t="s">
        <v>4529</v>
      </c>
      <c r="B1601" s="125" t="s">
        <v>1359</v>
      </c>
      <c r="C1601" s="138">
        <v>0.67</v>
      </c>
      <c r="D1601" s="138">
        <v>40.200000000000003</v>
      </c>
      <c r="E1601" s="138">
        <v>89.552238805970148</v>
      </c>
      <c r="F1601" s="139">
        <v>0.67</v>
      </c>
      <c r="H1601" t="str">
        <f t="shared" si="27"/>
        <v>15006150061819</v>
      </c>
    </row>
    <row r="1602" spans="1:8" x14ac:dyDescent="0.25">
      <c r="A1602" s="110" t="s">
        <v>4530</v>
      </c>
      <c r="B1602" s="125" t="s">
        <v>1360</v>
      </c>
      <c r="C1602" s="138">
        <v>0.5</v>
      </c>
      <c r="D1602" s="138">
        <v>30</v>
      </c>
      <c r="E1602" s="138">
        <v>120</v>
      </c>
      <c r="F1602" s="139">
        <v>0.5</v>
      </c>
      <c r="H1602" t="str">
        <f t="shared" si="27"/>
        <v>15006150061820</v>
      </c>
    </row>
    <row r="1603" spans="1:8" x14ac:dyDescent="0.25">
      <c r="A1603" s="110" t="s">
        <v>4530</v>
      </c>
      <c r="B1603" s="125" t="s">
        <v>1831</v>
      </c>
      <c r="C1603" s="138">
        <v>1.1100000000000001</v>
      </c>
      <c r="D1603" s="138">
        <v>66.600000000000009</v>
      </c>
      <c r="E1603" s="138">
        <v>54.054054054054049</v>
      </c>
      <c r="F1603" s="139">
        <v>1.1100000000000001</v>
      </c>
      <c r="H1603" t="str">
        <f t="shared" si="27"/>
        <v>15006150061820</v>
      </c>
    </row>
    <row r="1604" spans="1:8" x14ac:dyDescent="0.25">
      <c r="A1604" s="110" t="s">
        <v>4531</v>
      </c>
      <c r="B1604" s="125" t="s">
        <v>1361</v>
      </c>
      <c r="C1604" s="138">
        <v>0.5</v>
      </c>
      <c r="D1604" s="138">
        <v>30</v>
      </c>
      <c r="E1604" s="138">
        <v>120</v>
      </c>
      <c r="F1604" s="139">
        <v>0.5</v>
      </c>
      <c r="H1604" t="str">
        <f t="shared" ref="H1604:H1667" si="28">CONCATENATE($G$835,A1604)</f>
        <v>15006150061821</v>
      </c>
    </row>
    <row r="1605" spans="1:8" x14ac:dyDescent="0.25">
      <c r="A1605" s="110" t="s">
        <v>4532</v>
      </c>
      <c r="B1605" s="125" t="s">
        <v>1362</v>
      </c>
      <c r="C1605" s="138">
        <v>0.57999999999999996</v>
      </c>
      <c r="D1605" s="138">
        <v>34.799999999999997</v>
      </c>
      <c r="E1605" s="138">
        <v>103.44827586206897</v>
      </c>
      <c r="F1605" s="139">
        <v>0.57999999999999996</v>
      </c>
      <c r="H1605" t="str">
        <f t="shared" si="28"/>
        <v>15006150061822</v>
      </c>
    </row>
    <row r="1606" spans="1:8" x14ac:dyDescent="0.25">
      <c r="A1606" s="110" t="s">
        <v>4533</v>
      </c>
      <c r="B1606" s="125" t="s">
        <v>1363</v>
      </c>
      <c r="C1606" s="138">
        <v>0.57999999999999996</v>
      </c>
      <c r="D1606" s="138">
        <v>34.799999999999997</v>
      </c>
      <c r="E1606" s="138">
        <v>103.44827586206897</v>
      </c>
      <c r="F1606" s="139">
        <v>0.57999999999999996</v>
      </c>
      <c r="H1606" t="str">
        <f t="shared" si="28"/>
        <v>15006150061823</v>
      </c>
    </row>
    <row r="1607" spans="1:8" x14ac:dyDescent="0.25">
      <c r="A1607" s="110" t="s">
        <v>4534</v>
      </c>
      <c r="B1607" s="125" t="s">
        <v>1364</v>
      </c>
      <c r="C1607" s="138">
        <v>0.57999999999999996</v>
      </c>
      <c r="D1607" s="138">
        <v>34.799999999999997</v>
      </c>
      <c r="E1607" s="138">
        <v>103.44827586206897</v>
      </c>
      <c r="F1607" s="139">
        <v>0.57999999999999996</v>
      </c>
      <c r="H1607" t="str">
        <f t="shared" si="28"/>
        <v>15006150061824</v>
      </c>
    </row>
    <row r="1608" spans="1:8" x14ac:dyDescent="0.25">
      <c r="A1608" s="110" t="s">
        <v>4535</v>
      </c>
      <c r="B1608" s="125" t="s">
        <v>1365</v>
      </c>
      <c r="C1608" s="138">
        <v>0.57999999999999996</v>
      </c>
      <c r="D1608" s="138">
        <v>34.799999999999997</v>
      </c>
      <c r="E1608" s="138">
        <v>103.44827586206897</v>
      </c>
      <c r="F1608" s="139">
        <v>0.57999999999999996</v>
      </c>
      <c r="H1608" t="str">
        <f t="shared" si="28"/>
        <v>15006150061825</v>
      </c>
    </row>
    <row r="1609" spans="1:8" x14ac:dyDescent="0.25">
      <c r="A1609" s="110" t="s">
        <v>4535</v>
      </c>
      <c r="B1609" s="125" t="s">
        <v>1832</v>
      </c>
      <c r="C1609" s="138">
        <v>1.1100000000000001</v>
      </c>
      <c r="D1609" s="138">
        <v>66.600000000000009</v>
      </c>
      <c r="E1609" s="138">
        <v>54.054054054054049</v>
      </c>
      <c r="F1609" s="139">
        <v>1.1100000000000001</v>
      </c>
      <c r="H1609" t="str">
        <f t="shared" si="28"/>
        <v>15006150061825</v>
      </c>
    </row>
    <row r="1610" spans="1:8" x14ac:dyDescent="0.25">
      <c r="A1610" s="110" t="s">
        <v>4536</v>
      </c>
      <c r="B1610" s="125" t="s">
        <v>1366</v>
      </c>
      <c r="C1610" s="138">
        <v>0.5</v>
      </c>
      <c r="D1610" s="138">
        <v>30</v>
      </c>
      <c r="E1610" s="138">
        <v>120</v>
      </c>
      <c r="F1610" s="139">
        <v>0.5</v>
      </c>
      <c r="H1610" t="str">
        <f t="shared" si="28"/>
        <v>15006150061826</v>
      </c>
    </row>
    <row r="1611" spans="1:8" x14ac:dyDescent="0.25">
      <c r="A1611" s="110" t="s">
        <v>4537</v>
      </c>
      <c r="B1611" s="125" t="s">
        <v>1367</v>
      </c>
      <c r="C1611" s="138">
        <v>0.5</v>
      </c>
      <c r="D1611" s="138">
        <v>30</v>
      </c>
      <c r="E1611" s="138">
        <v>120</v>
      </c>
      <c r="F1611" s="139">
        <v>0.5</v>
      </c>
      <c r="H1611" t="str">
        <f t="shared" si="28"/>
        <v>15006150061827</v>
      </c>
    </row>
    <row r="1612" spans="1:8" x14ac:dyDescent="0.25">
      <c r="A1612" s="110" t="s">
        <v>4538</v>
      </c>
      <c r="B1612" s="125" t="s">
        <v>665</v>
      </c>
      <c r="C1612" s="138">
        <v>0.25</v>
      </c>
      <c r="D1612" s="138">
        <v>15</v>
      </c>
      <c r="E1612" s="138">
        <v>240</v>
      </c>
      <c r="F1612" s="139">
        <v>0.25</v>
      </c>
      <c r="H1612" t="str">
        <f t="shared" si="28"/>
        <v>15006150061828</v>
      </c>
    </row>
    <row r="1613" spans="1:8" x14ac:dyDescent="0.25">
      <c r="A1613" s="110" t="s">
        <v>4539</v>
      </c>
      <c r="B1613" s="125" t="s">
        <v>666</v>
      </c>
      <c r="C1613" s="138">
        <v>0.25</v>
      </c>
      <c r="D1613" s="138">
        <v>15</v>
      </c>
      <c r="E1613" s="138">
        <v>240</v>
      </c>
      <c r="F1613" s="139">
        <v>0.25</v>
      </c>
      <c r="H1613" t="str">
        <f t="shared" si="28"/>
        <v>15006150061829</v>
      </c>
    </row>
    <row r="1614" spans="1:8" x14ac:dyDescent="0.25">
      <c r="A1614" s="110" t="s">
        <v>4540</v>
      </c>
      <c r="B1614" s="125" t="s">
        <v>667</v>
      </c>
      <c r="C1614" s="138">
        <v>0.25</v>
      </c>
      <c r="D1614" s="138">
        <v>15</v>
      </c>
      <c r="E1614" s="138">
        <v>240</v>
      </c>
      <c r="F1614" s="139">
        <v>0.25</v>
      </c>
      <c r="H1614" t="str">
        <f t="shared" si="28"/>
        <v>15006150061830</v>
      </c>
    </row>
    <row r="1615" spans="1:8" x14ac:dyDescent="0.25">
      <c r="A1615" s="110" t="s">
        <v>4541</v>
      </c>
      <c r="B1615" s="125" t="s">
        <v>668</v>
      </c>
      <c r="C1615" s="138">
        <v>0.15</v>
      </c>
      <c r="D1615" s="138">
        <v>9</v>
      </c>
      <c r="E1615" s="138">
        <v>400</v>
      </c>
      <c r="F1615" s="139">
        <v>0.15</v>
      </c>
      <c r="H1615" t="str">
        <f t="shared" si="28"/>
        <v>15006150061831</v>
      </c>
    </row>
    <row r="1616" spans="1:8" x14ac:dyDescent="0.25">
      <c r="A1616" s="110" t="s">
        <v>4542</v>
      </c>
      <c r="B1616" s="125" t="s">
        <v>669</v>
      </c>
      <c r="C1616" s="138">
        <v>0.15</v>
      </c>
      <c r="D1616" s="138">
        <v>9</v>
      </c>
      <c r="E1616" s="138">
        <v>400</v>
      </c>
      <c r="F1616" s="139">
        <v>0.15</v>
      </c>
      <c r="H1616" t="str">
        <f t="shared" si="28"/>
        <v>15006150061832</v>
      </c>
    </row>
    <row r="1617" spans="1:8" x14ac:dyDescent="0.25">
      <c r="A1617" s="110" t="s">
        <v>4543</v>
      </c>
      <c r="B1617" s="125" t="s">
        <v>670</v>
      </c>
      <c r="C1617" s="138">
        <v>0.25</v>
      </c>
      <c r="D1617" s="138">
        <v>15</v>
      </c>
      <c r="E1617" s="138">
        <v>240</v>
      </c>
      <c r="F1617" s="139">
        <v>0.25</v>
      </c>
      <c r="H1617" t="str">
        <f t="shared" si="28"/>
        <v>15006150061833</v>
      </c>
    </row>
    <row r="1618" spans="1:8" x14ac:dyDescent="0.25">
      <c r="A1618" s="110" t="s">
        <v>4544</v>
      </c>
      <c r="B1618" s="125" t="s">
        <v>671</v>
      </c>
      <c r="C1618" s="138">
        <v>0.2</v>
      </c>
      <c r="D1618" s="138">
        <v>12</v>
      </c>
      <c r="E1618" s="138">
        <v>300</v>
      </c>
      <c r="F1618" s="139">
        <v>0.2</v>
      </c>
      <c r="H1618" t="str">
        <f t="shared" si="28"/>
        <v>15006150061834</v>
      </c>
    </row>
    <row r="1619" spans="1:8" x14ac:dyDescent="0.25">
      <c r="A1619" s="110" t="s">
        <v>4545</v>
      </c>
      <c r="B1619" s="125" t="s">
        <v>672</v>
      </c>
      <c r="C1619" s="138">
        <v>0.2</v>
      </c>
      <c r="D1619" s="138">
        <v>12</v>
      </c>
      <c r="E1619" s="138">
        <v>300</v>
      </c>
      <c r="F1619" s="139">
        <v>0.2</v>
      </c>
      <c r="H1619" t="str">
        <f t="shared" si="28"/>
        <v>15006150061835</v>
      </c>
    </row>
    <row r="1620" spans="1:8" x14ac:dyDescent="0.25">
      <c r="A1620" s="110" t="s">
        <v>4546</v>
      </c>
      <c r="B1620" s="125" t="s">
        <v>673</v>
      </c>
      <c r="C1620" s="138">
        <v>0.25</v>
      </c>
      <c r="D1620" s="138">
        <v>15</v>
      </c>
      <c r="E1620" s="138">
        <v>240</v>
      </c>
      <c r="F1620" s="139">
        <v>0.25</v>
      </c>
      <c r="H1620" t="str">
        <f t="shared" si="28"/>
        <v>15006150061836</v>
      </c>
    </row>
    <row r="1621" spans="1:8" x14ac:dyDescent="0.25">
      <c r="A1621" s="110" t="s">
        <v>4547</v>
      </c>
      <c r="B1621" s="125" t="s">
        <v>674</v>
      </c>
      <c r="C1621" s="138">
        <v>0.25</v>
      </c>
      <c r="D1621" s="138">
        <v>15</v>
      </c>
      <c r="E1621" s="138">
        <v>240</v>
      </c>
      <c r="F1621" s="139">
        <v>0.25</v>
      </c>
      <c r="H1621" t="str">
        <f t="shared" si="28"/>
        <v>15006150061837</v>
      </c>
    </row>
    <row r="1622" spans="1:8" x14ac:dyDescent="0.25">
      <c r="A1622" s="110" t="s">
        <v>4548</v>
      </c>
      <c r="B1622" s="125" t="s">
        <v>675</v>
      </c>
      <c r="C1622" s="138">
        <v>0.15</v>
      </c>
      <c r="D1622" s="138">
        <v>9</v>
      </c>
      <c r="E1622" s="138">
        <v>400</v>
      </c>
      <c r="F1622" s="139">
        <v>0.15</v>
      </c>
      <c r="H1622" t="str">
        <f t="shared" si="28"/>
        <v>15006150061838</v>
      </c>
    </row>
    <row r="1623" spans="1:8" x14ac:dyDescent="0.25">
      <c r="A1623" s="110" t="s">
        <v>4549</v>
      </c>
      <c r="B1623" s="125" t="s">
        <v>676</v>
      </c>
      <c r="C1623" s="138">
        <v>0.25</v>
      </c>
      <c r="D1623" s="138">
        <v>15</v>
      </c>
      <c r="E1623" s="138">
        <v>240</v>
      </c>
      <c r="F1623" s="139">
        <v>0.25</v>
      </c>
      <c r="H1623" t="str">
        <f t="shared" si="28"/>
        <v>15006150061839</v>
      </c>
    </row>
    <row r="1624" spans="1:8" x14ac:dyDescent="0.25">
      <c r="A1624" s="110" t="s">
        <v>4550</v>
      </c>
      <c r="B1624" s="125" t="s">
        <v>677</v>
      </c>
      <c r="C1624" s="138">
        <v>0.25</v>
      </c>
      <c r="D1624" s="138">
        <v>15</v>
      </c>
      <c r="E1624" s="138">
        <v>240</v>
      </c>
      <c r="F1624" s="139">
        <v>0.25</v>
      </c>
      <c r="H1624" t="str">
        <f t="shared" si="28"/>
        <v>15006150061840</v>
      </c>
    </row>
    <row r="1625" spans="1:8" x14ac:dyDescent="0.25">
      <c r="A1625" s="110" t="s">
        <v>4551</v>
      </c>
      <c r="B1625" s="125" t="s">
        <v>678</v>
      </c>
      <c r="C1625" s="138">
        <v>0.25</v>
      </c>
      <c r="D1625" s="138">
        <v>15</v>
      </c>
      <c r="E1625" s="138">
        <v>240</v>
      </c>
      <c r="F1625" s="139">
        <v>0.25</v>
      </c>
      <c r="H1625" t="str">
        <f t="shared" si="28"/>
        <v>15006150061841</v>
      </c>
    </row>
    <row r="1626" spans="1:8" x14ac:dyDescent="0.25">
      <c r="A1626" s="110" t="s">
        <v>4552</v>
      </c>
      <c r="B1626" s="125" t="s">
        <v>679</v>
      </c>
      <c r="C1626" s="138">
        <v>0.25</v>
      </c>
      <c r="D1626" s="138">
        <v>15</v>
      </c>
      <c r="E1626" s="138">
        <v>240</v>
      </c>
      <c r="F1626" s="139">
        <v>0.25</v>
      </c>
      <c r="H1626" t="str">
        <f t="shared" si="28"/>
        <v>15006150061842</v>
      </c>
    </row>
    <row r="1627" spans="1:8" x14ac:dyDescent="0.25">
      <c r="A1627" s="110" t="s">
        <v>4553</v>
      </c>
      <c r="B1627" s="125" t="s">
        <v>680</v>
      </c>
      <c r="C1627" s="138">
        <v>0.25</v>
      </c>
      <c r="D1627" s="138">
        <v>15</v>
      </c>
      <c r="E1627" s="138">
        <v>240</v>
      </c>
      <c r="F1627" s="139">
        <v>0.25</v>
      </c>
      <c r="H1627" t="str">
        <f t="shared" si="28"/>
        <v>15006150061843</v>
      </c>
    </row>
    <row r="1628" spans="1:8" x14ac:dyDescent="0.25">
      <c r="A1628" s="110" t="s">
        <v>4554</v>
      </c>
      <c r="B1628" s="125" t="s">
        <v>681</v>
      </c>
      <c r="C1628" s="138">
        <v>0.25</v>
      </c>
      <c r="D1628" s="138">
        <v>15</v>
      </c>
      <c r="E1628" s="138">
        <v>240</v>
      </c>
      <c r="F1628" s="139">
        <v>0.25</v>
      </c>
      <c r="H1628" t="str">
        <f t="shared" si="28"/>
        <v>15006150061844</v>
      </c>
    </row>
    <row r="1629" spans="1:8" x14ac:dyDescent="0.25">
      <c r="A1629" s="110" t="s">
        <v>4555</v>
      </c>
      <c r="B1629" s="125" t="s">
        <v>682</v>
      </c>
      <c r="C1629" s="138">
        <v>0.25</v>
      </c>
      <c r="D1629" s="138">
        <v>15</v>
      </c>
      <c r="E1629" s="138">
        <v>240</v>
      </c>
      <c r="F1629" s="139">
        <v>0.25</v>
      </c>
      <c r="H1629" t="str">
        <f t="shared" si="28"/>
        <v>15006150061845</v>
      </c>
    </row>
    <row r="1630" spans="1:8" x14ac:dyDescent="0.25">
      <c r="A1630" s="110" t="s">
        <v>4556</v>
      </c>
      <c r="B1630" s="125" t="s">
        <v>683</v>
      </c>
      <c r="C1630" s="138">
        <v>0.5</v>
      </c>
      <c r="D1630" s="138">
        <v>30</v>
      </c>
      <c r="E1630" s="138">
        <v>120</v>
      </c>
      <c r="F1630" s="139">
        <v>0.5</v>
      </c>
      <c r="H1630" t="str">
        <f t="shared" si="28"/>
        <v>15006150061846</v>
      </c>
    </row>
    <row r="1631" spans="1:8" x14ac:dyDescent="0.25">
      <c r="A1631" s="110" t="s">
        <v>4557</v>
      </c>
      <c r="B1631" s="125" t="s">
        <v>684</v>
      </c>
      <c r="C1631" s="138">
        <v>0.5</v>
      </c>
      <c r="D1631" s="138">
        <v>30</v>
      </c>
      <c r="E1631" s="138">
        <v>120</v>
      </c>
      <c r="F1631" s="139">
        <v>0.5</v>
      </c>
      <c r="H1631" t="str">
        <f t="shared" si="28"/>
        <v>15006150061847</v>
      </c>
    </row>
    <row r="1632" spans="1:8" x14ac:dyDescent="0.25">
      <c r="A1632" s="110" t="s">
        <v>4558</v>
      </c>
      <c r="B1632" s="125" t="s">
        <v>685</v>
      </c>
      <c r="C1632" s="138">
        <v>0.33</v>
      </c>
      <c r="D1632" s="138">
        <v>19.8</v>
      </c>
      <c r="E1632" s="138">
        <v>181.81818181818181</v>
      </c>
      <c r="F1632" s="139">
        <v>0.33</v>
      </c>
      <c r="H1632" t="str">
        <f t="shared" si="28"/>
        <v>15006150061848</v>
      </c>
    </row>
    <row r="1633" spans="1:8" x14ac:dyDescent="0.25">
      <c r="A1633" s="110" t="s">
        <v>4559</v>
      </c>
      <c r="B1633" s="125" t="s">
        <v>1369</v>
      </c>
      <c r="C1633" s="138">
        <v>0.5</v>
      </c>
      <c r="D1633" s="138">
        <v>30</v>
      </c>
      <c r="E1633" s="138">
        <v>120</v>
      </c>
      <c r="F1633" s="139">
        <v>0.5</v>
      </c>
      <c r="H1633" t="str">
        <f t="shared" si="28"/>
        <v>15006150061849</v>
      </c>
    </row>
    <row r="1634" spans="1:8" x14ac:dyDescent="0.25">
      <c r="A1634" s="110" t="s">
        <v>4560</v>
      </c>
      <c r="B1634" s="125" t="s">
        <v>686</v>
      </c>
      <c r="C1634" s="138">
        <v>0.5</v>
      </c>
      <c r="D1634" s="138">
        <v>30</v>
      </c>
      <c r="E1634" s="138">
        <v>120</v>
      </c>
      <c r="F1634" s="139">
        <v>0.5</v>
      </c>
      <c r="H1634" t="str">
        <f t="shared" si="28"/>
        <v>15006150061850</v>
      </c>
    </row>
    <row r="1635" spans="1:8" x14ac:dyDescent="0.25">
      <c r="A1635" s="110" t="s">
        <v>4561</v>
      </c>
      <c r="B1635" s="125" t="s">
        <v>687</v>
      </c>
      <c r="C1635" s="138">
        <v>0.33</v>
      </c>
      <c r="D1635" s="138">
        <v>19.8</v>
      </c>
      <c r="E1635" s="138">
        <v>181.81818181818181</v>
      </c>
      <c r="F1635" s="139">
        <v>0.33</v>
      </c>
      <c r="H1635" t="str">
        <f t="shared" si="28"/>
        <v>15006150061851</v>
      </c>
    </row>
    <row r="1636" spans="1:8" x14ac:dyDescent="0.25">
      <c r="A1636" s="110" t="s">
        <v>4562</v>
      </c>
      <c r="B1636" s="125" t="s">
        <v>688</v>
      </c>
      <c r="C1636" s="138">
        <v>0.25</v>
      </c>
      <c r="D1636" s="138">
        <v>15</v>
      </c>
      <c r="E1636" s="138">
        <v>240</v>
      </c>
      <c r="F1636" s="139">
        <v>0.25</v>
      </c>
      <c r="H1636" t="str">
        <f t="shared" si="28"/>
        <v>15006150061852</v>
      </c>
    </row>
    <row r="1637" spans="1:8" x14ac:dyDescent="0.25">
      <c r="A1637" s="110" t="s">
        <v>4563</v>
      </c>
      <c r="B1637" s="125" t="s">
        <v>689</v>
      </c>
      <c r="C1637" s="138">
        <v>0.25</v>
      </c>
      <c r="D1637" s="138">
        <v>15</v>
      </c>
      <c r="E1637" s="138">
        <v>240</v>
      </c>
      <c r="F1637" s="139">
        <v>0.25</v>
      </c>
      <c r="H1637" t="str">
        <f t="shared" si="28"/>
        <v>15006150061853</v>
      </c>
    </row>
    <row r="1638" spans="1:8" x14ac:dyDescent="0.25">
      <c r="A1638" s="110" t="s">
        <v>4564</v>
      </c>
      <c r="B1638" s="125" t="s">
        <v>690</v>
      </c>
      <c r="C1638" s="138">
        <v>0.5</v>
      </c>
      <c r="D1638" s="138">
        <v>30</v>
      </c>
      <c r="E1638" s="138">
        <v>120</v>
      </c>
      <c r="F1638" s="139">
        <v>0.5</v>
      </c>
      <c r="H1638" t="str">
        <f t="shared" si="28"/>
        <v>15006150061854</v>
      </c>
    </row>
    <row r="1639" spans="1:8" x14ac:dyDescent="0.25">
      <c r="A1639" s="110" t="s">
        <v>4565</v>
      </c>
      <c r="B1639" s="125" t="s">
        <v>691</v>
      </c>
      <c r="C1639" s="138">
        <v>0.25</v>
      </c>
      <c r="D1639" s="138">
        <v>15</v>
      </c>
      <c r="E1639" s="138">
        <v>240</v>
      </c>
      <c r="F1639" s="139">
        <v>0.25</v>
      </c>
      <c r="H1639" t="str">
        <f t="shared" si="28"/>
        <v>15006150061855</v>
      </c>
    </row>
    <row r="1640" spans="1:8" x14ac:dyDescent="0.25">
      <c r="A1640" s="110" t="s">
        <v>4566</v>
      </c>
      <c r="B1640" s="125" t="s">
        <v>692</v>
      </c>
      <c r="C1640" s="138">
        <v>0.25</v>
      </c>
      <c r="D1640" s="138">
        <v>15</v>
      </c>
      <c r="E1640" s="138">
        <v>240</v>
      </c>
      <c r="F1640" s="139">
        <v>0.25</v>
      </c>
      <c r="H1640" t="str">
        <f t="shared" si="28"/>
        <v>15006150061856</v>
      </c>
    </row>
    <row r="1641" spans="1:8" x14ac:dyDescent="0.25">
      <c r="A1641" s="110" t="s">
        <v>4567</v>
      </c>
      <c r="B1641" s="125" t="s">
        <v>693</v>
      </c>
      <c r="C1641" s="138">
        <v>0.2</v>
      </c>
      <c r="D1641" s="138">
        <v>12</v>
      </c>
      <c r="E1641" s="138">
        <v>300</v>
      </c>
      <c r="F1641" s="139">
        <v>0.2</v>
      </c>
      <c r="H1641" t="str">
        <f t="shared" si="28"/>
        <v>15006150061857</v>
      </c>
    </row>
    <row r="1642" spans="1:8" x14ac:dyDescent="0.25">
      <c r="A1642" s="110" t="s">
        <v>4568</v>
      </c>
      <c r="B1642" s="125" t="s">
        <v>694</v>
      </c>
      <c r="C1642" s="138">
        <v>0.5</v>
      </c>
      <c r="D1642" s="138">
        <v>30</v>
      </c>
      <c r="E1642" s="138">
        <v>120</v>
      </c>
      <c r="F1642" s="139">
        <v>0.5</v>
      </c>
      <c r="H1642" t="str">
        <f t="shared" si="28"/>
        <v>15006150061858</v>
      </c>
    </row>
    <row r="1643" spans="1:8" x14ac:dyDescent="0.25">
      <c r="A1643" s="110" t="s">
        <v>4569</v>
      </c>
      <c r="B1643" s="125" t="s">
        <v>695</v>
      </c>
      <c r="C1643" s="138">
        <v>0.5</v>
      </c>
      <c r="D1643" s="138">
        <v>30</v>
      </c>
      <c r="E1643" s="138">
        <v>120</v>
      </c>
      <c r="F1643" s="139">
        <v>0.5</v>
      </c>
      <c r="H1643" t="str">
        <f t="shared" si="28"/>
        <v>15006150061859</v>
      </c>
    </row>
    <row r="1644" spans="1:8" x14ac:dyDescent="0.25">
      <c r="A1644" s="110" t="s">
        <v>4570</v>
      </c>
      <c r="B1644" s="125" t="s">
        <v>696</v>
      </c>
      <c r="C1644" s="138">
        <v>0.5</v>
      </c>
      <c r="D1644" s="138">
        <v>30</v>
      </c>
      <c r="E1644" s="138">
        <v>120</v>
      </c>
      <c r="F1644" s="139">
        <v>0.5</v>
      </c>
      <c r="H1644" t="str">
        <f t="shared" si="28"/>
        <v>15006150061860</v>
      </c>
    </row>
    <row r="1645" spans="1:8" x14ac:dyDescent="0.25">
      <c r="A1645" s="110" t="s">
        <v>4571</v>
      </c>
      <c r="B1645" s="125" t="s">
        <v>697</v>
      </c>
      <c r="C1645" s="138">
        <v>0.5</v>
      </c>
      <c r="D1645" s="138">
        <v>30</v>
      </c>
      <c r="E1645" s="138">
        <v>120</v>
      </c>
      <c r="F1645" s="139">
        <v>0.5</v>
      </c>
      <c r="H1645" t="str">
        <f t="shared" si="28"/>
        <v>15006150061861</v>
      </c>
    </row>
    <row r="1646" spans="1:8" x14ac:dyDescent="0.25">
      <c r="A1646" s="110" t="s">
        <v>4572</v>
      </c>
      <c r="B1646" s="125" t="s">
        <v>698</v>
      </c>
      <c r="C1646" s="138">
        <v>0.5</v>
      </c>
      <c r="D1646" s="138">
        <v>30</v>
      </c>
      <c r="E1646" s="138">
        <v>120</v>
      </c>
      <c r="F1646" s="139">
        <v>0.5</v>
      </c>
      <c r="H1646" t="str">
        <f t="shared" si="28"/>
        <v>15006150061862</v>
      </c>
    </row>
    <row r="1647" spans="1:8" x14ac:dyDescent="0.25">
      <c r="A1647" s="110" t="s">
        <v>4573</v>
      </c>
      <c r="B1647" s="125" t="s">
        <v>699</v>
      </c>
      <c r="C1647" s="138">
        <v>0.55000000000000004</v>
      </c>
      <c r="D1647" s="138">
        <v>33</v>
      </c>
      <c r="E1647" s="138">
        <v>109.09090909090909</v>
      </c>
      <c r="F1647" s="139">
        <v>0.55000000000000004</v>
      </c>
      <c r="H1647" t="str">
        <f t="shared" si="28"/>
        <v>15006150061863</v>
      </c>
    </row>
    <row r="1648" spans="1:8" x14ac:dyDescent="0.25">
      <c r="A1648" s="110" t="s">
        <v>4574</v>
      </c>
      <c r="B1648" s="125" t="s">
        <v>700</v>
      </c>
      <c r="C1648" s="138">
        <v>0.5</v>
      </c>
      <c r="D1648" s="138">
        <v>30</v>
      </c>
      <c r="E1648" s="138">
        <v>120</v>
      </c>
      <c r="F1648" s="139">
        <v>0.5</v>
      </c>
      <c r="H1648" t="str">
        <f t="shared" si="28"/>
        <v>15006150061864</v>
      </c>
    </row>
    <row r="1649" spans="1:8" x14ac:dyDescent="0.25">
      <c r="A1649" s="110" t="s">
        <v>4575</v>
      </c>
      <c r="B1649" s="125" t="s">
        <v>701</v>
      </c>
      <c r="C1649" s="138">
        <v>0.55000000000000004</v>
      </c>
      <c r="D1649" s="138">
        <v>33</v>
      </c>
      <c r="E1649" s="138">
        <v>109.09090909090909</v>
      </c>
      <c r="F1649" s="139">
        <v>0.55000000000000004</v>
      </c>
      <c r="H1649" t="str">
        <f t="shared" si="28"/>
        <v>15006150061865</v>
      </c>
    </row>
    <row r="1650" spans="1:8" x14ac:dyDescent="0.25">
      <c r="A1650" s="110" t="s">
        <v>4576</v>
      </c>
      <c r="B1650" s="125" t="s">
        <v>702</v>
      </c>
      <c r="C1650" s="138">
        <v>0.5</v>
      </c>
      <c r="D1650" s="138">
        <v>30</v>
      </c>
      <c r="E1650" s="138">
        <v>120</v>
      </c>
      <c r="F1650" s="139">
        <v>0.5</v>
      </c>
      <c r="H1650" t="str">
        <f t="shared" si="28"/>
        <v>15006150061868</v>
      </c>
    </row>
    <row r="1651" spans="1:8" x14ac:dyDescent="0.25">
      <c r="A1651" s="110" t="s">
        <v>4577</v>
      </c>
      <c r="B1651" s="125" t="s">
        <v>703</v>
      </c>
      <c r="C1651" s="138">
        <v>0.5</v>
      </c>
      <c r="D1651" s="138">
        <v>30</v>
      </c>
      <c r="E1651" s="138">
        <v>120</v>
      </c>
      <c r="F1651" s="139">
        <v>0.5</v>
      </c>
      <c r="H1651" t="str">
        <f t="shared" si="28"/>
        <v>15006150061870</v>
      </c>
    </row>
    <row r="1652" spans="1:8" x14ac:dyDescent="0.25">
      <c r="A1652" s="110" t="s">
        <v>4578</v>
      </c>
      <c r="B1652" s="125" t="s">
        <v>704</v>
      </c>
      <c r="C1652" s="138">
        <v>0.55000000000000004</v>
      </c>
      <c r="D1652" s="138">
        <v>33</v>
      </c>
      <c r="E1652" s="138">
        <v>109.09090909090909</v>
      </c>
      <c r="F1652" s="139">
        <v>0.55000000000000004</v>
      </c>
      <c r="H1652" t="str">
        <f t="shared" si="28"/>
        <v>15006150061871</v>
      </c>
    </row>
    <row r="1653" spans="1:8" x14ac:dyDescent="0.25">
      <c r="A1653" s="110" t="s">
        <v>4579</v>
      </c>
      <c r="B1653" s="125" t="s">
        <v>705</v>
      </c>
      <c r="C1653" s="138">
        <v>0.55000000000000004</v>
      </c>
      <c r="D1653" s="138">
        <v>33</v>
      </c>
      <c r="E1653" s="138">
        <v>109.09090909090909</v>
      </c>
      <c r="F1653" s="139">
        <v>0.55000000000000004</v>
      </c>
      <c r="H1653" t="str">
        <f t="shared" si="28"/>
        <v>15006150061872</v>
      </c>
    </row>
    <row r="1654" spans="1:8" x14ac:dyDescent="0.25">
      <c r="A1654" s="110" t="s">
        <v>4580</v>
      </c>
      <c r="B1654" s="125" t="s">
        <v>1370</v>
      </c>
      <c r="C1654" s="138">
        <v>0.28000000000000003</v>
      </c>
      <c r="D1654" s="138">
        <v>16.8</v>
      </c>
      <c r="E1654" s="138">
        <v>214.28571428571428</v>
      </c>
      <c r="F1654" s="139">
        <v>0.28000000000000003</v>
      </c>
      <c r="H1654" t="str">
        <f t="shared" si="28"/>
        <v>15006150061874</v>
      </c>
    </row>
    <row r="1655" spans="1:8" x14ac:dyDescent="0.25">
      <c r="A1655" s="110" t="s">
        <v>4581</v>
      </c>
      <c r="B1655" s="125" t="s">
        <v>716</v>
      </c>
      <c r="C1655" s="138">
        <v>0.6</v>
      </c>
      <c r="D1655" s="138">
        <v>36</v>
      </c>
      <c r="E1655" s="138">
        <v>100</v>
      </c>
      <c r="F1655" s="139">
        <v>0.6</v>
      </c>
      <c r="H1655" t="str">
        <f t="shared" si="28"/>
        <v>15006150061875</v>
      </c>
    </row>
    <row r="1656" spans="1:8" x14ac:dyDescent="0.25">
      <c r="A1656" s="110" t="s">
        <v>4582</v>
      </c>
      <c r="B1656" s="125" t="s">
        <v>717</v>
      </c>
      <c r="C1656" s="138">
        <v>0.6</v>
      </c>
      <c r="D1656" s="138">
        <v>36</v>
      </c>
      <c r="E1656" s="138">
        <v>100</v>
      </c>
      <c r="F1656" s="139">
        <v>0.6</v>
      </c>
      <c r="H1656" t="str">
        <f t="shared" si="28"/>
        <v>15006150061876</v>
      </c>
    </row>
    <row r="1657" spans="1:8" x14ac:dyDescent="0.25">
      <c r="A1657" s="110" t="s">
        <v>4583</v>
      </c>
      <c r="B1657" s="125" t="s">
        <v>718</v>
      </c>
      <c r="C1657" s="138">
        <v>0.56999999999999995</v>
      </c>
      <c r="D1657" s="138">
        <v>34.199999999999996</v>
      </c>
      <c r="E1657" s="138">
        <v>105.26315789473685</v>
      </c>
      <c r="F1657" s="139">
        <v>0.56999999999999995</v>
      </c>
      <c r="H1657" t="str">
        <f t="shared" si="28"/>
        <v>15006150061877</v>
      </c>
    </row>
    <row r="1658" spans="1:8" x14ac:dyDescent="0.25">
      <c r="A1658" s="110" t="s">
        <v>4584</v>
      </c>
      <c r="B1658" s="125" t="s">
        <v>719</v>
      </c>
      <c r="C1658" s="138">
        <v>0.56999999999999995</v>
      </c>
      <c r="D1658" s="138">
        <v>34.199999999999996</v>
      </c>
      <c r="E1658" s="138">
        <v>105.26315789473685</v>
      </c>
      <c r="F1658" s="139">
        <v>0.56999999999999995</v>
      </c>
      <c r="H1658" t="str">
        <f t="shared" si="28"/>
        <v>15006150061878</v>
      </c>
    </row>
    <row r="1659" spans="1:8" x14ac:dyDescent="0.25">
      <c r="A1659" s="110" t="s">
        <v>4585</v>
      </c>
      <c r="B1659" s="125" t="s">
        <v>720</v>
      </c>
      <c r="C1659" s="138">
        <v>0.45</v>
      </c>
      <c r="D1659" s="138">
        <v>27</v>
      </c>
      <c r="E1659" s="138">
        <v>133.33333333333334</v>
      </c>
      <c r="F1659" s="139">
        <v>0.45</v>
      </c>
      <c r="H1659" t="str">
        <f t="shared" si="28"/>
        <v>15006150061879</v>
      </c>
    </row>
    <row r="1660" spans="1:8" x14ac:dyDescent="0.25">
      <c r="A1660" s="110" t="s">
        <v>4586</v>
      </c>
      <c r="B1660" s="125" t="s">
        <v>721</v>
      </c>
      <c r="C1660" s="138">
        <v>0.45</v>
      </c>
      <c r="D1660" s="138">
        <v>27</v>
      </c>
      <c r="E1660" s="138">
        <v>133.33333333333334</v>
      </c>
      <c r="F1660" s="139">
        <v>0.45</v>
      </c>
      <c r="H1660" t="str">
        <f t="shared" si="28"/>
        <v>15006150061880</v>
      </c>
    </row>
    <row r="1661" spans="1:8" x14ac:dyDescent="0.25">
      <c r="A1661" s="110" t="s">
        <v>4587</v>
      </c>
      <c r="B1661" s="125" t="s">
        <v>722</v>
      </c>
      <c r="C1661" s="138">
        <v>0.45</v>
      </c>
      <c r="D1661" s="138">
        <v>27</v>
      </c>
      <c r="E1661" s="138">
        <v>133.33333333333334</v>
      </c>
      <c r="F1661" s="139">
        <v>0.45</v>
      </c>
      <c r="H1661" t="str">
        <f t="shared" si="28"/>
        <v>15006150061881</v>
      </c>
    </row>
    <row r="1662" spans="1:8" x14ac:dyDescent="0.25">
      <c r="A1662" s="110" t="s">
        <v>4588</v>
      </c>
      <c r="B1662" s="125" t="s">
        <v>723</v>
      </c>
      <c r="C1662" s="138">
        <v>0.45</v>
      </c>
      <c r="D1662" s="138">
        <v>27</v>
      </c>
      <c r="E1662" s="138">
        <v>133.33333333333334</v>
      </c>
      <c r="F1662" s="139">
        <v>0.45</v>
      </c>
      <c r="H1662" t="str">
        <f t="shared" si="28"/>
        <v>15006150061882</v>
      </c>
    </row>
    <row r="1663" spans="1:8" x14ac:dyDescent="0.25">
      <c r="A1663" s="110" t="s">
        <v>4589</v>
      </c>
      <c r="B1663" s="125" t="s">
        <v>724</v>
      </c>
      <c r="C1663" s="138">
        <v>0.56999999999999995</v>
      </c>
      <c r="D1663" s="138">
        <v>34.199999999999996</v>
      </c>
      <c r="E1663" s="138">
        <v>105.26315789473685</v>
      </c>
      <c r="F1663" s="139">
        <v>0.56999999999999995</v>
      </c>
      <c r="H1663" t="str">
        <f t="shared" si="28"/>
        <v>15006150061883</v>
      </c>
    </row>
    <row r="1664" spans="1:8" x14ac:dyDescent="0.25">
      <c r="A1664" s="110" t="s">
        <v>4602</v>
      </c>
      <c r="B1664" s="125" t="s">
        <v>725</v>
      </c>
      <c r="C1664" s="138">
        <v>0.28000000000000003</v>
      </c>
      <c r="D1664" s="138">
        <v>16.8</v>
      </c>
      <c r="E1664" s="138">
        <v>214.28571428571428</v>
      </c>
      <c r="F1664" s="139">
        <v>0.28000000000000003</v>
      </c>
      <c r="H1664" t="str">
        <f t="shared" si="28"/>
        <v>15006150061896</v>
      </c>
    </row>
    <row r="1665" spans="1:8" x14ac:dyDescent="0.25">
      <c r="A1665" s="110" t="s">
        <v>4603</v>
      </c>
      <c r="B1665" s="125" t="s">
        <v>726</v>
      </c>
      <c r="C1665" s="138">
        <v>0.28000000000000003</v>
      </c>
      <c r="D1665" s="138">
        <v>16.8</v>
      </c>
      <c r="E1665" s="138">
        <v>214.28571428571428</v>
      </c>
      <c r="F1665" s="139">
        <v>0.28000000000000003</v>
      </c>
      <c r="H1665" t="str">
        <f t="shared" si="28"/>
        <v>15006150061897</v>
      </c>
    </row>
    <row r="1666" spans="1:8" x14ac:dyDescent="0.25">
      <c r="A1666" s="110" t="s">
        <v>4604</v>
      </c>
      <c r="B1666" s="125" t="s">
        <v>727</v>
      </c>
      <c r="C1666" s="138">
        <v>0.28000000000000003</v>
      </c>
      <c r="D1666" s="138">
        <v>16.8</v>
      </c>
      <c r="E1666" s="138">
        <v>214.28571428571428</v>
      </c>
      <c r="F1666" s="139">
        <v>0.28000000000000003</v>
      </c>
      <c r="H1666" t="str">
        <f t="shared" si="28"/>
        <v>15006150061898</v>
      </c>
    </row>
    <row r="1667" spans="1:8" x14ac:dyDescent="0.25">
      <c r="A1667" s="110" t="s">
        <v>4605</v>
      </c>
      <c r="B1667" s="125" t="s">
        <v>728</v>
      </c>
      <c r="C1667" s="138">
        <v>0.28000000000000003</v>
      </c>
      <c r="D1667" s="138">
        <v>16.8</v>
      </c>
      <c r="E1667" s="138">
        <v>214.28571428571428</v>
      </c>
      <c r="F1667" s="139">
        <v>0.28000000000000003</v>
      </c>
      <c r="H1667" t="str">
        <f t="shared" si="28"/>
        <v>15006150061899</v>
      </c>
    </row>
    <row r="1668" spans="1:8" x14ac:dyDescent="0.25">
      <c r="A1668" s="110" t="s">
        <v>4606</v>
      </c>
      <c r="B1668" s="125" t="s">
        <v>729</v>
      </c>
      <c r="C1668" s="138">
        <v>0.42</v>
      </c>
      <c r="D1668" s="138">
        <v>25.2</v>
      </c>
      <c r="E1668" s="138">
        <v>142.85714285714286</v>
      </c>
      <c r="F1668" s="139">
        <v>0.42</v>
      </c>
      <c r="H1668" t="str">
        <f t="shared" ref="H1668:H1731" si="29">CONCATENATE($G$835,A1668)</f>
        <v>15006150061900</v>
      </c>
    </row>
    <row r="1669" spans="1:8" x14ac:dyDescent="0.25">
      <c r="A1669" s="110" t="s">
        <v>4606</v>
      </c>
      <c r="B1669" s="125" t="s">
        <v>1833</v>
      </c>
      <c r="C1669" s="138">
        <v>0.33</v>
      </c>
      <c r="D1669" s="138">
        <v>19.8</v>
      </c>
      <c r="E1669" s="138">
        <v>181.81818181818181</v>
      </c>
      <c r="F1669" s="139">
        <v>0.33</v>
      </c>
      <c r="H1669" t="str">
        <f t="shared" si="29"/>
        <v>15006150061900</v>
      </c>
    </row>
    <row r="1670" spans="1:8" x14ac:dyDescent="0.25">
      <c r="A1670" s="110" t="s">
        <v>4607</v>
      </c>
      <c r="B1670" s="125" t="s">
        <v>730</v>
      </c>
      <c r="C1670" s="138">
        <v>0.42</v>
      </c>
      <c r="D1670" s="138">
        <v>25.2</v>
      </c>
      <c r="E1670" s="138">
        <v>142.85714285714286</v>
      </c>
      <c r="F1670" s="139">
        <v>0.42</v>
      </c>
      <c r="H1670" t="str">
        <f t="shared" si="29"/>
        <v>15006150061901</v>
      </c>
    </row>
    <row r="1671" spans="1:8" x14ac:dyDescent="0.25">
      <c r="A1671" s="110" t="s">
        <v>4608</v>
      </c>
      <c r="B1671" s="125" t="s">
        <v>731</v>
      </c>
      <c r="C1671" s="138">
        <v>0.46</v>
      </c>
      <c r="D1671" s="138">
        <v>27.6</v>
      </c>
      <c r="E1671" s="138">
        <v>130.43478260869566</v>
      </c>
      <c r="F1671" s="139">
        <v>0.46</v>
      </c>
      <c r="H1671" t="str">
        <f t="shared" si="29"/>
        <v>15006150061902</v>
      </c>
    </row>
    <row r="1672" spans="1:8" x14ac:dyDescent="0.25">
      <c r="A1672" s="110" t="s">
        <v>4609</v>
      </c>
      <c r="B1672" s="125" t="s">
        <v>732</v>
      </c>
      <c r="C1672" s="138">
        <v>0.46</v>
      </c>
      <c r="D1672" s="138">
        <v>27.6</v>
      </c>
      <c r="E1672" s="138">
        <v>130.43478260869566</v>
      </c>
      <c r="F1672" s="139">
        <v>0.46</v>
      </c>
      <c r="H1672" t="str">
        <f t="shared" si="29"/>
        <v>15006150061903</v>
      </c>
    </row>
    <row r="1673" spans="1:8" x14ac:dyDescent="0.25">
      <c r="A1673" s="110" t="s">
        <v>4610</v>
      </c>
      <c r="B1673" s="125" t="s">
        <v>733</v>
      </c>
      <c r="C1673" s="138">
        <v>0.42</v>
      </c>
      <c r="D1673" s="138">
        <v>25.2</v>
      </c>
      <c r="E1673" s="138">
        <v>142.85714285714286</v>
      </c>
      <c r="F1673" s="139">
        <v>0.42</v>
      </c>
      <c r="H1673" t="str">
        <f t="shared" si="29"/>
        <v>15006150061904</v>
      </c>
    </row>
    <row r="1674" spans="1:8" x14ac:dyDescent="0.25">
      <c r="A1674" s="110" t="s">
        <v>4611</v>
      </c>
      <c r="B1674" s="125" t="s">
        <v>1371</v>
      </c>
      <c r="C1674" s="138">
        <v>0.42</v>
      </c>
      <c r="D1674" s="138">
        <v>25.2</v>
      </c>
      <c r="E1674" s="138">
        <v>142.85714285714286</v>
      </c>
      <c r="F1674" s="139">
        <v>0.42</v>
      </c>
      <c r="H1674" t="str">
        <f t="shared" si="29"/>
        <v>15006150061905</v>
      </c>
    </row>
    <row r="1675" spans="1:8" x14ac:dyDescent="0.25">
      <c r="A1675" s="110" t="s">
        <v>4611</v>
      </c>
      <c r="B1675" s="125" t="s">
        <v>1834</v>
      </c>
      <c r="C1675" s="138">
        <v>0.33</v>
      </c>
      <c r="D1675" s="138">
        <v>19.8</v>
      </c>
      <c r="E1675" s="138">
        <v>181.81818181818181</v>
      </c>
      <c r="F1675" s="139">
        <v>0.33</v>
      </c>
      <c r="H1675" t="str">
        <f t="shared" si="29"/>
        <v>15006150061905</v>
      </c>
    </row>
    <row r="1676" spans="1:8" x14ac:dyDescent="0.25">
      <c r="A1676" s="110" t="s">
        <v>4612</v>
      </c>
      <c r="B1676" s="125" t="s">
        <v>734</v>
      </c>
      <c r="C1676" s="138">
        <v>0.38</v>
      </c>
      <c r="D1676" s="138">
        <v>22.8</v>
      </c>
      <c r="E1676" s="138">
        <v>157.89473684210526</v>
      </c>
      <c r="F1676" s="139">
        <v>0.38</v>
      </c>
      <c r="H1676" t="str">
        <f t="shared" si="29"/>
        <v>15006150061906</v>
      </c>
    </row>
    <row r="1677" spans="1:8" x14ac:dyDescent="0.25">
      <c r="A1677" s="110" t="s">
        <v>4613</v>
      </c>
      <c r="B1677" s="125" t="s">
        <v>735</v>
      </c>
      <c r="C1677" s="138">
        <v>0.38</v>
      </c>
      <c r="D1677" s="138">
        <v>22.8</v>
      </c>
      <c r="E1677" s="138">
        <v>157.89473684210526</v>
      </c>
      <c r="F1677" s="139">
        <v>0.38</v>
      </c>
      <c r="H1677" t="str">
        <f t="shared" si="29"/>
        <v>15006150061907</v>
      </c>
    </row>
    <row r="1678" spans="1:8" x14ac:dyDescent="0.25">
      <c r="A1678" s="110" t="s">
        <v>4614</v>
      </c>
      <c r="B1678" s="125" t="s">
        <v>1372</v>
      </c>
      <c r="C1678" s="138">
        <v>0.57999999999999996</v>
      </c>
      <c r="D1678" s="138">
        <v>34.799999999999997</v>
      </c>
      <c r="E1678" s="138">
        <v>103.44827586206897</v>
      </c>
      <c r="F1678" s="139">
        <v>0.57999999999999996</v>
      </c>
      <c r="H1678" t="str">
        <f t="shared" si="29"/>
        <v>15006150061908</v>
      </c>
    </row>
    <row r="1679" spans="1:8" x14ac:dyDescent="0.25">
      <c r="A1679" s="110" t="s">
        <v>4615</v>
      </c>
      <c r="B1679" s="125" t="s">
        <v>1374</v>
      </c>
      <c r="C1679" s="138">
        <v>0.57999999999999996</v>
      </c>
      <c r="D1679" s="138">
        <v>34.799999999999997</v>
      </c>
      <c r="E1679" s="138">
        <v>103.44827586206897</v>
      </c>
      <c r="F1679" s="139">
        <v>0.57999999999999996</v>
      </c>
      <c r="H1679" t="str">
        <f t="shared" si="29"/>
        <v>15006150061909</v>
      </c>
    </row>
    <row r="1680" spans="1:8" x14ac:dyDescent="0.25">
      <c r="A1680" s="110" t="s">
        <v>4616</v>
      </c>
      <c r="B1680" s="125" t="s">
        <v>738</v>
      </c>
      <c r="C1680" s="138">
        <v>0.5</v>
      </c>
      <c r="D1680" s="138">
        <v>30</v>
      </c>
      <c r="E1680" s="138">
        <v>120</v>
      </c>
      <c r="F1680" s="139">
        <v>0.5</v>
      </c>
      <c r="H1680" t="str">
        <f t="shared" si="29"/>
        <v>15006150061910</v>
      </c>
    </row>
    <row r="1681" spans="1:8" x14ac:dyDescent="0.25">
      <c r="A1681" s="110" t="s">
        <v>4617</v>
      </c>
      <c r="B1681" s="125" t="s">
        <v>739</v>
      </c>
      <c r="C1681" s="138">
        <v>0.5</v>
      </c>
      <c r="D1681" s="138">
        <v>30</v>
      </c>
      <c r="E1681" s="138">
        <v>120</v>
      </c>
      <c r="F1681" s="139">
        <v>0.5</v>
      </c>
      <c r="H1681" t="str">
        <f t="shared" si="29"/>
        <v>15006150061911</v>
      </c>
    </row>
    <row r="1682" spans="1:8" x14ac:dyDescent="0.25">
      <c r="A1682" s="110" t="s">
        <v>4618</v>
      </c>
      <c r="B1682" s="125" t="s">
        <v>741</v>
      </c>
      <c r="C1682" s="138">
        <v>0.75</v>
      </c>
      <c r="D1682" s="138">
        <v>45</v>
      </c>
      <c r="E1682" s="138">
        <v>80</v>
      </c>
      <c r="F1682" s="139">
        <v>0.75</v>
      </c>
      <c r="H1682" t="str">
        <f t="shared" si="29"/>
        <v>15006150061912</v>
      </c>
    </row>
    <row r="1683" spans="1:8" x14ac:dyDescent="0.25">
      <c r="A1683" s="110" t="s">
        <v>4619</v>
      </c>
      <c r="B1683" s="125" t="s">
        <v>742</v>
      </c>
      <c r="C1683" s="138">
        <v>0.75</v>
      </c>
      <c r="D1683" s="138">
        <v>45</v>
      </c>
      <c r="E1683" s="138">
        <v>80</v>
      </c>
      <c r="F1683" s="139">
        <v>0.75</v>
      </c>
      <c r="H1683" t="str">
        <f t="shared" si="29"/>
        <v>15006150061913</v>
      </c>
    </row>
    <row r="1684" spans="1:8" x14ac:dyDescent="0.25">
      <c r="A1684" s="110" t="s">
        <v>4620</v>
      </c>
      <c r="B1684" s="125" t="s">
        <v>743</v>
      </c>
      <c r="C1684" s="138">
        <v>0.75</v>
      </c>
      <c r="D1684" s="138">
        <v>45</v>
      </c>
      <c r="E1684" s="138">
        <v>80</v>
      </c>
      <c r="F1684" s="139">
        <v>0.75</v>
      </c>
      <c r="H1684" t="str">
        <f t="shared" si="29"/>
        <v>15006150061914</v>
      </c>
    </row>
    <row r="1685" spans="1:8" x14ac:dyDescent="0.25">
      <c r="A1685" s="110" t="s">
        <v>4621</v>
      </c>
      <c r="B1685" s="125" t="s">
        <v>744</v>
      </c>
      <c r="C1685" s="138">
        <v>0.75</v>
      </c>
      <c r="D1685" s="138">
        <v>45</v>
      </c>
      <c r="E1685" s="138">
        <v>80</v>
      </c>
      <c r="F1685" s="139">
        <v>0.75</v>
      </c>
      <c r="H1685" t="str">
        <f t="shared" si="29"/>
        <v>15006150061915</v>
      </c>
    </row>
    <row r="1686" spans="1:8" x14ac:dyDescent="0.25">
      <c r="A1686" s="110" t="s">
        <v>4622</v>
      </c>
      <c r="B1686" s="125" t="s">
        <v>745</v>
      </c>
      <c r="C1686" s="138">
        <v>0.75</v>
      </c>
      <c r="D1686" s="138">
        <v>45</v>
      </c>
      <c r="E1686" s="138">
        <v>80</v>
      </c>
      <c r="F1686" s="139">
        <v>0.75</v>
      </c>
      <c r="H1686" t="str">
        <f t="shared" si="29"/>
        <v>15006150061916</v>
      </c>
    </row>
    <row r="1687" spans="1:8" x14ac:dyDescent="0.25">
      <c r="A1687" s="110" t="s">
        <v>4623</v>
      </c>
      <c r="B1687" s="125" t="s">
        <v>746</v>
      </c>
      <c r="C1687" s="138">
        <v>0.75</v>
      </c>
      <c r="D1687" s="138">
        <v>45</v>
      </c>
      <c r="E1687" s="138">
        <v>80</v>
      </c>
      <c r="F1687" s="139">
        <v>0.75</v>
      </c>
      <c r="H1687" t="str">
        <f t="shared" si="29"/>
        <v>15006150061917</v>
      </c>
    </row>
    <row r="1688" spans="1:8" x14ac:dyDescent="0.25">
      <c r="A1688" s="110" t="s">
        <v>4624</v>
      </c>
      <c r="B1688" s="125" t="s">
        <v>747</v>
      </c>
      <c r="C1688" s="138">
        <v>1</v>
      </c>
      <c r="D1688" s="138">
        <v>60</v>
      </c>
      <c r="E1688" s="138">
        <v>60</v>
      </c>
      <c r="F1688" s="139">
        <v>1</v>
      </c>
      <c r="H1688" t="str">
        <f t="shared" si="29"/>
        <v>15006150061918</v>
      </c>
    </row>
    <row r="1689" spans="1:8" x14ac:dyDescent="0.25">
      <c r="A1689" s="110" t="s">
        <v>4625</v>
      </c>
      <c r="B1689" s="125" t="s">
        <v>748</v>
      </c>
      <c r="C1689" s="138">
        <v>0.5</v>
      </c>
      <c r="D1689" s="138">
        <v>30</v>
      </c>
      <c r="E1689" s="138">
        <v>120</v>
      </c>
      <c r="F1689" s="139">
        <v>0.5</v>
      </c>
      <c r="H1689" t="str">
        <f t="shared" si="29"/>
        <v>15006150061919</v>
      </c>
    </row>
    <row r="1690" spans="1:8" x14ac:dyDescent="0.25">
      <c r="A1690" s="110" t="s">
        <v>4626</v>
      </c>
      <c r="B1690" s="125" t="s">
        <v>749</v>
      </c>
      <c r="C1690" s="138">
        <v>0.5</v>
      </c>
      <c r="D1690" s="138">
        <v>30</v>
      </c>
      <c r="E1690" s="138">
        <v>120</v>
      </c>
      <c r="F1690" s="139">
        <v>0.5</v>
      </c>
      <c r="H1690" t="str">
        <f t="shared" si="29"/>
        <v>15006150061920</v>
      </c>
    </row>
    <row r="1691" spans="1:8" x14ac:dyDescent="0.25">
      <c r="A1691" s="110" t="s">
        <v>4626</v>
      </c>
      <c r="B1691" s="125" t="s">
        <v>1835</v>
      </c>
      <c r="C1691" s="138">
        <v>0.33</v>
      </c>
      <c r="D1691" s="138">
        <v>19.8</v>
      </c>
      <c r="E1691" s="138">
        <v>181.81818181818181</v>
      </c>
      <c r="F1691" s="139">
        <v>0.33</v>
      </c>
      <c r="H1691" t="str">
        <f t="shared" si="29"/>
        <v>15006150061920</v>
      </c>
    </row>
    <row r="1692" spans="1:8" x14ac:dyDescent="0.25">
      <c r="A1692" s="110" t="s">
        <v>4627</v>
      </c>
      <c r="B1692" s="125" t="s">
        <v>770</v>
      </c>
      <c r="C1692" s="138">
        <v>0.28000000000000003</v>
      </c>
      <c r="D1692" s="138">
        <v>16.8</v>
      </c>
      <c r="E1692" s="138">
        <v>214.28571428571428</v>
      </c>
      <c r="F1692" s="139">
        <v>0.28000000000000003</v>
      </c>
      <c r="H1692" t="str">
        <f t="shared" si="29"/>
        <v>15006150061921</v>
      </c>
    </row>
    <row r="1693" spans="1:8" x14ac:dyDescent="0.25">
      <c r="A1693" s="110" t="s">
        <v>4628</v>
      </c>
      <c r="B1693" s="125" t="s">
        <v>777</v>
      </c>
      <c r="C1693" s="138">
        <v>0.17</v>
      </c>
      <c r="D1693" s="138">
        <v>10.200000000000001</v>
      </c>
      <c r="E1693" s="138">
        <v>352.94117647058818</v>
      </c>
      <c r="F1693" s="139">
        <v>0.17</v>
      </c>
      <c r="H1693" t="str">
        <f t="shared" si="29"/>
        <v>15006150061922</v>
      </c>
    </row>
    <row r="1694" spans="1:8" x14ac:dyDescent="0.25">
      <c r="A1694" s="110" t="s">
        <v>4629</v>
      </c>
      <c r="B1694" s="125" t="s">
        <v>778</v>
      </c>
      <c r="C1694" s="138">
        <v>0.38</v>
      </c>
      <c r="D1694" s="138">
        <v>22.8</v>
      </c>
      <c r="E1694" s="138">
        <v>157.89473684210526</v>
      </c>
      <c r="F1694" s="139">
        <v>0.38</v>
      </c>
      <c r="H1694" t="str">
        <f t="shared" si="29"/>
        <v>15006150061923</v>
      </c>
    </row>
    <row r="1695" spans="1:8" x14ac:dyDescent="0.25">
      <c r="A1695" s="110" t="s">
        <v>4630</v>
      </c>
      <c r="B1695" s="125" t="s">
        <v>1375</v>
      </c>
      <c r="C1695" s="138">
        <v>0.38</v>
      </c>
      <c r="D1695" s="138">
        <v>22.8</v>
      </c>
      <c r="E1695" s="138">
        <v>157.89473684210526</v>
      </c>
      <c r="F1695" s="139">
        <v>0.38</v>
      </c>
      <c r="H1695" t="str">
        <f t="shared" si="29"/>
        <v>15006150061924</v>
      </c>
    </row>
    <row r="1696" spans="1:8" x14ac:dyDescent="0.25">
      <c r="A1696" s="110" t="s">
        <v>5603</v>
      </c>
      <c r="B1696" s="125" t="s">
        <v>1376</v>
      </c>
      <c r="C1696" s="138">
        <v>0.38</v>
      </c>
      <c r="D1696" s="138">
        <v>22.8</v>
      </c>
      <c r="E1696" s="138">
        <v>157.89473684210526</v>
      </c>
      <c r="F1696" s="139">
        <v>0.38</v>
      </c>
      <c r="H1696" t="str">
        <f t="shared" si="29"/>
        <v>15006150061925</v>
      </c>
    </row>
    <row r="1697" spans="1:8" x14ac:dyDescent="0.25">
      <c r="A1697" s="110" t="s">
        <v>5603</v>
      </c>
      <c r="B1697" s="125" t="s">
        <v>1836</v>
      </c>
      <c r="C1697" s="138">
        <v>0.33</v>
      </c>
      <c r="D1697" s="138">
        <v>19.8</v>
      </c>
      <c r="E1697" s="138">
        <v>181.81818181818181</v>
      </c>
      <c r="F1697" s="139">
        <v>0.33</v>
      </c>
      <c r="H1697" t="str">
        <f t="shared" si="29"/>
        <v>15006150061925</v>
      </c>
    </row>
    <row r="1698" spans="1:8" x14ac:dyDescent="0.25">
      <c r="A1698" s="110" t="s">
        <v>5604</v>
      </c>
      <c r="B1698" s="125" t="s">
        <v>1377</v>
      </c>
      <c r="C1698" s="138">
        <v>0.38</v>
      </c>
      <c r="D1698" s="138">
        <v>22.8</v>
      </c>
      <c r="E1698" s="138">
        <v>157.89473684210526</v>
      </c>
      <c r="F1698" s="139">
        <v>0.38</v>
      </c>
      <c r="H1698" t="str">
        <f t="shared" si="29"/>
        <v>15006150061926</v>
      </c>
    </row>
    <row r="1699" spans="1:8" x14ac:dyDescent="0.25">
      <c r="A1699" s="110" t="s">
        <v>5605</v>
      </c>
      <c r="B1699" s="125" t="s">
        <v>1378</v>
      </c>
      <c r="C1699" s="138">
        <v>5</v>
      </c>
      <c r="D1699" s="138">
        <v>300</v>
      </c>
      <c r="E1699" s="138">
        <v>12</v>
      </c>
      <c r="F1699" s="139">
        <v>5</v>
      </c>
      <c r="H1699" t="str">
        <f t="shared" si="29"/>
        <v>15006150061927</v>
      </c>
    </row>
    <row r="1700" spans="1:8" x14ac:dyDescent="0.25">
      <c r="A1700" s="110" t="s">
        <v>5606</v>
      </c>
      <c r="B1700" s="125" t="s">
        <v>1379</v>
      </c>
      <c r="C1700" s="138">
        <v>5</v>
      </c>
      <c r="D1700" s="138">
        <v>300</v>
      </c>
      <c r="E1700" s="138">
        <v>12</v>
      </c>
      <c r="F1700" s="139">
        <v>5</v>
      </c>
      <c r="H1700" t="str">
        <f t="shared" si="29"/>
        <v>15006150061928</v>
      </c>
    </row>
    <row r="1701" spans="1:8" x14ac:dyDescent="0.25">
      <c r="A1701" s="110" t="s">
        <v>5607</v>
      </c>
      <c r="B1701" s="125" t="s">
        <v>1380</v>
      </c>
      <c r="C1701" s="138">
        <v>5</v>
      </c>
      <c r="D1701" s="138">
        <v>300</v>
      </c>
      <c r="E1701" s="138">
        <v>12</v>
      </c>
      <c r="F1701" s="139">
        <v>5</v>
      </c>
      <c r="H1701" t="str">
        <f t="shared" si="29"/>
        <v>15006150061929</v>
      </c>
    </row>
    <row r="1702" spans="1:8" x14ac:dyDescent="0.25">
      <c r="A1702" s="110" t="s">
        <v>5608</v>
      </c>
      <c r="B1702" s="125" t="s">
        <v>1381</v>
      </c>
      <c r="C1702" s="138">
        <v>5</v>
      </c>
      <c r="D1702" s="138">
        <v>300</v>
      </c>
      <c r="E1702" s="138">
        <v>12</v>
      </c>
      <c r="F1702" s="139">
        <v>5</v>
      </c>
      <c r="H1702" t="str">
        <f t="shared" si="29"/>
        <v>15006150061930</v>
      </c>
    </row>
    <row r="1703" spans="1:8" x14ac:dyDescent="0.25">
      <c r="A1703" s="110" t="s">
        <v>5609</v>
      </c>
      <c r="B1703" s="125" t="s">
        <v>1382</v>
      </c>
      <c r="C1703" s="138">
        <v>5</v>
      </c>
      <c r="D1703" s="138">
        <v>300</v>
      </c>
      <c r="E1703" s="138">
        <v>12</v>
      </c>
      <c r="F1703" s="139">
        <v>5</v>
      </c>
      <c r="H1703" t="str">
        <f t="shared" si="29"/>
        <v>15006150061931</v>
      </c>
    </row>
    <row r="1704" spans="1:8" x14ac:dyDescent="0.25">
      <c r="A1704" s="110" t="s">
        <v>5610</v>
      </c>
      <c r="B1704" s="125" t="s">
        <v>1383</v>
      </c>
      <c r="C1704" s="138">
        <v>5</v>
      </c>
      <c r="D1704" s="138">
        <v>300</v>
      </c>
      <c r="E1704" s="138">
        <v>12</v>
      </c>
      <c r="F1704" s="139">
        <v>5</v>
      </c>
      <c r="H1704" t="str">
        <f t="shared" si="29"/>
        <v>15006150061932</v>
      </c>
    </row>
    <row r="1705" spans="1:8" x14ac:dyDescent="0.25">
      <c r="A1705" s="110" t="s">
        <v>5611</v>
      </c>
      <c r="B1705" s="125" t="s">
        <v>1384</v>
      </c>
      <c r="C1705" s="138">
        <v>5</v>
      </c>
      <c r="D1705" s="138">
        <v>300</v>
      </c>
      <c r="E1705" s="138">
        <v>12</v>
      </c>
      <c r="F1705" s="139">
        <v>5</v>
      </c>
      <c r="H1705" t="str">
        <f t="shared" si="29"/>
        <v>15006150061933</v>
      </c>
    </row>
    <row r="1706" spans="1:8" x14ac:dyDescent="0.25">
      <c r="A1706" s="110" t="s">
        <v>5612</v>
      </c>
      <c r="B1706" s="125" t="s">
        <v>1385</v>
      </c>
      <c r="C1706" s="138">
        <v>5</v>
      </c>
      <c r="D1706" s="138">
        <v>300</v>
      </c>
      <c r="E1706" s="138">
        <v>12</v>
      </c>
      <c r="F1706" s="139">
        <v>5</v>
      </c>
      <c r="H1706" t="str">
        <f t="shared" si="29"/>
        <v>15006150061934</v>
      </c>
    </row>
    <row r="1707" spans="1:8" x14ac:dyDescent="0.25">
      <c r="A1707" s="110" t="s">
        <v>5613</v>
      </c>
      <c r="B1707" s="125" t="s">
        <v>1386</v>
      </c>
      <c r="C1707" s="138">
        <v>5</v>
      </c>
      <c r="D1707" s="138">
        <v>300</v>
      </c>
      <c r="E1707" s="138">
        <v>12</v>
      </c>
      <c r="F1707" s="139">
        <v>5</v>
      </c>
      <c r="H1707" t="str">
        <f t="shared" si="29"/>
        <v>15006150061935</v>
      </c>
    </row>
    <row r="1708" spans="1:8" x14ac:dyDescent="0.25">
      <c r="A1708" s="110" t="s">
        <v>5614</v>
      </c>
      <c r="B1708" s="125" t="s">
        <v>1387</v>
      </c>
      <c r="C1708" s="138">
        <v>5</v>
      </c>
      <c r="D1708" s="138">
        <v>300</v>
      </c>
      <c r="E1708" s="138">
        <v>12</v>
      </c>
      <c r="F1708" s="139">
        <v>5</v>
      </c>
      <c r="H1708" t="str">
        <f t="shared" si="29"/>
        <v>15006150061936</v>
      </c>
    </row>
    <row r="1709" spans="1:8" x14ac:dyDescent="0.25">
      <c r="A1709" s="110" t="s">
        <v>5615</v>
      </c>
      <c r="B1709" s="125" t="s">
        <v>1388</v>
      </c>
      <c r="C1709" s="138">
        <v>5</v>
      </c>
      <c r="D1709" s="138">
        <v>300</v>
      </c>
      <c r="E1709" s="138">
        <v>12</v>
      </c>
      <c r="F1709" s="139">
        <v>5</v>
      </c>
      <c r="H1709" t="str">
        <f t="shared" si="29"/>
        <v>15006150061937</v>
      </c>
    </row>
    <row r="1710" spans="1:8" x14ac:dyDescent="0.25">
      <c r="A1710" s="110" t="s">
        <v>5616</v>
      </c>
      <c r="B1710" s="125" t="s">
        <v>1389</v>
      </c>
      <c r="C1710" s="138">
        <v>5</v>
      </c>
      <c r="D1710" s="138">
        <v>300</v>
      </c>
      <c r="E1710" s="138">
        <v>12</v>
      </c>
      <c r="F1710" s="139">
        <v>5</v>
      </c>
      <c r="H1710" t="str">
        <f t="shared" si="29"/>
        <v>15006150061938</v>
      </c>
    </row>
    <row r="1711" spans="1:8" x14ac:dyDescent="0.25">
      <c r="A1711" s="110" t="s">
        <v>5617</v>
      </c>
      <c r="B1711" s="125" t="s">
        <v>1390</v>
      </c>
      <c r="C1711" s="138">
        <v>5</v>
      </c>
      <c r="D1711" s="138">
        <v>300</v>
      </c>
      <c r="E1711" s="138">
        <v>12</v>
      </c>
      <c r="F1711" s="139">
        <v>5</v>
      </c>
      <c r="H1711" t="str">
        <f t="shared" si="29"/>
        <v>15006150061939</v>
      </c>
    </row>
    <row r="1712" spans="1:8" x14ac:dyDescent="0.25">
      <c r="A1712" s="110" t="s">
        <v>5618</v>
      </c>
      <c r="B1712" s="125" t="s">
        <v>1391</v>
      </c>
      <c r="C1712" s="138">
        <v>5</v>
      </c>
      <c r="D1712" s="138">
        <v>300</v>
      </c>
      <c r="E1712" s="138">
        <v>12</v>
      </c>
      <c r="F1712" s="139">
        <v>5</v>
      </c>
      <c r="H1712" t="str">
        <f t="shared" si="29"/>
        <v>15006150061940</v>
      </c>
    </row>
    <row r="1713" spans="1:8" x14ac:dyDescent="0.25">
      <c r="A1713" s="110" t="s">
        <v>5619</v>
      </c>
      <c r="B1713" s="125" t="s">
        <v>1392</v>
      </c>
      <c r="C1713" s="138">
        <v>5</v>
      </c>
      <c r="D1713" s="138">
        <v>300</v>
      </c>
      <c r="E1713" s="138">
        <v>12</v>
      </c>
      <c r="F1713" s="139">
        <v>5</v>
      </c>
      <c r="H1713" t="str">
        <f t="shared" si="29"/>
        <v>15006150061941</v>
      </c>
    </row>
    <row r="1714" spans="1:8" x14ac:dyDescent="0.25">
      <c r="A1714" s="110" t="s">
        <v>5620</v>
      </c>
      <c r="B1714" s="125" t="s">
        <v>1393</v>
      </c>
      <c r="C1714" s="138">
        <v>5</v>
      </c>
      <c r="D1714" s="138">
        <v>300</v>
      </c>
      <c r="E1714" s="138">
        <v>12</v>
      </c>
      <c r="F1714" s="139">
        <v>5</v>
      </c>
      <c r="H1714" t="str">
        <f t="shared" si="29"/>
        <v>15006150061942</v>
      </c>
    </row>
    <row r="1715" spans="1:8" x14ac:dyDescent="0.25">
      <c r="A1715" s="110" t="s">
        <v>5621</v>
      </c>
      <c r="B1715" s="125" t="s">
        <v>1394</v>
      </c>
      <c r="C1715" s="138">
        <v>5</v>
      </c>
      <c r="D1715" s="138">
        <v>300</v>
      </c>
      <c r="E1715" s="138">
        <v>12</v>
      </c>
      <c r="F1715" s="139">
        <v>5</v>
      </c>
      <c r="H1715" t="str">
        <f t="shared" si="29"/>
        <v>15006150061943</v>
      </c>
    </row>
    <row r="1716" spans="1:8" x14ac:dyDescent="0.25">
      <c r="A1716" s="110" t="s">
        <v>5622</v>
      </c>
      <c r="B1716" s="125" t="s">
        <v>1395</v>
      </c>
      <c r="C1716" s="138">
        <v>5</v>
      </c>
      <c r="D1716" s="138">
        <v>300</v>
      </c>
      <c r="E1716" s="138">
        <v>12</v>
      </c>
      <c r="F1716" s="139">
        <v>5</v>
      </c>
      <c r="H1716" t="str">
        <f t="shared" si="29"/>
        <v>15006150061944</v>
      </c>
    </row>
    <row r="1717" spans="1:8" x14ac:dyDescent="0.25">
      <c r="A1717" s="110" t="s">
        <v>5623</v>
      </c>
      <c r="B1717" s="125" t="s">
        <v>1396</v>
      </c>
      <c r="C1717" s="138">
        <v>5</v>
      </c>
      <c r="D1717" s="138">
        <v>300</v>
      </c>
      <c r="E1717" s="138">
        <v>12</v>
      </c>
      <c r="F1717" s="139">
        <v>5</v>
      </c>
      <c r="H1717" t="str">
        <f t="shared" si="29"/>
        <v>15006150061945</v>
      </c>
    </row>
    <row r="1718" spans="1:8" x14ac:dyDescent="0.25">
      <c r="A1718" s="110" t="s">
        <v>5624</v>
      </c>
      <c r="B1718" s="125" t="s">
        <v>1397</v>
      </c>
      <c r="C1718" s="138">
        <v>5</v>
      </c>
      <c r="D1718" s="138">
        <v>300</v>
      </c>
      <c r="E1718" s="138">
        <v>12</v>
      </c>
      <c r="F1718" s="139">
        <v>5</v>
      </c>
      <c r="H1718" t="str">
        <f t="shared" si="29"/>
        <v>15006150061946</v>
      </c>
    </row>
    <row r="1719" spans="1:8" x14ac:dyDescent="0.25">
      <c r="A1719" s="110" t="s">
        <v>5625</v>
      </c>
      <c r="B1719" s="125" t="s">
        <v>1398</v>
      </c>
      <c r="C1719" s="138">
        <v>5</v>
      </c>
      <c r="D1719" s="138">
        <v>300</v>
      </c>
      <c r="E1719" s="138">
        <v>12</v>
      </c>
      <c r="F1719" s="139">
        <v>5</v>
      </c>
      <c r="H1719" t="str">
        <f t="shared" si="29"/>
        <v>15006150061947</v>
      </c>
    </row>
    <row r="1720" spans="1:8" x14ac:dyDescent="0.25">
      <c r="A1720" s="110" t="s">
        <v>5626</v>
      </c>
      <c r="B1720" s="125" t="s">
        <v>1399</v>
      </c>
      <c r="C1720" s="138">
        <v>5</v>
      </c>
      <c r="D1720" s="138">
        <v>300</v>
      </c>
      <c r="E1720" s="138">
        <v>12</v>
      </c>
      <c r="F1720" s="139">
        <v>5</v>
      </c>
      <c r="H1720" t="str">
        <f t="shared" si="29"/>
        <v>15006150061948</v>
      </c>
    </row>
    <row r="1721" spans="1:8" x14ac:dyDescent="0.25">
      <c r="A1721" s="110" t="s">
        <v>5627</v>
      </c>
      <c r="B1721" s="125" t="s">
        <v>1400</v>
      </c>
      <c r="C1721" s="138">
        <v>5</v>
      </c>
      <c r="D1721" s="138">
        <v>300</v>
      </c>
      <c r="E1721" s="138">
        <v>12</v>
      </c>
      <c r="F1721" s="139">
        <v>5</v>
      </c>
      <c r="H1721" t="str">
        <f t="shared" si="29"/>
        <v>15006150061949</v>
      </c>
    </row>
    <row r="1722" spans="1:8" x14ac:dyDescent="0.25">
      <c r="A1722" s="110" t="s">
        <v>5628</v>
      </c>
      <c r="B1722" s="125" t="s">
        <v>1401</v>
      </c>
      <c r="C1722" s="138">
        <v>5</v>
      </c>
      <c r="D1722" s="138">
        <v>300</v>
      </c>
      <c r="E1722" s="138">
        <v>12</v>
      </c>
      <c r="F1722" s="139">
        <v>5</v>
      </c>
      <c r="H1722" t="str">
        <f t="shared" si="29"/>
        <v>15006150061950</v>
      </c>
    </row>
    <row r="1723" spans="1:8" x14ac:dyDescent="0.25">
      <c r="A1723" s="110" t="s">
        <v>5629</v>
      </c>
      <c r="B1723" s="125" t="s">
        <v>1402</v>
      </c>
      <c r="C1723" s="138">
        <v>5</v>
      </c>
      <c r="D1723" s="138">
        <v>300</v>
      </c>
      <c r="E1723" s="138">
        <v>12</v>
      </c>
      <c r="F1723" s="139">
        <v>5</v>
      </c>
      <c r="H1723" t="str">
        <f t="shared" si="29"/>
        <v>15006150061951</v>
      </c>
    </row>
    <row r="1724" spans="1:8" x14ac:dyDescent="0.25">
      <c r="A1724" s="110" t="s">
        <v>5630</v>
      </c>
      <c r="B1724" s="125" t="s">
        <v>1403</v>
      </c>
      <c r="C1724" s="138">
        <v>5</v>
      </c>
      <c r="D1724" s="138">
        <v>300</v>
      </c>
      <c r="E1724" s="138">
        <v>12</v>
      </c>
      <c r="F1724" s="139">
        <v>5</v>
      </c>
      <c r="H1724" t="str">
        <f t="shared" si="29"/>
        <v>15006150061952</v>
      </c>
    </row>
    <row r="1725" spans="1:8" x14ac:dyDescent="0.25">
      <c r="A1725" s="110" t="s">
        <v>5631</v>
      </c>
      <c r="B1725" s="125" t="s">
        <v>1404</v>
      </c>
      <c r="C1725" s="138">
        <v>5</v>
      </c>
      <c r="D1725" s="138">
        <v>300</v>
      </c>
      <c r="E1725" s="138">
        <v>12</v>
      </c>
      <c r="F1725" s="139">
        <v>5</v>
      </c>
      <c r="H1725" t="str">
        <f t="shared" si="29"/>
        <v>15006150061953</v>
      </c>
    </row>
    <row r="1726" spans="1:8" x14ac:dyDescent="0.25">
      <c r="A1726" s="110" t="s">
        <v>5632</v>
      </c>
      <c r="B1726" s="125" t="s">
        <v>1405</v>
      </c>
      <c r="C1726" s="138">
        <v>5</v>
      </c>
      <c r="D1726" s="138">
        <v>300</v>
      </c>
      <c r="E1726" s="138">
        <v>12</v>
      </c>
      <c r="F1726" s="139">
        <v>5</v>
      </c>
      <c r="H1726" t="str">
        <f t="shared" si="29"/>
        <v>15006150061954</v>
      </c>
    </row>
    <row r="1727" spans="1:8" x14ac:dyDescent="0.25">
      <c r="A1727" s="110" t="s">
        <v>5633</v>
      </c>
      <c r="B1727" s="125" t="s">
        <v>1406</v>
      </c>
      <c r="C1727" s="138">
        <v>5</v>
      </c>
      <c r="D1727" s="138">
        <v>300</v>
      </c>
      <c r="E1727" s="138">
        <v>12</v>
      </c>
      <c r="F1727" s="139">
        <v>5</v>
      </c>
      <c r="H1727" t="str">
        <f t="shared" si="29"/>
        <v>15006150061955</v>
      </c>
    </row>
    <row r="1728" spans="1:8" x14ac:dyDescent="0.25">
      <c r="A1728" s="110" t="s">
        <v>5634</v>
      </c>
      <c r="B1728" s="125" t="s">
        <v>1407</v>
      </c>
      <c r="C1728" s="138">
        <v>5</v>
      </c>
      <c r="D1728" s="138">
        <v>300</v>
      </c>
      <c r="E1728" s="138">
        <v>12</v>
      </c>
      <c r="F1728" s="139">
        <v>5</v>
      </c>
      <c r="H1728" t="str">
        <f t="shared" si="29"/>
        <v>15006150061956</v>
      </c>
    </row>
    <row r="1729" spans="1:8" x14ac:dyDescent="0.25">
      <c r="A1729" s="110" t="s">
        <v>5635</v>
      </c>
      <c r="B1729" s="125" t="s">
        <v>1408</v>
      </c>
      <c r="C1729" s="138">
        <v>5</v>
      </c>
      <c r="D1729" s="138">
        <v>300</v>
      </c>
      <c r="E1729" s="138">
        <v>12</v>
      </c>
      <c r="F1729" s="139">
        <v>5</v>
      </c>
      <c r="H1729" t="str">
        <f t="shared" si="29"/>
        <v>15006150061957</v>
      </c>
    </row>
    <row r="1730" spans="1:8" x14ac:dyDescent="0.25">
      <c r="A1730" s="110" t="s">
        <v>5636</v>
      </c>
      <c r="B1730" s="125" t="s">
        <v>1409</v>
      </c>
      <c r="C1730" s="138">
        <v>5</v>
      </c>
      <c r="D1730" s="138">
        <v>300</v>
      </c>
      <c r="E1730" s="138">
        <v>12</v>
      </c>
      <c r="F1730" s="139">
        <v>5</v>
      </c>
      <c r="H1730" t="str">
        <f t="shared" si="29"/>
        <v>15006150061958</v>
      </c>
    </row>
    <row r="1731" spans="1:8" x14ac:dyDescent="0.25">
      <c r="A1731" s="110" t="s">
        <v>5637</v>
      </c>
      <c r="B1731" s="125" t="s">
        <v>1410</v>
      </c>
      <c r="C1731" s="138">
        <v>5</v>
      </c>
      <c r="D1731" s="138">
        <v>300</v>
      </c>
      <c r="E1731" s="138">
        <v>12</v>
      </c>
      <c r="F1731" s="139">
        <v>5</v>
      </c>
      <c r="H1731" t="str">
        <f t="shared" si="29"/>
        <v>15006150061959</v>
      </c>
    </row>
    <row r="1732" spans="1:8" x14ac:dyDescent="0.25">
      <c r="A1732" s="110" t="s">
        <v>5638</v>
      </c>
      <c r="B1732" s="125" t="s">
        <v>1411</v>
      </c>
      <c r="C1732" s="138">
        <v>5</v>
      </c>
      <c r="D1732" s="138">
        <v>300</v>
      </c>
      <c r="E1732" s="138">
        <v>12</v>
      </c>
      <c r="F1732" s="139">
        <v>5</v>
      </c>
      <c r="H1732" t="str">
        <f t="shared" ref="H1732:H1795" si="30">CONCATENATE($G$835,A1732)</f>
        <v>15006150061960</v>
      </c>
    </row>
    <row r="1733" spans="1:8" x14ac:dyDescent="0.25">
      <c r="A1733" s="110" t="s">
        <v>5639</v>
      </c>
      <c r="B1733" s="125" t="s">
        <v>1412</v>
      </c>
      <c r="C1733" s="138">
        <v>5</v>
      </c>
      <c r="D1733" s="138">
        <v>300</v>
      </c>
      <c r="E1733" s="138">
        <v>12</v>
      </c>
      <c r="F1733" s="139">
        <v>5</v>
      </c>
      <c r="H1733" t="str">
        <f t="shared" si="30"/>
        <v>15006150061961</v>
      </c>
    </row>
    <row r="1734" spans="1:8" x14ac:dyDescent="0.25">
      <c r="A1734" s="110" t="s">
        <v>5640</v>
      </c>
      <c r="B1734" s="125" t="s">
        <v>1413</v>
      </c>
      <c r="C1734" s="138">
        <v>5</v>
      </c>
      <c r="D1734" s="138">
        <v>300</v>
      </c>
      <c r="E1734" s="138">
        <v>12</v>
      </c>
      <c r="F1734" s="139">
        <v>5</v>
      </c>
      <c r="H1734" t="str">
        <f t="shared" si="30"/>
        <v>15006150061962</v>
      </c>
    </row>
    <row r="1735" spans="1:8" x14ac:dyDescent="0.25">
      <c r="A1735" s="110" t="s">
        <v>5641</v>
      </c>
      <c r="B1735" s="125" t="s">
        <v>1414</v>
      </c>
      <c r="C1735" s="138">
        <v>5</v>
      </c>
      <c r="D1735" s="138">
        <v>300</v>
      </c>
      <c r="E1735" s="138">
        <v>12</v>
      </c>
      <c r="F1735" s="139">
        <v>5</v>
      </c>
      <c r="H1735" t="str">
        <f t="shared" si="30"/>
        <v>15006150061963</v>
      </c>
    </row>
    <row r="1736" spans="1:8" x14ac:dyDescent="0.25">
      <c r="A1736" s="111" t="s">
        <v>4865</v>
      </c>
      <c r="B1736" s="126" t="s">
        <v>3260</v>
      </c>
      <c r="C1736" s="138">
        <v>0.6</v>
      </c>
      <c r="D1736" s="138">
        <v>36</v>
      </c>
      <c r="E1736" s="138">
        <v>100</v>
      </c>
      <c r="F1736" s="140">
        <v>0.6</v>
      </c>
      <c r="H1736" t="str">
        <f t="shared" si="30"/>
        <v>15006150061965</v>
      </c>
    </row>
    <row r="1737" spans="1:8" x14ac:dyDescent="0.25">
      <c r="A1737" s="111" t="s">
        <v>4866</v>
      </c>
      <c r="B1737" s="126" t="s">
        <v>3261</v>
      </c>
      <c r="C1737" s="138">
        <v>0.6</v>
      </c>
      <c r="D1737" s="138">
        <v>36</v>
      </c>
      <c r="E1737" s="138">
        <v>100</v>
      </c>
      <c r="F1737" s="140">
        <v>0.6</v>
      </c>
      <c r="H1737" t="str">
        <f t="shared" si="30"/>
        <v>15006150061966</v>
      </c>
    </row>
    <row r="1738" spans="1:8" x14ac:dyDescent="0.25">
      <c r="A1738" s="118" t="s">
        <v>4898</v>
      </c>
      <c r="B1738" s="135" t="s">
        <v>3262</v>
      </c>
      <c r="C1738" s="138">
        <v>0.5</v>
      </c>
      <c r="D1738" s="138">
        <v>30</v>
      </c>
      <c r="E1738" s="138">
        <v>120</v>
      </c>
      <c r="F1738" s="144">
        <v>0.5</v>
      </c>
      <c r="H1738" t="str">
        <f t="shared" si="30"/>
        <v>15006150061967</v>
      </c>
    </row>
    <row r="1739" spans="1:8" x14ac:dyDescent="0.25">
      <c r="A1739" s="118" t="s">
        <v>4899</v>
      </c>
      <c r="B1739" s="135" t="s">
        <v>3263</v>
      </c>
      <c r="C1739" s="138">
        <v>0.5</v>
      </c>
      <c r="D1739" s="138">
        <v>30</v>
      </c>
      <c r="E1739" s="138">
        <v>120</v>
      </c>
      <c r="F1739" s="144">
        <v>0.5</v>
      </c>
      <c r="H1739" t="str">
        <f t="shared" si="30"/>
        <v>15006150061968</v>
      </c>
    </row>
    <row r="1740" spans="1:8" x14ac:dyDescent="0.25">
      <c r="A1740" s="118" t="s">
        <v>5642</v>
      </c>
      <c r="B1740" s="135" t="s">
        <v>3293</v>
      </c>
      <c r="C1740" s="138">
        <v>0.4</v>
      </c>
      <c r="D1740" s="138">
        <v>24</v>
      </c>
      <c r="E1740" s="138">
        <v>150</v>
      </c>
      <c r="F1740" s="144">
        <v>0.4</v>
      </c>
      <c r="H1740" t="str">
        <f t="shared" si="30"/>
        <v>15006150061969</v>
      </c>
    </row>
    <row r="1741" spans="1:8" x14ac:dyDescent="0.25">
      <c r="A1741" s="118" t="s">
        <v>5643</v>
      </c>
      <c r="B1741" s="135" t="s">
        <v>3294</v>
      </c>
      <c r="C1741" s="138">
        <v>0.4</v>
      </c>
      <c r="D1741" s="138">
        <v>24</v>
      </c>
      <c r="E1741" s="138">
        <v>150</v>
      </c>
      <c r="F1741" s="144">
        <v>0.4</v>
      </c>
      <c r="H1741" t="str">
        <f t="shared" si="30"/>
        <v>15006150061970</v>
      </c>
    </row>
    <row r="1742" spans="1:8" x14ac:dyDescent="0.25">
      <c r="A1742" s="111" t="s">
        <v>4834</v>
      </c>
      <c r="B1742" s="125" t="s">
        <v>3216</v>
      </c>
      <c r="C1742" s="138">
        <v>1.0876666666666699</v>
      </c>
      <c r="D1742" s="138">
        <v>65.26000000000019</v>
      </c>
      <c r="E1742" s="138">
        <v>55.163959546429503</v>
      </c>
      <c r="F1742" s="140">
        <v>1.0876666666666699</v>
      </c>
      <c r="H1742" t="str">
        <f t="shared" si="30"/>
        <v>15006150061971</v>
      </c>
    </row>
    <row r="1743" spans="1:8" x14ac:dyDescent="0.25">
      <c r="A1743" s="111" t="s">
        <v>4835</v>
      </c>
      <c r="B1743" s="125" t="s">
        <v>3217</v>
      </c>
      <c r="C1743" s="138">
        <v>1.12466666666668</v>
      </c>
      <c r="D1743" s="138">
        <v>67.4800000000008</v>
      </c>
      <c r="E1743" s="138">
        <v>53.349140486069317</v>
      </c>
      <c r="F1743" s="140">
        <v>1.12466666666668</v>
      </c>
      <c r="H1743" t="str">
        <f t="shared" si="30"/>
        <v>15006150061972</v>
      </c>
    </row>
    <row r="1744" spans="1:8" x14ac:dyDescent="0.25">
      <c r="A1744" s="111" t="s">
        <v>4869</v>
      </c>
      <c r="B1744" s="125" t="s">
        <v>3264</v>
      </c>
      <c r="C1744" s="138">
        <v>0.3</v>
      </c>
      <c r="D1744" s="138">
        <v>18</v>
      </c>
      <c r="E1744" s="138">
        <v>200</v>
      </c>
      <c r="F1744" s="140">
        <v>0.3</v>
      </c>
      <c r="H1744" t="str">
        <f t="shared" si="30"/>
        <v>15006150061973</v>
      </c>
    </row>
    <row r="1745" spans="1:8" x14ac:dyDescent="0.25">
      <c r="A1745" s="111" t="s">
        <v>4870</v>
      </c>
      <c r="B1745" s="125" t="s">
        <v>3265</v>
      </c>
      <c r="C1745" s="138">
        <v>0.3</v>
      </c>
      <c r="D1745" s="138">
        <v>18</v>
      </c>
      <c r="E1745" s="138">
        <v>200</v>
      </c>
      <c r="F1745" s="140">
        <v>0.3</v>
      </c>
      <c r="H1745" t="str">
        <f t="shared" si="30"/>
        <v>15006150061974</v>
      </c>
    </row>
    <row r="1746" spans="1:8" x14ac:dyDescent="0.25">
      <c r="A1746" s="118" t="s">
        <v>4855</v>
      </c>
      <c r="B1746" s="135" t="s">
        <v>3331</v>
      </c>
      <c r="C1746" s="138">
        <v>1</v>
      </c>
      <c r="D1746" s="138">
        <v>60</v>
      </c>
      <c r="E1746" s="138">
        <v>60</v>
      </c>
      <c r="F1746" s="144">
        <v>1</v>
      </c>
      <c r="H1746" t="str">
        <f t="shared" si="30"/>
        <v>15006150061977</v>
      </c>
    </row>
    <row r="1747" spans="1:8" x14ac:dyDescent="0.25">
      <c r="A1747" s="118" t="s">
        <v>4856</v>
      </c>
      <c r="B1747" s="135" t="s">
        <v>3331</v>
      </c>
      <c r="C1747" s="138">
        <v>1</v>
      </c>
      <c r="D1747" s="138">
        <v>60</v>
      </c>
      <c r="E1747" s="138">
        <v>60</v>
      </c>
      <c r="F1747" s="144">
        <v>1</v>
      </c>
      <c r="H1747" t="str">
        <f t="shared" si="30"/>
        <v>15006150061978</v>
      </c>
    </row>
    <row r="1748" spans="1:8" x14ac:dyDescent="0.25">
      <c r="A1748" s="118" t="s">
        <v>4913</v>
      </c>
      <c r="B1748" s="135" t="s">
        <v>3332</v>
      </c>
      <c r="C1748" s="138">
        <v>1</v>
      </c>
      <c r="D1748" s="138">
        <v>60</v>
      </c>
      <c r="E1748" s="138">
        <v>60</v>
      </c>
      <c r="F1748" s="144">
        <v>1</v>
      </c>
      <c r="H1748" t="str">
        <f t="shared" si="30"/>
        <v>15006150061979</v>
      </c>
    </row>
    <row r="1749" spans="1:8" x14ac:dyDescent="0.25">
      <c r="A1749" s="118" t="s">
        <v>4914</v>
      </c>
      <c r="B1749" s="135" t="s">
        <v>3332</v>
      </c>
      <c r="C1749" s="138">
        <v>1</v>
      </c>
      <c r="D1749" s="138">
        <v>60</v>
      </c>
      <c r="E1749" s="138">
        <v>60</v>
      </c>
      <c r="F1749" s="144">
        <v>1</v>
      </c>
      <c r="H1749" t="str">
        <f t="shared" si="30"/>
        <v>15006150061980</v>
      </c>
    </row>
    <row r="1750" spans="1:8" x14ac:dyDescent="0.25">
      <c r="A1750" s="110" t="s">
        <v>4809</v>
      </c>
      <c r="B1750" s="125" t="s">
        <v>3189</v>
      </c>
      <c r="C1750" s="138">
        <v>0.32</v>
      </c>
      <c r="D1750" s="138">
        <v>19.2</v>
      </c>
      <c r="E1750" s="138">
        <v>187.5</v>
      </c>
      <c r="F1750" s="140">
        <v>0.32</v>
      </c>
      <c r="H1750" t="str">
        <f t="shared" si="30"/>
        <v>15006150061981</v>
      </c>
    </row>
    <row r="1751" spans="1:8" x14ac:dyDescent="0.25">
      <c r="A1751" s="110" t="s">
        <v>4810</v>
      </c>
      <c r="B1751" s="125" t="s">
        <v>3190</v>
      </c>
      <c r="C1751" s="138">
        <v>0.32</v>
      </c>
      <c r="D1751" s="138">
        <v>19.2</v>
      </c>
      <c r="E1751" s="138">
        <v>187.5</v>
      </c>
      <c r="F1751" s="140">
        <v>0.32</v>
      </c>
      <c r="H1751" t="str">
        <f t="shared" si="30"/>
        <v>15006150061982</v>
      </c>
    </row>
    <row r="1752" spans="1:8" x14ac:dyDescent="0.25">
      <c r="A1752" s="110" t="s">
        <v>4811</v>
      </c>
      <c r="B1752" s="125" t="s">
        <v>3191</v>
      </c>
      <c r="C1752" s="138">
        <v>0.32</v>
      </c>
      <c r="D1752" s="138">
        <v>19.2</v>
      </c>
      <c r="E1752" s="138">
        <v>187.5</v>
      </c>
      <c r="F1752" s="140">
        <v>0.32</v>
      </c>
      <c r="H1752" t="str">
        <f t="shared" si="30"/>
        <v>15006150061983</v>
      </c>
    </row>
    <row r="1753" spans="1:8" x14ac:dyDescent="0.25">
      <c r="A1753" s="110" t="s">
        <v>4812</v>
      </c>
      <c r="B1753" s="125" t="s">
        <v>3192</v>
      </c>
      <c r="C1753" s="138">
        <v>0.32</v>
      </c>
      <c r="D1753" s="138">
        <v>19.2</v>
      </c>
      <c r="E1753" s="138">
        <v>187.5</v>
      </c>
      <c r="F1753" s="140">
        <v>0.32</v>
      </c>
      <c r="H1753" t="str">
        <f t="shared" si="30"/>
        <v>15006150061984</v>
      </c>
    </row>
    <row r="1754" spans="1:8" x14ac:dyDescent="0.25">
      <c r="A1754" s="111" t="s">
        <v>4867</v>
      </c>
      <c r="B1754" s="125" t="s">
        <v>3262</v>
      </c>
      <c r="C1754" s="138">
        <v>0.4</v>
      </c>
      <c r="D1754" s="138">
        <v>24</v>
      </c>
      <c r="E1754" s="138">
        <v>150</v>
      </c>
      <c r="F1754" s="140">
        <v>0.4</v>
      </c>
      <c r="H1754" t="str">
        <f t="shared" si="30"/>
        <v>15006150061985</v>
      </c>
    </row>
    <row r="1755" spans="1:8" x14ac:dyDescent="0.25">
      <c r="A1755" s="111" t="s">
        <v>4868</v>
      </c>
      <c r="B1755" s="125" t="s">
        <v>3263</v>
      </c>
      <c r="C1755" s="138">
        <v>0.4</v>
      </c>
      <c r="D1755" s="138">
        <v>24</v>
      </c>
      <c r="E1755" s="138">
        <v>150</v>
      </c>
      <c r="F1755" s="140">
        <v>0.4</v>
      </c>
      <c r="H1755" t="str">
        <f t="shared" si="30"/>
        <v>15006150061986</v>
      </c>
    </row>
    <row r="1756" spans="1:8" x14ac:dyDescent="0.25">
      <c r="A1756" s="114" t="s">
        <v>5644</v>
      </c>
      <c r="B1756" s="130" t="s">
        <v>3238</v>
      </c>
      <c r="C1756" s="138">
        <v>0.6</v>
      </c>
      <c r="D1756" s="142">
        <v>36</v>
      </c>
      <c r="E1756" s="142">
        <v>100</v>
      </c>
      <c r="F1756" s="143">
        <v>0.6</v>
      </c>
      <c r="H1756" t="str">
        <f t="shared" si="30"/>
        <v>15006150061987</v>
      </c>
    </row>
    <row r="1757" spans="1:8" x14ac:dyDescent="0.25">
      <c r="A1757" s="114" t="s">
        <v>5645</v>
      </c>
      <c r="B1757" s="130" t="s">
        <v>3239</v>
      </c>
      <c r="C1757" s="138">
        <v>0.6</v>
      </c>
      <c r="D1757" s="142">
        <v>36</v>
      </c>
      <c r="E1757" s="142">
        <v>100</v>
      </c>
      <c r="F1757" s="143">
        <v>0.6</v>
      </c>
      <c r="H1757" t="str">
        <f t="shared" si="30"/>
        <v>15006150061988</v>
      </c>
    </row>
    <row r="1758" spans="1:8" x14ac:dyDescent="0.25">
      <c r="A1758" s="110" t="s">
        <v>4801</v>
      </c>
      <c r="B1758" s="125" t="s">
        <v>1415</v>
      </c>
      <c r="C1758" s="138">
        <v>0.55000000000000004</v>
      </c>
      <c r="D1758" s="138">
        <v>33</v>
      </c>
      <c r="E1758" s="138">
        <v>109.09090909090909</v>
      </c>
      <c r="F1758" s="139">
        <v>0.55000000000000004</v>
      </c>
      <c r="H1758" t="str">
        <f t="shared" si="30"/>
        <v>15006150061989</v>
      </c>
    </row>
    <row r="1759" spans="1:8" x14ac:dyDescent="0.25">
      <c r="A1759" s="110" t="s">
        <v>4801</v>
      </c>
      <c r="B1759" s="125" t="s">
        <v>1415</v>
      </c>
      <c r="C1759" s="138">
        <v>0.32</v>
      </c>
      <c r="D1759" s="138">
        <v>19.2</v>
      </c>
      <c r="E1759" s="138">
        <v>187.5</v>
      </c>
      <c r="F1759" s="140">
        <v>0.32</v>
      </c>
      <c r="H1759" t="str">
        <f t="shared" si="30"/>
        <v>15006150061989</v>
      </c>
    </row>
    <row r="1760" spans="1:8" x14ac:dyDescent="0.25">
      <c r="A1760" s="110" t="s">
        <v>4802</v>
      </c>
      <c r="B1760" s="125" t="s">
        <v>1416</v>
      </c>
      <c r="C1760" s="138">
        <v>0.55000000000000004</v>
      </c>
      <c r="D1760" s="138">
        <v>33</v>
      </c>
      <c r="E1760" s="138">
        <v>109.09090909090909</v>
      </c>
      <c r="F1760" s="139">
        <v>0.55000000000000004</v>
      </c>
      <c r="H1760" t="str">
        <f t="shared" si="30"/>
        <v>15006150061990</v>
      </c>
    </row>
    <row r="1761" spans="1:8" x14ac:dyDescent="0.25">
      <c r="A1761" s="110" t="s">
        <v>4802</v>
      </c>
      <c r="B1761" s="125" t="s">
        <v>1416</v>
      </c>
      <c r="C1761" s="138">
        <v>0.32</v>
      </c>
      <c r="D1761" s="138">
        <v>19.2</v>
      </c>
      <c r="E1761" s="138">
        <v>187.5</v>
      </c>
      <c r="F1761" s="140">
        <v>0.32</v>
      </c>
      <c r="H1761" t="str">
        <f t="shared" si="30"/>
        <v>15006150061990</v>
      </c>
    </row>
    <row r="1762" spans="1:8" x14ac:dyDescent="0.25">
      <c r="A1762" s="110" t="s">
        <v>4803</v>
      </c>
      <c r="B1762" s="125" t="s">
        <v>1417</v>
      </c>
      <c r="C1762" s="138">
        <v>0.55000000000000004</v>
      </c>
      <c r="D1762" s="138">
        <v>33</v>
      </c>
      <c r="E1762" s="138">
        <v>109.09090909090909</v>
      </c>
      <c r="F1762" s="139">
        <v>0.55000000000000004</v>
      </c>
      <c r="H1762" t="str">
        <f t="shared" si="30"/>
        <v>15006150061991</v>
      </c>
    </row>
    <row r="1763" spans="1:8" x14ac:dyDescent="0.25">
      <c r="A1763" s="110" t="s">
        <v>4803</v>
      </c>
      <c r="B1763" s="125" t="s">
        <v>1417</v>
      </c>
      <c r="C1763" s="138">
        <v>0.32</v>
      </c>
      <c r="D1763" s="138">
        <v>19.2</v>
      </c>
      <c r="E1763" s="138">
        <v>187.5</v>
      </c>
      <c r="F1763" s="140">
        <v>0.32</v>
      </c>
      <c r="H1763" t="str">
        <f t="shared" si="30"/>
        <v>15006150061991</v>
      </c>
    </row>
    <row r="1764" spans="1:8" x14ac:dyDescent="0.25">
      <c r="A1764" s="110" t="s">
        <v>4804</v>
      </c>
      <c r="B1764" s="125" t="s">
        <v>1418</v>
      </c>
      <c r="C1764" s="138">
        <v>0.55000000000000004</v>
      </c>
      <c r="D1764" s="138">
        <v>33</v>
      </c>
      <c r="E1764" s="138">
        <v>109.09090909090909</v>
      </c>
      <c r="F1764" s="139">
        <v>0.55000000000000004</v>
      </c>
      <c r="H1764" t="str">
        <f t="shared" si="30"/>
        <v>15006150061992</v>
      </c>
    </row>
    <row r="1765" spans="1:8" x14ac:dyDescent="0.25">
      <c r="A1765" s="110" t="s">
        <v>4804</v>
      </c>
      <c r="B1765" s="125" t="s">
        <v>1418</v>
      </c>
      <c r="C1765" s="138">
        <v>0.32</v>
      </c>
      <c r="D1765" s="138">
        <v>19.2</v>
      </c>
      <c r="E1765" s="138">
        <v>187.5</v>
      </c>
      <c r="F1765" s="140">
        <v>0.32</v>
      </c>
      <c r="H1765" t="str">
        <f t="shared" si="30"/>
        <v>15006150061992</v>
      </c>
    </row>
    <row r="1766" spans="1:8" ht="14.5" x14ac:dyDescent="0.25">
      <c r="A1766" s="112" t="s">
        <v>4813</v>
      </c>
      <c r="B1766" s="127" t="s">
        <v>3193</v>
      </c>
      <c r="C1766" s="138">
        <v>0.5</v>
      </c>
      <c r="D1766" s="138">
        <v>30</v>
      </c>
      <c r="E1766" s="138">
        <v>120</v>
      </c>
      <c r="F1766" s="140">
        <v>0.5</v>
      </c>
      <c r="H1766" t="str">
        <f t="shared" si="30"/>
        <v>15006150061993</v>
      </c>
    </row>
    <row r="1767" spans="1:8" ht="14.5" x14ac:dyDescent="0.25">
      <c r="A1767" s="112" t="s">
        <v>4814</v>
      </c>
      <c r="B1767" s="128" t="s">
        <v>3194</v>
      </c>
      <c r="C1767" s="138">
        <v>0.5</v>
      </c>
      <c r="D1767" s="138">
        <v>30</v>
      </c>
      <c r="E1767" s="138">
        <v>120</v>
      </c>
      <c r="F1767" s="140">
        <v>0.5</v>
      </c>
      <c r="H1767" t="str">
        <f t="shared" si="30"/>
        <v>15006150061994</v>
      </c>
    </row>
    <row r="1768" spans="1:8" x14ac:dyDescent="0.25">
      <c r="A1768" s="110" t="s">
        <v>5646</v>
      </c>
      <c r="B1768" s="125" t="s">
        <v>1419</v>
      </c>
      <c r="C1768" s="138">
        <v>0.5</v>
      </c>
      <c r="D1768" s="138">
        <v>30</v>
      </c>
      <c r="E1768" s="138">
        <v>120</v>
      </c>
      <c r="F1768" s="139">
        <v>0.5</v>
      </c>
      <c r="H1768" t="str">
        <f t="shared" si="30"/>
        <v>15006150061995</v>
      </c>
    </row>
    <row r="1769" spans="1:8" x14ac:dyDescent="0.25">
      <c r="A1769" s="110" t="s">
        <v>5647</v>
      </c>
      <c r="B1769" s="125" t="s">
        <v>1420</v>
      </c>
      <c r="C1769" s="138">
        <v>0.5</v>
      </c>
      <c r="D1769" s="138">
        <v>30</v>
      </c>
      <c r="E1769" s="138">
        <v>120</v>
      </c>
      <c r="F1769" s="139">
        <v>0.5</v>
      </c>
      <c r="H1769" t="str">
        <f t="shared" si="30"/>
        <v>15006150061996</v>
      </c>
    </row>
    <row r="1770" spans="1:8" x14ac:dyDescent="0.25">
      <c r="A1770" s="118" t="s">
        <v>5648</v>
      </c>
      <c r="B1770" s="135" t="s">
        <v>3364</v>
      </c>
      <c r="C1770" s="160">
        <v>0.41699999999999998</v>
      </c>
      <c r="D1770" s="138"/>
      <c r="E1770" s="138"/>
      <c r="F1770" s="144"/>
      <c r="H1770" t="str">
        <f t="shared" si="30"/>
        <v>15006150062005</v>
      </c>
    </row>
    <row r="1771" spans="1:8" x14ac:dyDescent="0.25">
      <c r="A1771" s="118" t="s">
        <v>5649</v>
      </c>
      <c r="B1771" s="135" t="s">
        <v>3365</v>
      </c>
      <c r="C1771" s="160">
        <v>0.41699999999999998</v>
      </c>
      <c r="D1771" s="138"/>
      <c r="E1771" s="138"/>
      <c r="F1771" s="144"/>
      <c r="H1771" t="str">
        <f t="shared" si="30"/>
        <v>15006150062006</v>
      </c>
    </row>
    <row r="1772" spans="1:8" x14ac:dyDescent="0.25">
      <c r="A1772" s="111" t="s">
        <v>4836</v>
      </c>
      <c r="B1772" s="126" t="s">
        <v>3219</v>
      </c>
      <c r="C1772" s="138">
        <v>1.1200000000000001</v>
      </c>
      <c r="D1772" s="138">
        <v>67.2</v>
      </c>
      <c r="E1772" s="138">
        <v>53.571428571428569</v>
      </c>
      <c r="F1772" s="140">
        <v>1.1200000000000001</v>
      </c>
      <c r="H1772" t="str">
        <f t="shared" si="30"/>
        <v>15006150062009</v>
      </c>
    </row>
    <row r="1773" spans="1:8" x14ac:dyDescent="0.25">
      <c r="A1773" s="111" t="s">
        <v>4837</v>
      </c>
      <c r="B1773" s="126" t="s">
        <v>3218</v>
      </c>
      <c r="C1773" s="138">
        <v>1.1200000000000001</v>
      </c>
      <c r="D1773" s="138">
        <v>67.2</v>
      </c>
      <c r="E1773" s="138">
        <v>53.571428571428569</v>
      </c>
      <c r="F1773" s="140">
        <v>1.1200000000000001</v>
      </c>
      <c r="H1773" t="str">
        <f t="shared" si="30"/>
        <v>15006150062010</v>
      </c>
    </row>
    <row r="1774" spans="1:8" x14ac:dyDescent="0.25">
      <c r="A1774" s="110" t="s">
        <v>4798</v>
      </c>
      <c r="B1774" s="125" t="s">
        <v>3186</v>
      </c>
      <c r="C1774" s="138">
        <v>0.32</v>
      </c>
      <c r="D1774" s="138">
        <v>19.2</v>
      </c>
      <c r="E1774" s="138">
        <v>187.5</v>
      </c>
      <c r="F1774" s="140">
        <v>0.32</v>
      </c>
      <c r="H1774" t="str">
        <f t="shared" si="30"/>
        <v>15006150062011</v>
      </c>
    </row>
    <row r="1775" spans="1:8" x14ac:dyDescent="0.25">
      <c r="A1775" s="110" t="s">
        <v>4799</v>
      </c>
      <c r="B1775" s="125" t="s">
        <v>3187</v>
      </c>
      <c r="C1775" s="138">
        <v>0.32</v>
      </c>
      <c r="D1775" s="138">
        <v>19.2</v>
      </c>
      <c r="E1775" s="138">
        <v>187.5</v>
      </c>
      <c r="F1775" s="140">
        <v>0.32</v>
      </c>
      <c r="H1775" t="str">
        <f t="shared" si="30"/>
        <v>15006150062012</v>
      </c>
    </row>
    <row r="1776" spans="1:8" x14ac:dyDescent="0.25">
      <c r="A1776" s="110" t="s">
        <v>5650</v>
      </c>
      <c r="B1776" s="125" t="s">
        <v>1421</v>
      </c>
      <c r="C1776" s="138">
        <v>0.56000000000000005</v>
      </c>
      <c r="D1776" s="138">
        <v>33.6</v>
      </c>
      <c r="E1776" s="138">
        <v>107.14285714285714</v>
      </c>
      <c r="F1776" s="139">
        <v>0.56000000000000005</v>
      </c>
      <c r="H1776" t="str">
        <f t="shared" si="30"/>
        <v>15006150062017</v>
      </c>
    </row>
    <row r="1777" spans="1:8" x14ac:dyDescent="0.25">
      <c r="A1777" s="110" t="s">
        <v>5651</v>
      </c>
      <c r="B1777" s="125" t="s">
        <v>1422</v>
      </c>
      <c r="C1777" s="138">
        <v>0.56000000000000005</v>
      </c>
      <c r="D1777" s="138">
        <v>33.6</v>
      </c>
      <c r="E1777" s="138">
        <v>107.14285714285714</v>
      </c>
      <c r="F1777" s="139">
        <v>0.56000000000000005</v>
      </c>
      <c r="H1777" t="str">
        <f t="shared" si="30"/>
        <v>15006150062018</v>
      </c>
    </row>
    <row r="1778" spans="1:8" x14ac:dyDescent="0.25">
      <c r="A1778" s="110" t="s">
        <v>5652</v>
      </c>
      <c r="B1778" s="125" t="s">
        <v>1837</v>
      </c>
      <c r="C1778" s="138">
        <v>0.27</v>
      </c>
      <c r="D1778" s="138">
        <v>16.200000000000003</v>
      </c>
      <c r="E1778" s="138">
        <v>222.22222222222217</v>
      </c>
      <c r="F1778" s="139">
        <v>0.27</v>
      </c>
      <c r="H1778" t="str">
        <f t="shared" si="30"/>
        <v>15006150062020</v>
      </c>
    </row>
    <row r="1779" spans="1:8" x14ac:dyDescent="0.25">
      <c r="A1779" s="118" t="s">
        <v>5653</v>
      </c>
      <c r="B1779" s="134" t="s">
        <v>3283</v>
      </c>
      <c r="C1779" s="138">
        <v>0.5</v>
      </c>
      <c r="D1779" s="138">
        <v>30</v>
      </c>
      <c r="E1779" s="138">
        <v>120</v>
      </c>
      <c r="F1779" s="144">
        <v>0.5</v>
      </c>
      <c r="H1779" t="str">
        <f t="shared" si="30"/>
        <v>15006150062023</v>
      </c>
    </row>
    <row r="1780" spans="1:8" x14ac:dyDescent="0.25">
      <c r="A1780" s="118" t="s">
        <v>5653</v>
      </c>
      <c r="B1780" s="135" t="s">
        <v>3309</v>
      </c>
      <c r="C1780" s="138">
        <v>1</v>
      </c>
      <c r="D1780" s="138">
        <v>60</v>
      </c>
      <c r="E1780" s="138">
        <v>60</v>
      </c>
      <c r="F1780" s="144">
        <v>1</v>
      </c>
      <c r="H1780" t="str">
        <f t="shared" si="30"/>
        <v>15006150062023</v>
      </c>
    </row>
    <row r="1781" spans="1:8" x14ac:dyDescent="0.25">
      <c r="A1781" s="118" t="s">
        <v>5654</v>
      </c>
      <c r="B1781" s="134" t="s">
        <v>3284</v>
      </c>
      <c r="C1781" s="138">
        <v>0.6</v>
      </c>
      <c r="D1781" s="138">
        <v>36</v>
      </c>
      <c r="E1781" s="138">
        <v>100</v>
      </c>
      <c r="F1781" s="144">
        <v>0.6</v>
      </c>
      <c r="H1781" t="str">
        <f t="shared" si="30"/>
        <v>15006150062024</v>
      </c>
    </row>
    <row r="1782" spans="1:8" x14ac:dyDescent="0.25">
      <c r="A1782" s="118" t="s">
        <v>5654</v>
      </c>
      <c r="B1782" s="135" t="s">
        <v>3310</v>
      </c>
      <c r="C1782" s="138">
        <v>1</v>
      </c>
      <c r="D1782" s="138">
        <v>60</v>
      </c>
      <c r="E1782" s="138">
        <v>60</v>
      </c>
      <c r="F1782" s="144">
        <v>1</v>
      </c>
      <c r="H1782" t="str">
        <f t="shared" si="30"/>
        <v>15006150062024</v>
      </c>
    </row>
    <row r="1783" spans="1:8" x14ac:dyDescent="0.25">
      <c r="A1783" s="118" t="s">
        <v>4875</v>
      </c>
      <c r="B1783" s="135" t="s">
        <v>3286</v>
      </c>
      <c r="C1783" s="138">
        <v>0.5</v>
      </c>
      <c r="D1783" s="138">
        <v>30</v>
      </c>
      <c r="E1783" s="138">
        <v>120</v>
      </c>
      <c r="F1783" s="144">
        <v>0.5</v>
      </c>
      <c r="H1783" t="str">
        <f t="shared" si="30"/>
        <v>15006150062025</v>
      </c>
    </row>
    <row r="1784" spans="1:8" x14ac:dyDescent="0.25">
      <c r="A1784" s="118" t="s">
        <v>4876</v>
      </c>
      <c r="B1784" s="135" t="s">
        <v>3285</v>
      </c>
      <c r="C1784" s="138">
        <v>0.5</v>
      </c>
      <c r="D1784" s="138">
        <v>30</v>
      </c>
      <c r="E1784" s="138">
        <v>120</v>
      </c>
      <c r="F1784" s="144">
        <v>0.5</v>
      </c>
      <c r="H1784" t="str">
        <f t="shared" si="30"/>
        <v>15006150062026</v>
      </c>
    </row>
    <row r="1785" spans="1:8" x14ac:dyDescent="0.25">
      <c r="A1785" s="118" t="s">
        <v>4919</v>
      </c>
      <c r="B1785" s="135" t="s">
        <v>3337</v>
      </c>
      <c r="C1785" s="138">
        <v>1</v>
      </c>
      <c r="D1785" s="138">
        <v>60</v>
      </c>
      <c r="E1785" s="138">
        <v>60</v>
      </c>
      <c r="F1785" s="144">
        <v>1</v>
      </c>
      <c r="H1785" t="str">
        <f t="shared" si="30"/>
        <v>15006150062027</v>
      </c>
    </row>
    <row r="1786" spans="1:8" x14ac:dyDescent="0.25">
      <c r="A1786" s="118" t="s">
        <v>4920</v>
      </c>
      <c r="B1786" s="135" t="s">
        <v>3338</v>
      </c>
      <c r="C1786" s="138">
        <v>1</v>
      </c>
      <c r="D1786" s="138">
        <v>60</v>
      </c>
      <c r="E1786" s="138">
        <v>60</v>
      </c>
      <c r="F1786" s="144">
        <v>1</v>
      </c>
      <c r="H1786" t="str">
        <f t="shared" si="30"/>
        <v>15006150062028</v>
      </c>
    </row>
    <row r="1787" spans="1:8" x14ac:dyDescent="0.25">
      <c r="A1787" s="110" t="s">
        <v>5655</v>
      </c>
      <c r="B1787" s="125" t="s">
        <v>1423</v>
      </c>
      <c r="C1787" s="138">
        <v>0.35</v>
      </c>
      <c r="D1787" s="138">
        <v>21</v>
      </c>
      <c r="E1787" s="138">
        <v>171.42857142857142</v>
      </c>
      <c r="F1787" s="139">
        <v>0.35</v>
      </c>
      <c r="H1787" t="str">
        <f t="shared" si="30"/>
        <v>15006150062029</v>
      </c>
    </row>
    <row r="1788" spans="1:8" x14ac:dyDescent="0.25">
      <c r="A1788" s="110" t="s">
        <v>5656</v>
      </c>
      <c r="B1788" s="125" t="s">
        <v>1424</v>
      </c>
      <c r="C1788" s="138">
        <v>0.35</v>
      </c>
      <c r="D1788" s="138">
        <v>21</v>
      </c>
      <c r="E1788" s="138">
        <v>171.42857142857142</v>
      </c>
      <c r="F1788" s="139">
        <v>0.35</v>
      </c>
      <c r="H1788" t="str">
        <f t="shared" si="30"/>
        <v>15006150062030</v>
      </c>
    </row>
    <row r="1789" spans="1:8" x14ac:dyDescent="0.25">
      <c r="A1789" s="110" t="s">
        <v>5657</v>
      </c>
      <c r="B1789" s="125" t="s">
        <v>1425</v>
      </c>
      <c r="C1789" s="138">
        <v>0.35</v>
      </c>
      <c r="D1789" s="138">
        <v>21</v>
      </c>
      <c r="E1789" s="138">
        <v>171.42857142857142</v>
      </c>
      <c r="F1789" s="139">
        <v>0.35</v>
      </c>
      <c r="H1789" t="str">
        <f t="shared" si="30"/>
        <v>15006150062031</v>
      </c>
    </row>
    <row r="1790" spans="1:8" x14ac:dyDescent="0.25">
      <c r="A1790" s="110" t="s">
        <v>5658</v>
      </c>
      <c r="B1790" s="125" t="s">
        <v>1426</v>
      </c>
      <c r="C1790" s="138">
        <v>0.35</v>
      </c>
      <c r="D1790" s="138">
        <v>21</v>
      </c>
      <c r="E1790" s="138">
        <v>171.42857142857142</v>
      </c>
      <c r="F1790" s="139">
        <v>0.35</v>
      </c>
      <c r="H1790" t="str">
        <f t="shared" si="30"/>
        <v>15006150062032</v>
      </c>
    </row>
    <row r="1791" spans="1:8" x14ac:dyDescent="0.25">
      <c r="A1791" s="110" t="s">
        <v>5659</v>
      </c>
      <c r="B1791" s="125" t="s">
        <v>1427</v>
      </c>
      <c r="C1791" s="138">
        <v>0.35</v>
      </c>
      <c r="D1791" s="138">
        <v>21</v>
      </c>
      <c r="E1791" s="138">
        <v>171.42857142857142</v>
      </c>
      <c r="F1791" s="139">
        <v>0.35</v>
      </c>
      <c r="H1791" t="str">
        <f t="shared" si="30"/>
        <v>15006150062035</v>
      </c>
    </row>
    <row r="1792" spans="1:8" x14ac:dyDescent="0.25">
      <c r="A1792" s="110" t="s">
        <v>5660</v>
      </c>
      <c r="B1792" s="125" t="s">
        <v>1428</v>
      </c>
      <c r="C1792" s="138">
        <v>0.35</v>
      </c>
      <c r="D1792" s="138">
        <v>21</v>
      </c>
      <c r="E1792" s="138">
        <v>171.42857142857142</v>
      </c>
      <c r="F1792" s="139">
        <v>0.35</v>
      </c>
      <c r="H1792" t="str">
        <f t="shared" si="30"/>
        <v>15006150062036</v>
      </c>
    </row>
    <row r="1793" spans="1:8" x14ac:dyDescent="0.25">
      <c r="A1793" s="118" t="s">
        <v>4891</v>
      </c>
      <c r="B1793" s="135" t="s">
        <v>3262</v>
      </c>
      <c r="C1793" s="138">
        <v>0.3</v>
      </c>
      <c r="D1793" s="138">
        <v>18</v>
      </c>
      <c r="E1793" s="138">
        <v>200</v>
      </c>
      <c r="F1793" s="144">
        <v>0.3</v>
      </c>
      <c r="H1793" t="str">
        <f t="shared" si="30"/>
        <v>15006150062037</v>
      </c>
    </row>
    <row r="1794" spans="1:8" x14ac:dyDescent="0.25">
      <c r="A1794" s="118" t="s">
        <v>4892</v>
      </c>
      <c r="B1794" s="135" t="s">
        <v>3263</v>
      </c>
      <c r="C1794" s="138">
        <v>0.3</v>
      </c>
      <c r="D1794" s="138">
        <v>18</v>
      </c>
      <c r="E1794" s="138">
        <v>200</v>
      </c>
      <c r="F1794" s="144">
        <v>0.3</v>
      </c>
      <c r="H1794" t="str">
        <f t="shared" si="30"/>
        <v>15006150062039</v>
      </c>
    </row>
    <row r="1795" spans="1:8" x14ac:dyDescent="0.25">
      <c r="A1795" s="110" t="s">
        <v>4859</v>
      </c>
      <c r="B1795" s="125" t="s">
        <v>1838</v>
      </c>
      <c r="C1795" s="138">
        <v>0.4</v>
      </c>
      <c r="D1795" s="138">
        <v>24</v>
      </c>
      <c r="E1795" s="138">
        <v>150</v>
      </c>
      <c r="F1795" s="139">
        <v>0.4</v>
      </c>
      <c r="H1795" t="str">
        <f t="shared" si="30"/>
        <v>15006150062040</v>
      </c>
    </row>
    <row r="1796" spans="1:8" x14ac:dyDescent="0.25">
      <c r="A1796" s="114" t="s">
        <v>4859</v>
      </c>
      <c r="B1796" s="131" t="s">
        <v>3254</v>
      </c>
      <c r="C1796" s="138">
        <v>0.3</v>
      </c>
      <c r="D1796" s="142">
        <v>18</v>
      </c>
      <c r="E1796" s="142">
        <v>200</v>
      </c>
      <c r="F1796" s="143">
        <v>0.3</v>
      </c>
      <c r="H1796" t="str">
        <f t="shared" ref="H1796:H1859" si="31">CONCATENATE($G$835,A1796)</f>
        <v>15006150062040</v>
      </c>
    </row>
    <row r="1797" spans="1:8" x14ac:dyDescent="0.25">
      <c r="A1797" s="114" t="s">
        <v>4860</v>
      </c>
      <c r="B1797" s="131" t="s">
        <v>3255</v>
      </c>
      <c r="C1797" s="138">
        <v>0.3</v>
      </c>
      <c r="D1797" s="142">
        <v>18</v>
      </c>
      <c r="E1797" s="142">
        <v>200</v>
      </c>
      <c r="F1797" s="143">
        <v>0.3</v>
      </c>
      <c r="H1797" t="str">
        <f t="shared" si="31"/>
        <v>15006150062041</v>
      </c>
    </row>
    <row r="1798" spans="1:8" x14ac:dyDescent="0.25">
      <c r="A1798" s="110" t="s">
        <v>4805</v>
      </c>
      <c r="B1798" s="125" t="s">
        <v>1429</v>
      </c>
      <c r="C1798" s="138">
        <v>0.41</v>
      </c>
      <c r="D1798" s="138">
        <v>24.599999999999998</v>
      </c>
      <c r="E1798" s="138">
        <v>146.34146341463415</v>
      </c>
      <c r="F1798" s="139">
        <v>0.41</v>
      </c>
      <c r="H1798" t="str">
        <f t="shared" si="31"/>
        <v>15006150062042</v>
      </c>
    </row>
    <row r="1799" spans="1:8" x14ac:dyDescent="0.25">
      <c r="A1799" s="110" t="s">
        <v>4805</v>
      </c>
      <c r="B1799" s="125" t="s">
        <v>1429</v>
      </c>
      <c r="C1799" s="138">
        <v>0.32</v>
      </c>
      <c r="D1799" s="138">
        <v>19.2</v>
      </c>
      <c r="E1799" s="138">
        <v>187.5</v>
      </c>
      <c r="F1799" s="140">
        <v>0.32</v>
      </c>
      <c r="H1799" t="str">
        <f t="shared" si="31"/>
        <v>15006150062042</v>
      </c>
    </row>
    <row r="1800" spans="1:8" x14ac:dyDescent="0.25">
      <c r="A1800" s="110" t="s">
        <v>4806</v>
      </c>
      <c r="B1800" s="125" t="s">
        <v>1430</v>
      </c>
      <c r="C1800" s="138">
        <v>0.41</v>
      </c>
      <c r="D1800" s="138">
        <v>24.599999999999998</v>
      </c>
      <c r="E1800" s="138">
        <v>146.34146341463415</v>
      </c>
      <c r="F1800" s="139">
        <v>0.41</v>
      </c>
      <c r="H1800" t="str">
        <f t="shared" si="31"/>
        <v>15006150062043</v>
      </c>
    </row>
    <row r="1801" spans="1:8" x14ac:dyDescent="0.25">
      <c r="A1801" s="110" t="s">
        <v>4806</v>
      </c>
      <c r="B1801" s="125" t="s">
        <v>1430</v>
      </c>
      <c r="C1801" s="138">
        <v>0.32</v>
      </c>
      <c r="D1801" s="138">
        <v>19.2</v>
      </c>
      <c r="E1801" s="138">
        <v>187.5</v>
      </c>
      <c r="F1801" s="140">
        <v>0.32</v>
      </c>
      <c r="H1801" t="str">
        <f t="shared" si="31"/>
        <v>15006150062043</v>
      </c>
    </row>
    <row r="1802" spans="1:8" x14ac:dyDescent="0.25">
      <c r="A1802" s="110" t="s">
        <v>4807</v>
      </c>
      <c r="B1802" s="125" t="s">
        <v>1431</v>
      </c>
      <c r="C1802" s="138">
        <v>0.38</v>
      </c>
      <c r="D1802" s="138">
        <v>22.8</v>
      </c>
      <c r="E1802" s="138">
        <v>157.89473684210526</v>
      </c>
      <c r="F1802" s="139">
        <v>0.38</v>
      </c>
      <c r="H1802" t="str">
        <f t="shared" si="31"/>
        <v>15006150062044</v>
      </c>
    </row>
    <row r="1803" spans="1:8" x14ac:dyDescent="0.25">
      <c r="A1803" s="110" t="s">
        <v>4807</v>
      </c>
      <c r="B1803" s="125" t="s">
        <v>1431</v>
      </c>
      <c r="C1803" s="138">
        <v>0.32</v>
      </c>
      <c r="D1803" s="138">
        <v>19.2</v>
      </c>
      <c r="E1803" s="138">
        <v>187.5</v>
      </c>
      <c r="F1803" s="140">
        <v>0.32</v>
      </c>
      <c r="H1803" t="str">
        <f t="shared" si="31"/>
        <v>15006150062044</v>
      </c>
    </row>
    <row r="1804" spans="1:8" x14ac:dyDescent="0.25">
      <c r="A1804" s="110" t="s">
        <v>4808</v>
      </c>
      <c r="B1804" s="125" t="s">
        <v>1432</v>
      </c>
      <c r="C1804" s="138">
        <v>0.38</v>
      </c>
      <c r="D1804" s="138">
        <v>22.8</v>
      </c>
      <c r="E1804" s="138">
        <v>157.89473684210526</v>
      </c>
      <c r="F1804" s="139">
        <v>0.38</v>
      </c>
      <c r="H1804" t="str">
        <f t="shared" si="31"/>
        <v>15006150062045</v>
      </c>
    </row>
    <row r="1805" spans="1:8" x14ac:dyDescent="0.25">
      <c r="A1805" s="110" t="s">
        <v>4808</v>
      </c>
      <c r="B1805" s="125" t="s">
        <v>1432</v>
      </c>
      <c r="C1805" s="138">
        <v>2.0499999999999998</v>
      </c>
      <c r="D1805" s="138">
        <v>122.99999999999999</v>
      </c>
      <c r="E1805" s="138">
        <v>29.268292682926834</v>
      </c>
      <c r="F1805" s="139">
        <v>2.0499999999999998</v>
      </c>
      <c r="H1805" t="str">
        <f t="shared" si="31"/>
        <v>15006150062045</v>
      </c>
    </row>
    <row r="1806" spans="1:8" x14ac:dyDescent="0.25">
      <c r="A1806" s="110" t="s">
        <v>4808</v>
      </c>
      <c r="B1806" s="125" t="s">
        <v>1432</v>
      </c>
      <c r="C1806" s="138">
        <v>0.32</v>
      </c>
      <c r="D1806" s="138">
        <v>19.2</v>
      </c>
      <c r="E1806" s="138">
        <v>187.5</v>
      </c>
      <c r="F1806" s="140">
        <v>0.32</v>
      </c>
      <c r="H1806" t="str">
        <f t="shared" si="31"/>
        <v>15006150062045</v>
      </c>
    </row>
    <row r="1807" spans="1:8" x14ac:dyDescent="0.25">
      <c r="A1807" s="110" t="s">
        <v>5661</v>
      </c>
      <c r="B1807" s="125" t="s">
        <v>770</v>
      </c>
      <c r="C1807" s="138">
        <v>0.28000000000000003</v>
      </c>
      <c r="D1807" s="138">
        <v>16.8</v>
      </c>
      <c r="E1807" s="138">
        <v>214.28571428571428</v>
      </c>
      <c r="F1807" s="139">
        <v>0.28000000000000003</v>
      </c>
      <c r="H1807" t="str">
        <f t="shared" si="31"/>
        <v>15006150062052</v>
      </c>
    </row>
    <row r="1808" spans="1:8" x14ac:dyDescent="0.25">
      <c r="A1808" s="110" t="s">
        <v>4902</v>
      </c>
      <c r="B1808" s="125" t="s">
        <v>808</v>
      </c>
      <c r="C1808" s="138">
        <v>0.47</v>
      </c>
      <c r="D1808" s="138">
        <v>28.2</v>
      </c>
      <c r="E1808" s="138">
        <v>127.65957446808511</v>
      </c>
      <c r="F1808" s="139">
        <v>0.47</v>
      </c>
      <c r="H1808" t="str">
        <f t="shared" si="31"/>
        <v>15006150062054</v>
      </c>
    </row>
    <row r="1809" spans="1:8" x14ac:dyDescent="0.25">
      <c r="A1809" s="110" t="s">
        <v>4903</v>
      </c>
      <c r="B1809" s="125" t="s">
        <v>809</v>
      </c>
      <c r="C1809" s="138">
        <v>0.47</v>
      </c>
      <c r="D1809" s="138">
        <v>28.2</v>
      </c>
      <c r="E1809" s="138">
        <v>127.65957446808511</v>
      </c>
      <c r="F1809" s="139">
        <v>0.47</v>
      </c>
      <c r="H1809" t="str">
        <f t="shared" si="31"/>
        <v>15006150062055</v>
      </c>
    </row>
    <row r="1810" spans="1:8" x14ac:dyDescent="0.25">
      <c r="A1810" s="110" t="s">
        <v>5662</v>
      </c>
      <c r="B1810" s="125" t="s">
        <v>1433</v>
      </c>
      <c r="C1810" s="138">
        <v>0.56999999999999995</v>
      </c>
      <c r="D1810" s="138">
        <v>34.199999999999996</v>
      </c>
      <c r="E1810" s="138">
        <v>105.26315789473685</v>
      </c>
      <c r="F1810" s="139">
        <v>0.56999999999999995</v>
      </c>
      <c r="H1810" t="str">
        <f t="shared" si="31"/>
        <v>15006150062056</v>
      </c>
    </row>
    <row r="1811" spans="1:8" x14ac:dyDescent="0.25">
      <c r="A1811" s="110" t="s">
        <v>5663</v>
      </c>
      <c r="B1811" s="125" t="s">
        <v>1434</v>
      </c>
      <c r="C1811" s="138">
        <v>0.56999999999999995</v>
      </c>
      <c r="D1811" s="138">
        <v>34.199999999999996</v>
      </c>
      <c r="E1811" s="138">
        <v>105.26315789473685</v>
      </c>
      <c r="F1811" s="139">
        <v>0.56999999999999995</v>
      </c>
      <c r="H1811" t="str">
        <f t="shared" si="31"/>
        <v>15006150062057</v>
      </c>
    </row>
    <row r="1812" spans="1:8" x14ac:dyDescent="0.25">
      <c r="A1812" s="110" t="s">
        <v>5664</v>
      </c>
      <c r="B1812" s="125" t="s">
        <v>1435</v>
      </c>
      <c r="C1812" s="138">
        <v>0.56999999999999995</v>
      </c>
      <c r="D1812" s="138">
        <v>34.199999999999996</v>
      </c>
      <c r="E1812" s="138">
        <v>105.26315789473685</v>
      </c>
      <c r="F1812" s="139">
        <v>0.56999999999999995</v>
      </c>
      <c r="H1812" t="str">
        <f t="shared" si="31"/>
        <v>15006150062058</v>
      </c>
    </row>
    <row r="1813" spans="1:8" x14ac:dyDescent="0.25">
      <c r="A1813" s="110" t="s">
        <v>5665</v>
      </c>
      <c r="B1813" s="125" t="s">
        <v>1436</v>
      </c>
      <c r="C1813" s="138">
        <v>0.56999999999999995</v>
      </c>
      <c r="D1813" s="138">
        <v>34.199999999999996</v>
      </c>
      <c r="E1813" s="138">
        <v>105.26315789473685</v>
      </c>
      <c r="F1813" s="139">
        <v>0.56999999999999995</v>
      </c>
      <c r="H1813" t="str">
        <f t="shared" si="31"/>
        <v>15006150062059</v>
      </c>
    </row>
    <row r="1814" spans="1:8" x14ac:dyDescent="0.25">
      <c r="A1814" s="110" t="s">
        <v>5666</v>
      </c>
      <c r="B1814" s="125" t="s">
        <v>1437</v>
      </c>
      <c r="C1814" s="138">
        <v>0.71</v>
      </c>
      <c r="D1814" s="138">
        <v>42.599999999999994</v>
      </c>
      <c r="E1814" s="138">
        <v>84.507042253521135</v>
      </c>
      <c r="F1814" s="139">
        <v>0.71</v>
      </c>
      <c r="H1814" t="str">
        <f t="shared" si="31"/>
        <v>15006150062060</v>
      </c>
    </row>
    <row r="1815" spans="1:8" x14ac:dyDescent="0.25">
      <c r="A1815" s="110" t="s">
        <v>5667</v>
      </c>
      <c r="B1815" s="125" t="s">
        <v>1438</v>
      </c>
      <c r="C1815" s="138">
        <v>0.71</v>
      </c>
      <c r="D1815" s="138">
        <v>42.599999999999994</v>
      </c>
      <c r="E1815" s="138">
        <v>84.507042253521135</v>
      </c>
      <c r="F1815" s="139">
        <v>0.71</v>
      </c>
      <c r="H1815" t="str">
        <f t="shared" si="31"/>
        <v>15006150062061</v>
      </c>
    </row>
    <row r="1816" spans="1:8" x14ac:dyDescent="0.25">
      <c r="A1816" s="110" t="s">
        <v>5668</v>
      </c>
      <c r="B1816" s="125" t="s">
        <v>1439</v>
      </c>
      <c r="C1816" s="138">
        <v>0.57999999999999996</v>
      </c>
      <c r="D1816" s="138">
        <v>34.799999999999997</v>
      </c>
      <c r="E1816" s="138">
        <v>103.44827586206897</v>
      </c>
      <c r="F1816" s="139">
        <v>0.57999999999999996</v>
      </c>
      <c r="H1816" t="str">
        <f t="shared" si="31"/>
        <v>15006150062062</v>
      </c>
    </row>
    <row r="1817" spans="1:8" x14ac:dyDescent="0.25">
      <c r="A1817" s="110" t="s">
        <v>5669</v>
      </c>
      <c r="B1817" s="125" t="s">
        <v>1440</v>
      </c>
      <c r="C1817" s="138">
        <v>0.57999999999999996</v>
      </c>
      <c r="D1817" s="138">
        <v>34.799999999999997</v>
      </c>
      <c r="E1817" s="138">
        <v>103.44827586206897</v>
      </c>
      <c r="F1817" s="139">
        <v>0.57999999999999996</v>
      </c>
      <c r="H1817" t="str">
        <f t="shared" si="31"/>
        <v>15006150062063</v>
      </c>
    </row>
    <row r="1818" spans="1:8" x14ac:dyDescent="0.25">
      <c r="A1818" s="110" t="s">
        <v>5670</v>
      </c>
      <c r="B1818" s="125" t="s">
        <v>1441</v>
      </c>
      <c r="C1818" s="138">
        <v>0.33</v>
      </c>
      <c r="D1818" s="138">
        <v>19.8</v>
      </c>
      <c r="E1818" s="138">
        <v>181.81818181818181</v>
      </c>
      <c r="F1818" s="139">
        <v>0.33</v>
      </c>
      <c r="H1818" t="str">
        <f t="shared" si="31"/>
        <v>15006150062064</v>
      </c>
    </row>
    <row r="1819" spans="1:8" x14ac:dyDescent="0.25">
      <c r="A1819" s="110" t="s">
        <v>5671</v>
      </c>
      <c r="B1819" s="125" t="s">
        <v>1442</v>
      </c>
      <c r="C1819" s="138">
        <v>0.33</v>
      </c>
      <c r="D1819" s="138">
        <v>19.8</v>
      </c>
      <c r="E1819" s="138">
        <v>181.81818181818181</v>
      </c>
      <c r="F1819" s="139">
        <v>0.33</v>
      </c>
      <c r="H1819" t="str">
        <f t="shared" si="31"/>
        <v>15006150062065</v>
      </c>
    </row>
    <row r="1820" spans="1:8" x14ac:dyDescent="0.25">
      <c r="A1820" s="110" t="s">
        <v>4844</v>
      </c>
      <c r="B1820" s="125" t="s">
        <v>1443</v>
      </c>
      <c r="C1820" s="138">
        <v>0.33</v>
      </c>
      <c r="D1820" s="138">
        <v>19.8</v>
      </c>
      <c r="E1820" s="138">
        <v>181.81818181818181</v>
      </c>
      <c r="F1820" s="139">
        <v>0.33</v>
      </c>
      <c r="H1820" t="str">
        <f t="shared" si="31"/>
        <v>15006150062066</v>
      </c>
    </row>
    <row r="1821" spans="1:8" x14ac:dyDescent="0.25">
      <c r="A1821" s="110" t="s">
        <v>4845</v>
      </c>
      <c r="B1821" s="125" t="s">
        <v>1444</v>
      </c>
      <c r="C1821" s="138">
        <v>0.33</v>
      </c>
      <c r="D1821" s="138">
        <v>19.8</v>
      </c>
      <c r="E1821" s="138">
        <v>181.81818181818181</v>
      </c>
      <c r="F1821" s="139">
        <v>0.33</v>
      </c>
      <c r="H1821" t="str">
        <f t="shared" si="31"/>
        <v>15006150062067</v>
      </c>
    </row>
    <row r="1822" spans="1:8" x14ac:dyDescent="0.25">
      <c r="A1822" s="110" t="s">
        <v>4846</v>
      </c>
      <c r="B1822" s="125" t="s">
        <v>1445</v>
      </c>
      <c r="C1822" s="138">
        <v>0.33</v>
      </c>
      <c r="D1822" s="138">
        <v>19.8</v>
      </c>
      <c r="E1822" s="138">
        <v>181.81818181818181</v>
      </c>
      <c r="F1822" s="139">
        <v>0.33</v>
      </c>
      <c r="H1822" t="str">
        <f t="shared" si="31"/>
        <v>15006150062068</v>
      </c>
    </row>
    <row r="1823" spans="1:8" x14ac:dyDescent="0.25">
      <c r="A1823" s="110" t="s">
        <v>5672</v>
      </c>
      <c r="B1823" s="125" t="s">
        <v>1446</v>
      </c>
      <c r="C1823" s="138">
        <v>0.33</v>
      </c>
      <c r="D1823" s="138">
        <v>19.8</v>
      </c>
      <c r="E1823" s="138">
        <v>181.81818181818181</v>
      </c>
      <c r="F1823" s="139">
        <v>0.33</v>
      </c>
      <c r="H1823" t="str">
        <f t="shared" si="31"/>
        <v>15006150062069</v>
      </c>
    </row>
    <row r="1824" spans="1:8" x14ac:dyDescent="0.25">
      <c r="A1824" s="110" t="s">
        <v>5673</v>
      </c>
      <c r="B1824" s="125" t="s">
        <v>1447</v>
      </c>
      <c r="C1824" s="138">
        <v>0.46</v>
      </c>
      <c r="D1824" s="138">
        <v>27.6</v>
      </c>
      <c r="E1824" s="138">
        <v>130.43478260869566</v>
      </c>
      <c r="F1824" s="139">
        <v>0.46</v>
      </c>
      <c r="H1824" t="str">
        <f t="shared" si="31"/>
        <v>15006150062070</v>
      </c>
    </row>
    <row r="1825" spans="1:8" x14ac:dyDescent="0.25">
      <c r="A1825" s="110" t="s">
        <v>5674</v>
      </c>
      <c r="B1825" s="125" t="s">
        <v>1448</v>
      </c>
      <c r="C1825" s="138">
        <v>0.46</v>
      </c>
      <c r="D1825" s="138">
        <v>27.6</v>
      </c>
      <c r="E1825" s="138">
        <v>130.43478260869566</v>
      </c>
      <c r="F1825" s="139">
        <v>0.46</v>
      </c>
      <c r="H1825" t="str">
        <f t="shared" si="31"/>
        <v>15006150062071</v>
      </c>
    </row>
    <row r="1826" spans="1:8" x14ac:dyDescent="0.25">
      <c r="A1826" s="110" t="s">
        <v>5675</v>
      </c>
      <c r="B1826" s="125" t="s">
        <v>1449</v>
      </c>
      <c r="C1826" s="138">
        <v>0.35</v>
      </c>
      <c r="D1826" s="138">
        <v>21</v>
      </c>
      <c r="E1826" s="138">
        <v>171.42857142857142</v>
      </c>
      <c r="F1826" s="139">
        <v>0.35</v>
      </c>
      <c r="H1826" t="str">
        <f t="shared" si="31"/>
        <v>15006150062072</v>
      </c>
    </row>
    <row r="1827" spans="1:8" x14ac:dyDescent="0.25">
      <c r="A1827" s="110" t="s">
        <v>5676</v>
      </c>
      <c r="B1827" s="125" t="s">
        <v>1450</v>
      </c>
      <c r="C1827" s="138">
        <v>0.35</v>
      </c>
      <c r="D1827" s="138">
        <v>21</v>
      </c>
      <c r="E1827" s="138">
        <v>171.42857142857142</v>
      </c>
      <c r="F1827" s="139">
        <v>0.35</v>
      </c>
      <c r="H1827" t="str">
        <f t="shared" si="31"/>
        <v>15006150062073</v>
      </c>
    </row>
    <row r="1828" spans="1:8" x14ac:dyDescent="0.25">
      <c r="A1828" s="110" t="s">
        <v>5677</v>
      </c>
      <c r="B1828" s="125" t="s">
        <v>1451</v>
      </c>
      <c r="C1828" s="138">
        <v>0.42</v>
      </c>
      <c r="D1828" s="138">
        <v>25.2</v>
      </c>
      <c r="E1828" s="138">
        <v>142.85714285714286</v>
      </c>
      <c r="F1828" s="139">
        <v>0.42</v>
      </c>
      <c r="H1828" t="str">
        <f t="shared" si="31"/>
        <v>15006150062074</v>
      </c>
    </row>
    <row r="1829" spans="1:8" x14ac:dyDescent="0.25">
      <c r="A1829" s="110" t="s">
        <v>5678</v>
      </c>
      <c r="B1829" s="125" t="s">
        <v>1452</v>
      </c>
      <c r="C1829" s="138">
        <v>0.42</v>
      </c>
      <c r="D1829" s="138">
        <v>25.2</v>
      </c>
      <c r="E1829" s="138">
        <v>142.85714285714286</v>
      </c>
      <c r="F1829" s="139">
        <v>0.42</v>
      </c>
      <c r="H1829" t="str">
        <f t="shared" si="31"/>
        <v>15006150062075</v>
      </c>
    </row>
    <row r="1830" spans="1:8" x14ac:dyDescent="0.25">
      <c r="A1830" s="110" t="s">
        <v>5679</v>
      </c>
      <c r="B1830" s="125" t="s">
        <v>1453</v>
      </c>
      <c r="C1830" s="138">
        <v>0.57999999999999996</v>
      </c>
      <c r="D1830" s="138">
        <v>34.799999999999997</v>
      </c>
      <c r="E1830" s="138">
        <v>103.44827586206897</v>
      </c>
      <c r="F1830" s="139">
        <v>0.57999999999999996</v>
      </c>
      <c r="H1830" t="str">
        <f t="shared" si="31"/>
        <v>15006150062076</v>
      </c>
    </row>
    <row r="1831" spans="1:8" x14ac:dyDescent="0.25">
      <c r="A1831" s="110" t="s">
        <v>4904</v>
      </c>
      <c r="B1831" s="125" t="s">
        <v>1454</v>
      </c>
      <c r="C1831" s="138">
        <v>1</v>
      </c>
      <c r="D1831" s="138">
        <v>60</v>
      </c>
      <c r="E1831" s="138">
        <v>60</v>
      </c>
      <c r="F1831" s="139">
        <v>1</v>
      </c>
      <c r="H1831" t="str">
        <f t="shared" si="31"/>
        <v>15006150062077</v>
      </c>
    </row>
    <row r="1832" spans="1:8" x14ac:dyDescent="0.25">
      <c r="A1832" s="110" t="s">
        <v>5680</v>
      </c>
      <c r="B1832" s="125" t="s">
        <v>1455</v>
      </c>
      <c r="C1832" s="138">
        <v>1</v>
      </c>
      <c r="D1832" s="138">
        <v>60</v>
      </c>
      <c r="E1832" s="138">
        <v>60</v>
      </c>
      <c r="F1832" s="139">
        <v>1</v>
      </c>
      <c r="H1832" t="str">
        <f t="shared" si="31"/>
        <v>15006150062078</v>
      </c>
    </row>
    <row r="1833" spans="1:8" x14ac:dyDescent="0.25">
      <c r="A1833" s="110" t="s">
        <v>5681</v>
      </c>
      <c r="B1833" s="125" t="s">
        <v>1456</v>
      </c>
      <c r="C1833" s="138">
        <v>0.83</v>
      </c>
      <c r="D1833" s="138">
        <v>49.8</v>
      </c>
      <c r="E1833" s="138">
        <v>72.289156626506028</v>
      </c>
      <c r="F1833" s="139">
        <v>0.83</v>
      </c>
      <c r="H1833" t="str">
        <f t="shared" si="31"/>
        <v>15006150062079</v>
      </c>
    </row>
    <row r="1834" spans="1:8" x14ac:dyDescent="0.25">
      <c r="A1834" s="110" t="s">
        <v>5682</v>
      </c>
      <c r="B1834" s="125" t="s">
        <v>1457</v>
      </c>
      <c r="C1834" s="138">
        <v>0.75</v>
      </c>
      <c r="D1834" s="138">
        <v>45</v>
      </c>
      <c r="E1834" s="138">
        <v>80</v>
      </c>
      <c r="F1834" s="139">
        <v>0.75</v>
      </c>
      <c r="H1834" t="str">
        <f t="shared" si="31"/>
        <v>15006150062080</v>
      </c>
    </row>
    <row r="1835" spans="1:8" x14ac:dyDescent="0.25">
      <c r="A1835" s="110" t="s">
        <v>5683</v>
      </c>
      <c r="B1835" s="125" t="s">
        <v>1458</v>
      </c>
      <c r="C1835" s="138">
        <v>0.75</v>
      </c>
      <c r="D1835" s="138">
        <v>45</v>
      </c>
      <c r="E1835" s="138">
        <v>80</v>
      </c>
      <c r="F1835" s="139">
        <v>0.75</v>
      </c>
      <c r="H1835" t="str">
        <f t="shared" si="31"/>
        <v>15006150062081</v>
      </c>
    </row>
    <row r="1836" spans="1:8" x14ac:dyDescent="0.25">
      <c r="A1836" s="110" t="s">
        <v>5684</v>
      </c>
      <c r="B1836" s="125" t="s">
        <v>1459</v>
      </c>
      <c r="C1836" s="138">
        <v>1.17</v>
      </c>
      <c r="D1836" s="138">
        <v>70.199999999999989</v>
      </c>
      <c r="E1836" s="138">
        <v>51.282051282051292</v>
      </c>
      <c r="F1836" s="139">
        <v>1.17</v>
      </c>
      <c r="H1836" t="str">
        <f t="shared" si="31"/>
        <v>15006150062082</v>
      </c>
    </row>
    <row r="1837" spans="1:8" x14ac:dyDescent="0.25">
      <c r="A1837" s="110" t="s">
        <v>5685</v>
      </c>
      <c r="B1837" s="125" t="s">
        <v>1460</v>
      </c>
      <c r="C1837" s="138">
        <v>0</v>
      </c>
      <c r="D1837" s="138">
        <v>0</v>
      </c>
      <c r="E1837" s="138" t="e">
        <v>#DIV/0!</v>
      </c>
      <c r="F1837" s="139">
        <v>0</v>
      </c>
      <c r="H1837" t="str">
        <f t="shared" si="31"/>
        <v>15006150062083</v>
      </c>
    </row>
    <row r="1838" spans="1:8" x14ac:dyDescent="0.25">
      <c r="A1838" s="110" t="s">
        <v>5686</v>
      </c>
      <c r="B1838" s="125" t="s">
        <v>1461</v>
      </c>
      <c r="C1838" s="138">
        <v>1.17</v>
      </c>
      <c r="D1838" s="138">
        <v>70.199999999999989</v>
      </c>
      <c r="E1838" s="138">
        <v>51.282051282051292</v>
      </c>
      <c r="F1838" s="139">
        <v>1.17</v>
      </c>
      <c r="H1838" t="str">
        <f t="shared" si="31"/>
        <v>15006150062084</v>
      </c>
    </row>
    <row r="1839" spans="1:8" x14ac:dyDescent="0.25">
      <c r="A1839" s="110" t="s">
        <v>5687</v>
      </c>
      <c r="B1839" s="125" t="s">
        <v>1462</v>
      </c>
      <c r="C1839" s="138">
        <v>1.17</v>
      </c>
      <c r="D1839" s="138">
        <v>70.199999999999989</v>
      </c>
      <c r="E1839" s="138">
        <v>51.282051282051292</v>
      </c>
      <c r="F1839" s="139">
        <v>1.17</v>
      </c>
      <c r="H1839" t="str">
        <f t="shared" si="31"/>
        <v>15006150062085</v>
      </c>
    </row>
    <row r="1840" spans="1:8" x14ac:dyDescent="0.25">
      <c r="A1840" s="110" t="s">
        <v>5688</v>
      </c>
      <c r="B1840" s="125" t="s">
        <v>1463</v>
      </c>
      <c r="C1840" s="138">
        <v>1.17</v>
      </c>
      <c r="D1840" s="138">
        <v>70.199999999999989</v>
      </c>
      <c r="E1840" s="138">
        <v>51.282051282051292</v>
      </c>
      <c r="F1840" s="139">
        <v>1.17</v>
      </c>
      <c r="H1840" t="str">
        <f t="shared" si="31"/>
        <v>15006150062086</v>
      </c>
    </row>
    <row r="1841" spans="1:8" x14ac:dyDescent="0.25">
      <c r="A1841" s="110" t="s">
        <v>5689</v>
      </c>
      <c r="B1841" s="125" t="s">
        <v>1464</v>
      </c>
      <c r="C1841" s="138">
        <v>1.17</v>
      </c>
      <c r="D1841" s="138">
        <v>70.199999999999989</v>
      </c>
      <c r="E1841" s="138">
        <v>51.282051282051292</v>
      </c>
      <c r="F1841" s="139">
        <v>1.17</v>
      </c>
      <c r="H1841" t="str">
        <f t="shared" si="31"/>
        <v>15006150062087</v>
      </c>
    </row>
    <row r="1842" spans="1:8" x14ac:dyDescent="0.25">
      <c r="A1842" s="110" t="s">
        <v>5690</v>
      </c>
      <c r="B1842" s="125" t="s">
        <v>1465</v>
      </c>
      <c r="C1842" s="138">
        <v>1.17</v>
      </c>
      <c r="D1842" s="138">
        <v>70.199999999999989</v>
      </c>
      <c r="E1842" s="138">
        <v>51.282051282051292</v>
      </c>
      <c r="F1842" s="139">
        <v>1.17</v>
      </c>
      <c r="H1842" t="str">
        <f t="shared" si="31"/>
        <v>15006150062088</v>
      </c>
    </row>
    <row r="1843" spans="1:8" x14ac:dyDescent="0.25">
      <c r="A1843" s="110" t="s">
        <v>5691</v>
      </c>
      <c r="B1843" s="125" t="s">
        <v>1466</v>
      </c>
      <c r="C1843" s="138">
        <v>1.17</v>
      </c>
      <c r="D1843" s="138">
        <v>70.199999999999989</v>
      </c>
      <c r="E1843" s="138">
        <v>51.282051282051292</v>
      </c>
      <c r="F1843" s="139">
        <v>1.17</v>
      </c>
      <c r="H1843" t="str">
        <f t="shared" si="31"/>
        <v>15006150062089</v>
      </c>
    </row>
    <row r="1844" spans="1:8" x14ac:dyDescent="0.25">
      <c r="A1844" s="110" t="s">
        <v>5692</v>
      </c>
      <c r="B1844" s="125" t="s">
        <v>1467</v>
      </c>
      <c r="C1844" s="138">
        <v>1.17</v>
      </c>
      <c r="D1844" s="138">
        <v>70.199999999999989</v>
      </c>
      <c r="E1844" s="138">
        <v>51.282051282051292</v>
      </c>
      <c r="F1844" s="139">
        <v>1.17</v>
      </c>
      <c r="H1844" t="str">
        <f t="shared" si="31"/>
        <v>15006150062090</v>
      </c>
    </row>
    <row r="1845" spans="1:8" x14ac:dyDescent="0.25">
      <c r="A1845" s="110" t="s">
        <v>5693</v>
      </c>
      <c r="B1845" s="125" t="s">
        <v>1468</v>
      </c>
      <c r="C1845" s="138">
        <v>1.17</v>
      </c>
      <c r="D1845" s="138">
        <v>70.199999999999989</v>
      </c>
      <c r="E1845" s="138">
        <v>51.282051282051292</v>
      </c>
      <c r="F1845" s="139">
        <v>1.17</v>
      </c>
      <c r="H1845" t="str">
        <f t="shared" si="31"/>
        <v>15006150062091</v>
      </c>
    </row>
    <row r="1846" spans="1:8" x14ac:dyDescent="0.25">
      <c r="A1846" s="110" t="s">
        <v>5694</v>
      </c>
      <c r="B1846" s="125" t="s">
        <v>1469</v>
      </c>
      <c r="C1846" s="138">
        <v>1.17</v>
      </c>
      <c r="D1846" s="138">
        <v>70.199999999999989</v>
      </c>
      <c r="E1846" s="138">
        <v>51.282051282051292</v>
      </c>
      <c r="F1846" s="139">
        <v>1.17</v>
      </c>
      <c r="H1846" t="str">
        <f t="shared" si="31"/>
        <v>15006150062092</v>
      </c>
    </row>
    <row r="1847" spans="1:8" x14ac:dyDescent="0.25">
      <c r="A1847" s="111" t="s">
        <v>4795</v>
      </c>
      <c r="B1847" s="126" t="s">
        <v>3183</v>
      </c>
      <c r="C1847" s="138">
        <v>0.9</v>
      </c>
      <c r="D1847" s="138">
        <v>54</v>
      </c>
      <c r="E1847" s="138">
        <v>140</v>
      </c>
      <c r="F1847" s="139">
        <v>0.9</v>
      </c>
      <c r="H1847" t="str">
        <f t="shared" si="31"/>
        <v>15006150062093</v>
      </c>
    </row>
    <row r="1848" spans="1:8" x14ac:dyDescent="0.25">
      <c r="A1848" s="118" t="s">
        <v>4915</v>
      </c>
      <c r="B1848" s="135" t="s">
        <v>3333</v>
      </c>
      <c r="C1848" s="138">
        <v>1</v>
      </c>
      <c r="D1848" s="138">
        <v>60</v>
      </c>
      <c r="E1848" s="138">
        <v>60</v>
      </c>
      <c r="F1848" s="144">
        <v>1</v>
      </c>
      <c r="H1848" t="str">
        <f t="shared" si="31"/>
        <v>15006150062098</v>
      </c>
    </row>
    <row r="1849" spans="1:8" x14ac:dyDescent="0.25">
      <c r="A1849" s="118" t="s">
        <v>4916</v>
      </c>
      <c r="B1849" s="135" t="s">
        <v>3334</v>
      </c>
      <c r="C1849" s="138">
        <v>1</v>
      </c>
      <c r="D1849" s="138">
        <v>60</v>
      </c>
      <c r="E1849" s="138">
        <v>60</v>
      </c>
      <c r="F1849" s="144">
        <v>1</v>
      </c>
      <c r="H1849" t="str">
        <f t="shared" si="31"/>
        <v>15006150062099</v>
      </c>
    </row>
    <row r="1850" spans="1:8" x14ac:dyDescent="0.25">
      <c r="A1850" s="113" t="s">
        <v>4793</v>
      </c>
      <c r="B1850" s="129" t="s">
        <v>3204</v>
      </c>
      <c r="C1850" s="138">
        <v>0.6</v>
      </c>
      <c r="D1850" s="138">
        <v>36</v>
      </c>
      <c r="E1850" s="138">
        <v>100</v>
      </c>
      <c r="F1850" s="140">
        <v>0.6</v>
      </c>
      <c r="H1850" t="str">
        <f t="shared" si="31"/>
        <v>15006150062100</v>
      </c>
    </row>
    <row r="1851" spans="1:8" x14ac:dyDescent="0.25">
      <c r="A1851" s="113" t="s">
        <v>4794</v>
      </c>
      <c r="B1851" s="129" t="s">
        <v>3205</v>
      </c>
      <c r="C1851" s="138">
        <v>0.6</v>
      </c>
      <c r="D1851" s="138">
        <v>36</v>
      </c>
      <c r="E1851" s="138">
        <v>100</v>
      </c>
      <c r="F1851" s="140">
        <v>0.6</v>
      </c>
      <c r="H1851" t="str">
        <f t="shared" si="31"/>
        <v>15006150062101</v>
      </c>
    </row>
    <row r="1852" spans="1:8" x14ac:dyDescent="0.25">
      <c r="A1852" s="111" t="s">
        <v>4871</v>
      </c>
      <c r="B1852" s="125" t="s">
        <v>3274</v>
      </c>
      <c r="C1852" s="138">
        <v>1</v>
      </c>
      <c r="D1852" s="138">
        <v>60</v>
      </c>
      <c r="E1852" s="138">
        <v>60</v>
      </c>
      <c r="F1852" s="140">
        <v>1</v>
      </c>
      <c r="H1852" t="str">
        <f t="shared" si="31"/>
        <v>15006150062102</v>
      </c>
    </row>
    <row r="1853" spans="1:8" x14ac:dyDescent="0.25">
      <c r="A1853" s="111" t="s">
        <v>4872</v>
      </c>
      <c r="B1853" s="125" t="s">
        <v>3275</v>
      </c>
      <c r="C1853" s="138">
        <v>1</v>
      </c>
      <c r="D1853" s="138">
        <v>60</v>
      </c>
      <c r="E1853" s="138">
        <v>60</v>
      </c>
      <c r="F1853" s="140">
        <v>1</v>
      </c>
      <c r="H1853" t="str">
        <f t="shared" si="31"/>
        <v>15006150062103</v>
      </c>
    </row>
    <row r="1854" spans="1:8" ht="14.5" x14ac:dyDescent="0.25">
      <c r="A1854" s="112" t="s">
        <v>4817</v>
      </c>
      <c r="B1854" s="128" t="s">
        <v>3197</v>
      </c>
      <c r="C1854" s="138">
        <v>0.42</v>
      </c>
      <c r="D1854" s="138">
        <v>25.2</v>
      </c>
      <c r="E1854" s="138">
        <v>142.85714285714286</v>
      </c>
      <c r="F1854" s="140">
        <v>0.42</v>
      </c>
      <c r="H1854" t="str">
        <f t="shared" si="31"/>
        <v>15006150062104</v>
      </c>
    </row>
    <row r="1855" spans="1:8" ht="14.5" x14ac:dyDescent="0.25">
      <c r="A1855" s="112" t="s">
        <v>4818</v>
      </c>
      <c r="B1855" s="128" t="s">
        <v>3198</v>
      </c>
      <c r="C1855" s="138">
        <v>0.42</v>
      </c>
      <c r="D1855" s="138">
        <v>25.2</v>
      </c>
      <c r="E1855" s="138">
        <v>142.85714285714286</v>
      </c>
      <c r="F1855" s="140">
        <v>0.42</v>
      </c>
      <c r="H1855" t="str">
        <f t="shared" si="31"/>
        <v>15006150062105</v>
      </c>
    </row>
    <row r="1856" spans="1:8" x14ac:dyDescent="0.25">
      <c r="A1856" s="111" t="s">
        <v>4832</v>
      </c>
      <c r="B1856" s="125" t="s">
        <v>3214</v>
      </c>
      <c r="C1856" s="138">
        <v>1.01366666666667</v>
      </c>
      <c r="D1856" s="138">
        <v>60.820000000000206</v>
      </c>
      <c r="E1856" s="138">
        <v>59.191055573824201</v>
      </c>
      <c r="F1856" s="140">
        <v>1.01366666666667</v>
      </c>
      <c r="H1856" t="str">
        <f t="shared" si="31"/>
        <v>15006150062109</v>
      </c>
    </row>
    <row r="1857" spans="1:8" x14ac:dyDescent="0.25">
      <c r="A1857" s="111" t="s">
        <v>4833</v>
      </c>
      <c r="B1857" s="125" t="s">
        <v>3215</v>
      </c>
      <c r="C1857" s="138">
        <v>1.0137</v>
      </c>
      <c r="D1857" s="138">
        <v>60.822000000000003</v>
      </c>
      <c r="E1857" s="138">
        <v>59.189109203906476</v>
      </c>
      <c r="F1857" s="140">
        <v>1.0137</v>
      </c>
      <c r="H1857" t="str">
        <f t="shared" si="31"/>
        <v>15006150062110</v>
      </c>
    </row>
    <row r="1858" spans="1:8" ht="14.5" x14ac:dyDescent="0.25">
      <c r="A1858" s="114" t="s">
        <v>4853</v>
      </c>
      <c r="B1858" s="132" t="s">
        <v>3246</v>
      </c>
      <c r="C1858" s="138">
        <v>0.55000000000000004</v>
      </c>
      <c r="D1858" s="142">
        <v>33</v>
      </c>
      <c r="E1858" s="142">
        <v>109.09090909090909</v>
      </c>
      <c r="F1858" s="143">
        <v>0.55000000000000004</v>
      </c>
      <c r="H1858" t="str">
        <f t="shared" si="31"/>
        <v>15006150062111</v>
      </c>
    </row>
    <row r="1859" spans="1:8" ht="14.5" x14ac:dyDescent="0.25">
      <c r="A1859" s="114" t="s">
        <v>4854</v>
      </c>
      <c r="B1859" s="132" t="s">
        <v>3247</v>
      </c>
      <c r="C1859" s="138">
        <v>0.55000000000000004</v>
      </c>
      <c r="D1859" s="142">
        <v>33</v>
      </c>
      <c r="E1859" s="142">
        <v>109.09090909090909</v>
      </c>
      <c r="F1859" s="143">
        <v>0.55000000000000004</v>
      </c>
      <c r="H1859" t="str">
        <f t="shared" si="31"/>
        <v>15006150062112</v>
      </c>
    </row>
    <row r="1860" spans="1:8" x14ac:dyDescent="0.25">
      <c r="A1860" s="114" t="s">
        <v>4857</v>
      </c>
      <c r="B1860" s="130" t="s">
        <v>3248</v>
      </c>
      <c r="C1860" s="138">
        <v>0.55000000000000004</v>
      </c>
      <c r="D1860" s="142">
        <v>33</v>
      </c>
      <c r="E1860" s="142">
        <v>109.09090909090909</v>
      </c>
      <c r="F1860" s="143">
        <v>0.55000000000000004</v>
      </c>
      <c r="H1860" t="str">
        <f t="shared" ref="H1860:H1923" si="32">CONCATENATE($G$835,A1860)</f>
        <v>15006150062113</v>
      </c>
    </row>
    <row r="1861" spans="1:8" x14ac:dyDescent="0.25">
      <c r="A1861" s="114" t="s">
        <v>4858</v>
      </c>
      <c r="B1861" s="130" t="s">
        <v>3249</v>
      </c>
      <c r="C1861" s="138">
        <v>0.55000000000000004</v>
      </c>
      <c r="D1861" s="142">
        <v>33</v>
      </c>
      <c r="E1861" s="142">
        <v>109.09090909090909</v>
      </c>
      <c r="F1861" s="143">
        <v>0.55000000000000004</v>
      </c>
      <c r="H1861" t="str">
        <f t="shared" si="32"/>
        <v>15006150062114</v>
      </c>
    </row>
    <row r="1862" spans="1:8" x14ac:dyDescent="0.25">
      <c r="A1862" s="118" t="s">
        <v>5695</v>
      </c>
      <c r="B1862" s="135" t="s">
        <v>3317</v>
      </c>
      <c r="C1862" s="138">
        <v>0.55000000000000004</v>
      </c>
      <c r="D1862" s="138">
        <v>33</v>
      </c>
      <c r="E1862" s="138">
        <v>109.09090909090909</v>
      </c>
      <c r="F1862" s="144">
        <v>0.55000000000000004</v>
      </c>
      <c r="H1862" t="str">
        <f t="shared" si="32"/>
        <v>15006150062115</v>
      </c>
    </row>
    <row r="1863" spans="1:8" x14ac:dyDescent="0.25">
      <c r="A1863" s="118" t="s">
        <v>5696</v>
      </c>
      <c r="B1863" s="135" t="s">
        <v>3318</v>
      </c>
      <c r="C1863" s="138">
        <v>0.55000000000000004</v>
      </c>
      <c r="D1863" s="138">
        <v>33</v>
      </c>
      <c r="E1863" s="138">
        <v>109.09090909090909</v>
      </c>
      <c r="F1863" s="144">
        <v>0.55000000000000004</v>
      </c>
      <c r="H1863" t="str">
        <f t="shared" si="32"/>
        <v>15006150062116</v>
      </c>
    </row>
    <row r="1864" spans="1:8" x14ac:dyDescent="0.25">
      <c r="A1864" s="114" t="s">
        <v>4861</v>
      </c>
      <c r="B1864" s="131" t="s">
        <v>3256</v>
      </c>
      <c r="C1864" s="138">
        <v>0.6</v>
      </c>
      <c r="D1864" s="142">
        <v>36</v>
      </c>
      <c r="E1864" s="142">
        <v>100</v>
      </c>
      <c r="F1864" s="143">
        <v>0.6</v>
      </c>
      <c r="H1864" t="str">
        <f t="shared" si="32"/>
        <v>15006150062119</v>
      </c>
    </row>
    <row r="1865" spans="1:8" x14ac:dyDescent="0.25">
      <c r="A1865" s="110" t="s">
        <v>4862</v>
      </c>
      <c r="B1865" s="125" t="s">
        <v>3358</v>
      </c>
      <c r="C1865" s="138">
        <v>0.21</v>
      </c>
      <c r="D1865" s="138">
        <v>12.6</v>
      </c>
      <c r="E1865" s="138">
        <v>285.71428571428572</v>
      </c>
      <c r="F1865" s="139">
        <v>0.21</v>
      </c>
      <c r="H1865" t="str">
        <f t="shared" si="32"/>
        <v>15006150062120</v>
      </c>
    </row>
    <row r="1866" spans="1:8" x14ac:dyDescent="0.25">
      <c r="A1866" s="114" t="s">
        <v>4862</v>
      </c>
      <c r="B1866" s="131" t="s">
        <v>3257</v>
      </c>
      <c r="C1866" s="138">
        <v>0.6</v>
      </c>
      <c r="D1866" s="142">
        <v>36</v>
      </c>
      <c r="E1866" s="142">
        <v>100</v>
      </c>
      <c r="F1866" s="143">
        <v>0.6</v>
      </c>
      <c r="H1866" t="str">
        <f t="shared" si="32"/>
        <v>15006150062120</v>
      </c>
    </row>
    <row r="1867" spans="1:8" x14ac:dyDescent="0.25">
      <c r="A1867" s="118" t="s">
        <v>5697</v>
      </c>
      <c r="B1867" s="135" t="s">
        <v>3289</v>
      </c>
      <c r="C1867" s="138">
        <v>0.5</v>
      </c>
      <c r="D1867" s="138">
        <v>30</v>
      </c>
      <c r="E1867" s="138">
        <v>120</v>
      </c>
      <c r="F1867" s="144">
        <v>0.5</v>
      </c>
      <c r="H1867" t="str">
        <f t="shared" si="32"/>
        <v>15006150062121</v>
      </c>
    </row>
    <row r="1868" spans="1:8" x14ac:dyDescent="0.25">
      <c r="A1868" s="118" t="s">
        <v>5698</v>
      </c>
      <c r="B1868" s="135" t="s">
        <v>3290</v>
      </c>
      <c r="C1868" s="138">
        <v>0.5</v>
      </c>
      <c r="D1868" s="138">
        <v>30</v>
      </c>
      <c r="E1868" s="138">
        <v>120</v>
      </c>
      <c r="F1868" s="144">
        <v>0.5</v>
      </c>
      <c r="H1868" t="str">
        <f t="shared" si="32"/>
        <v>15006150062122</v>
      </c>
    </row>
    <row r="1869" spans="1:8" ht="14.5" x14ac:dyDescent="0.25">
      <c r="A1869" s="115" t="s">
        <v>5699</v>
      </c>
      <c r="B1869" s="132" t="s">
        <v>3244</v>
      </c>
      <c r="C1869" s="138">
        <v>0.5</v>
      </c>
      <c r="D1869" s="142">
        <v>30</v>
      </c>
      <c r="E1869" s="142">
        <v>120</v>
      </c>
      <c r="F1869" s="143">
        <v>0.5</v>
      </c>
      <c r="H1869" t="str">
        <f t="shared" si="32"/>
        <v>15006150062123</v>
      </c>
    </row>
    <row r="1870" spans="1:8" ht="14.5" x14ac:dyDescent="0.25">
      <c r="A1870" s="115" t="s">
        <v>5700</v>
      </c>
      <c r="B1870" s="132" t="s">
        <v>3245</v>
      </c>
      <c r="C1870" s="138">
        <v>0.5</v>
      </c>
      <c r="D1870" s="142">
        <v>30</v>
      </c>
      <c r="E1870" s="142">
        <v>120</v>
      </c>
      <c r="F1870" s="143">
        <v>0.5</v>
      </c>
      <c r="H1870" t="str">
        <f t="shared" si="32"/>
        <v>15006150062124</v>
      </c>
    </row>
    <row r="1871" spans="1:8" x14ac:dyDescent="0.25">
      <c r="A1871" s="110" t="s">
        <v>5701</v>
      </c>
      <c r="B1871" s="125" t="s">
        <v>3357</v>
      </c>
      <c r="C1871" s="138">
        <v>1</v>
      </c>
      <c r="D1871" s="138">
        <v>60</v>
      </c>
      <c r="E1871" s="138">
        <v>70.588235294117652</v>
      </c>
      <c r="F1871" s="139">
        <v>0.85</v>
      </c>
      <c r="H1871" t="str">
        <f t="shared" si="32"/>
        <v>15006150062125</v>
      </c>
    </row>
    <row r="1872" spans="1:8" x14ac:dyDescent="0.25">
      <c r="A1872" s="110" t="s">
        <v>5702</v>
      </c>
      <c r="B1872" s="125" t="s">
        <v>3359</v>
      </c>
      <c r="C1872" s="138">
        <v>1</v>
      </c>
      <c r="D1872" s="138">
        <v>60</v>
      </c>
      <c r="E1872" s="138">
        <v>70.588235294117652</v>
      </c>
      <c r="F1872" s="139">
        <v>0.85</v>
      </c>
      <c r="H1872" t="str">
        <f t="shared" si="32"/>
        <v>15006150062126</v>
      </c>
    </row>
    <row r="1873" spans="1:8" x14ac:dyDescent="0.25">
      <c r="A1873" s="118" t="s">
        <v>4885</v>
      </c>
      <c r="B1873" s="135" t="s">
        <v>3301</v>
      </c>
      <c r="C1873" s="138">
        <v>0.7</v>
      </c>
      <c r="D1873" s="138">
        <v>42</v>
      </c>
      <c r="E1873" s="138">
        <v>85.714285714285708</v>
      </c>
      <c r="F1873" s="144">
        <v>0.7</v>
      </c>
      <c r="H1873" t="str">
        <f t="shared" si="32"/>
        <v>15006150062131</v>
      </c>
    </row>
    <row r="1874" spans="1:8" x14ac:dyDescent="0.25">
      <c r="A1874" s="118" t="s">
        <v>4886</v>
      </c>
      <c r="B1874" s="135" t="s">
        <v>3302</v>
      </c>
      <c r="C1874" s="138">
        <v>0.7</v>
      </c>
      <c r="D1874" s="138">
        <v>42</v>
      </c>
      <c r="E1874" s="138">
        <v>85.714285714285708</v>
      </c>
      <c r="F1874" s="144">
        <v>0.7</v>
      </c>
      <c r="H1874" t="str">
        <f t="shared" si="32"/>
        <v>15006150062132</v>
      </c>
    </row>
    <row r="1875" spans="1:8" ht="14.5" x14ac:dyDescent="0.25">
      <c r="A1875" s="112" t="s">
        <v>4826</v>
      </c>
      <c r="B1875" s="128" t="s">
        <v>3208</v>
      </c>
      <c r="C1875" s="138">
        <v>0.77166666666666694</v>
      </c>
      <c r="D1875" s="138">
        <v>46.300000000000018</v>
      </c>
      <c r="E1875" s="138">
        <v>77.753779697624154</v>
      </c>
      <c r="F1875" s="140">
        <v>0.77166666666666694</v>
      </c>
      <c r="H1875" t="str">
        <f t="shared" si="32"/>
        <v>15006150062133</v>
      </c>
    </row>
    <row r="1876" spans="1:8" ht="14.5" x14ac:dyDescent="0.25">
      <c r="A1876" s="112" t="s">
        <v>4827</v>
      </c>
      <c r="B1876" s="128" t="s">
        <v>3209</v>
      </c>
      <c r="C1876" s="138">
        <v>0.78666666666666696</v>
      </c>
      <c r="D1876" s="138">
        <v>47.200000000000017</v>
      </c>
      <c r="E1876" s="138">
        <v>76.271186440677937</v>
      </c>
      <c r="F1876" s="140">
        <v>0.78666666666666696</v>
      </c>
      <c r="H1876" t="str">
        <f t="shared" si="32"/>
        <v>15006150062134</v>
      </c>
    </row>
    <row r="1877" spans="1:8" x14ac:dyDescent="0.25">
      <c r="A1877" s="118" t="s">
        <v>4883</v>
      </c>
      <c r="B1877" s="135" t="s">
        <v>3299</v>
      </c>
      <c r="C1877" s="138">
        <v>0.7</v>
      </c>
      <c r="D1877" s="138">
        <v>42</v>
      </c>
      <c r="E1877" s="138">
        <v>85.714285714285708</v>
      </c>
      <c r="F1877" s="144">
        <v>0.7</v>
      </c>
      <c r="H1877" t="str">
        <f t="shared" si="32"/>
        <v>15006150062135</v>
      </c>
    </row>
    <row r="1878" spans="1:8" x14ac:dyDescent="0.25">
      <c r="A1878" s="118" t="s">
        <v>4884</v>
      </c>
      <c r="B1878" s="135" t="s">
        <v>3300</v>
      </c>
      <c r="C1878" s="138">
        <v>0.7</v>
      </c>
      <c r="D1878" s="138">
        <v>42</v>
      </c>
      <c r="E1878" s="138">
        <v>85.714285714285708</v>
      </c>
      <c r="F1878" s="144">
        <v>0.7</v>
      </c>
      <c r="H1878" t="str">
        <f t="shared" si="32"/>
        <v>15006150062136</v>
      </c>
    </row>
    <row r="1879" spans="1:8" x14ac:dyDescent="0.25">
      <c r="A1879" s="111" t="s">
        <v>4828</v>
      </c>
      <c r="B1879" s="125" t="s">
        <v>3210</v>
      </c>
      <c r="C1879" s="138">
        <v>0.86566666666666703</v>
      </c>
      <c r="D1879" s="138">
        <v>51.940000000000019</v>
      </c>
      <c r="E1879" s="138">
        <v>69.310743165190573</v>
      </c>
      <c r="F1879" s="140">
        <v>0.86566666666666703</v>
      </c>
      <c r="H1879" t="str">
        <f t="shared" si="32"/>
        <v>15006150062137</v>
      </c>
    </row>
    <row r="1880" spans="1:8" x14ac:dyDescent="0.25">
      <c r="A1880" s="111" t="s">
        <v>4829</v>
      </c>
      <c r="B1880" s="125" t="s">
        <v>3211</v>
      </c>
      <c r="C1880" s="138">
        <v>0.90266666666666795</v>
      </c>
      <c r="D1880" s="138">
        <v>54.160000000000075</v>
      </c>
      <c r="E1880" s="138">
        <v>66.46971935007376</v>
      </c>
      <c r="F1880" s="140">
        <v>0.90266666666666795</v>
      </c>
      <c r="H1880" t="str">
        <f t="shared" si="32"/>
        <v>15006150062138</v>
      </c>
    </row>
    <row r="1881" spans="1:8" x14ac:dyDescent="0.25">
      <c r="A1881" s="118" t="s">
        <v>4873</v>
      </c>
      <c r="B1881" s="135" t="s">
        <v>3348</v>
      </c>
      <c r="C1881" s="138">
        <v>1</v>
      </c>
      <c r="D1881" s="138">
        <v>60</v>
      </c>
      <c r="E1881" s="138">
        <v>60</v>
      </c>
      <c r="F1881" s="144">
        <v>25</v>
      </c>
      <c r="H1881" t="str">
        <f t="shared" si="32"/>
        <v>15006150062139</v>
      </c>
    </row>
    <row r="1882" spans="1:8" x14ac:dyDescent="0.25">
      <c r="A1882" s="118" t="s">
        <v>4874</v>
      </c>
      <c r="B1882" s="135" t="s">
        <v>3347</v>
      </c>
      <c r="C1882" s="138">
        <v>1</v>
      </c>
      <c r="D1882" s="138">
        <v>60</v>
      </c>
      <c r="E1882" s="138">
        <v>60</v>
      </c>
      <c r="F1882" s="144">
        <v>25</v>
      </c>
      <c r="H1882" t="str">
        <f t="shared" si="32"/>
        <v>15006150062140</v>
      </c>
    </row>
    <row r="1883" spans="1:8" x14ac:dyDescent="0.25">
      <c r="A1883" s="118" t="s">
        <v>4927</v>
      </c>
      <c r="B1883" s="135" t="s">
        <v>3345</v>
      </c>
      <c r="C1883" s="138">
        <v>1</v>
      </c>
      <c r="D1883" s="138">
        <v>60</v>
      </c>
      <c r="E1883" s="138">
        <v>60</v>
      </c>
      <c r="F1883" s="144">
        <v>60</v>
      </c>
      <c r="H1883" t="str">
        <f t="shared" si="32"/>
        <v>15006150062143</v>
      </c>
    </row>
    <row r="1884" spans="1:8" x14ac:dyDescent="0.25">
      <c r="A1884" s="118" t="s">
        <v>4928</v>
      </c>
      <c r="B1884" s="135" t="s">
        <v>3346</v>
      </c>
      <c r="C1884" s="138">
        <v>1</v>
      </c>
      <c r="D1884" s="138">
        <v>60</v>
      </c>
      <c r="E1884" s="138">
        <v>60</v>
      </c>
      <c r="F1884" s="144">
        <v>60</v>
      </c>
      <c r="H1884" t="str">
        <f t="shared" si="32"/>
        <v>15006150062144</v>
      </c>
    </row>
    <row r="1885" spans="1:8" x14ac:dyDescent="0.25">
      <c r="A1885" s="111" t="s">
        <v>4863</v>
      </c>
      <c r="B1885" s="125" t="s">
        <v>3258</v>
      </c>
      <c r="C1885" s="138">
        <v>0.4</v>
      </c>
      <c r="D1885" s="138">
        <v>24</v>
      </c>
      <c r="E1885" s="138">
        <v>150</v>
      </c>
      <c r="F1885" s="140">
        <v>0.4</v>
      </c>
      <c r="H1885" t="str">
        <f t="shared" si="32"/>
        <v>15006150062149</v>
      </c>
    </row>
    <row r="1886" spans="1:8" x14ac:dyDescent="0.25">
      <c r="A1886" s="111" t="s">
        <v>4864</v>
      </c>
      <c r="B1886" s="125" t="s">
        <v>3259</v>
      </c>
      <c r="C1886" s="138">
        <v>0.4</v>
      </c>
      <c r="D1886" s="138">
        <v>24</v>
      </c>
      <c r="E1886" s="138">
        <v>150</v>
      </c>
      <c r="F1886" s="140">
        <v>0.4</v>
      </c>
      <c r="H1886" t="str">
        <f t="shared" si="32"/>
        <v>15006150062150</v>
      </c>
    </row>
    <row r="1887" spans="1:8" x14ac:dyDescent="0.25">
      <c r="A1887" s="118" t="s">
        <v>5703</v>
      </c>
      <c r="B1887" s="135" t="s">
        <v>3360</v>
      </c>
      <c r="C1887" s="138">
        <v>0.3</v>
      </c>
      <c r="D1887" s="138"/>
      <c r="E1887" s="138"/>
      <c r="F1887" s="144"/>
      <c r="H1887" t="str">
        <f t="shared" si="32"/>
        <v>15006150062151</v>
      </c>
    </row>
    <row r="1888" spans="1:8" x14ac:dyDescent="0.25">
      <c r="A1888" s="118" t="s">
        <v>5704</v>
      </c>
      <c r="B1888" s="135" t="s">
        <v>3361</v>
      </c>
      <c r="C1888" s="138">
        <v>0.3</v>
      </c>
      <c r="D1888" s="138"/>
      <c r="E1888" s="138"/>
      <c r="F1888" s="144"/>
      <c r="H1888" t="str">
        <f t="shared" si="32"/>
        <v>15006150062152</v>
      </c>
    </row>
    <row r="1889" spans="1:8" x14ac:dyDescent="0.25">
      <c r="A1889" s="118" t="s">
        <v>5705</v>
      </c>
      <c r="B1889" s="135" t="s">
        <v>3362</v>
      </c>
      <c r="C1889" s="138">
        <v>0.3</v>
      </c>
      <c r="D1889" s="138"/>
      <c r="E1889" s="138"/>
      <c r="F1889" s="144"/>
      <c r="H1889" t="str">
        <f t="shared" si="32"/>
        <v>15006150062153</v>
      </c>
    </row>
    <row r="1890" spans="1:8" x14ac:dyDescent="0.25">
      <c r="A1890" s="118" t="s">
        <v>5706</v>
      </c>
      <c r="B1890" s="135" t="s">
        <v>3363</v>
      </c>
      <c r="C1890" s="138">
        <v>0.3</v>
      </c>
      <c r="D1890" s="138"/>
      <c r="E1890" s="138"/>
      <c r="F1890" s="144"/>
      <c r="H1890" t="str">
        <f t="shared" si="32"/>
        <v>15006150062154</v>
      </c>
    </row>
    <row r="1891" spans="1:8" x14ac:dyDescent="0.25">
      <c r="A1891" s="111" t="s">
        <v>4631</v>
      </c>
      <c r="B1891" s="125" t="s">
        <v>3270</v>
      </c>
      <c r="C1891" s="138">
        <v>1</v>
      </c>
      <c r="D1891" s="138">
        <v>60</v>
      </c>
      <c r="E1891" s="138">
        <v>60</v>
      </c>
      <c r="F1891" s="140">
        <v>1</v>
      </c>
      <c r="H1891" t="str">
        <f t="shared" si="32"/>
        <v>15006150062157</v>
      </c>
    </row>
    <row r="1892" spans="1:8" x14ac:dyDescent="0.25">
      <c r="A1892" s="111" t="s">
        <v>4631</v>
      </c>
      <c r="B1892" s="125" t="s">
        <v>3272</v>
      </c>
      <c r="C1892" s="138">
        <v>1</v>
      </c>
      <c r="D1892" s="138">
        <v>60</v>
      </c>
      <c r="E1892" s="138">
        <v>60</v>
      </c>
      <c r="F1892" s="140">
        <v>1</v>
      </c>
      <c r="H1892" t="str">
        <f t="shared" si="32"/>
        <v>15006150062157</v>
      </c>
    </row>
    <row r="1893" spans="1:8" x14ac:dyDescent="0.25">
      <c r="A1893" s="111" t="s">
        <v>4632</v>
      </c>
      <c r="B1893" s="125" t="s">
        <v>3271</v>
      </c>
      <c r="C1893" s="138">
        <v>1</v>
      </c>
      <c r="D1893" s="138">
        <v>60</v>
      </c>
      <c r="E1893" s="138">
        <v>60</v>
      </c>
      <c r="F1893" s="140">
        <v>1</v>
      </c>
      <c r="H1893" t="str">
        <f t="shared" si="32"/>
        <v>15006150062158</v>
      </c>
    </row>
    <row r="1894" spans="1:8" x14ac:dyDescent="0.25">
      <c r="A1894" s="111" t="s">
        <v>4632</v>
      </c>
      <c r="B1894" s="125" t="s">
        <v>3273</v>
      </c>
      <c r="C1894" s="138">
        <v>1</v>
      </c>
      <c r="D1894" s="138">
        <v>60</v>
      </c>
      <c r="E1894" s="138">
        <v>60</v>
      </c>
      <c r="F1894" s="140">
        <v>1</v>
      </c>
      <c r="H1894" t="str">
        <f t="shared" si="32"/>
        <v>15006150062158</v>
      </c>
    </row>
    <row r="1895" spans="1:8" x14ac:dyDescent="0.25">
      <c r="A1895" s="111" t="s">
        <v>4830</v>
      </c>
      <c r="B1895" s="125" t="s">
        <v>3212</v>
      </c>
      <c r="C1895" s="138">
        <v>0.93966666666666798</v>
      </c>
      <c r="D1895" s="138">
        <v>56.380000000000081</v>
      </c>
      <c r="E1895" s="138">
        <v>63.852429939694836</v>
      </c>
      <c r="F1895" s="140">
        <v>0.93966666666666798</v>
      </c>
      <c r="H1895" t="str">
        <f t="shared" si="32"/>
        <v>15006150062159</v>
      </c>
    </row>
    <row r="1896" spans="1:8" x14ac:dyDescent="0.25">
      <c r="A1896" s="111" t="s">
        <v>4831</v>
      </c>
      <c r="B1896" s="125" t="s">
        <v>3213</v>
      </c>
      <c r="C1896" s="138">
        <v>0.97666666666666802</v>
      </c>
      <c r="D1896" s="138">
        <v>58.60000000000008</v>
      </c>
      <c r="E1896" s="138">
        <v>61.433447098976025</v>
      </c>
      <c r="F1896" s="140">
        <v>0.97666666666666802</v>
      </c>
      <c r="H1896" t="str">
        <f t="shared" si="32"/>
        <v>15006150062160</v>
      </c>
    </row>
    <row r="1897" spans="1:8" x14ac:dyDescent="0.25">
      <c r="A1897" s="118" t="s">
        <v>5707</v>
      </c>
      <c r="B1897" s="135" t="s">
        <v>3329</v>
      </c>
      <c r="C1897" s="138">
        <v>0.5</v>
      </c>
      <c r="D1897" s="138">
        <v>30</v>
      </c>
      <c r="E1897" s="138">
        <v>120</v>
      </c>
      <c r="F1897" s="144">
        <v>0.5</v>
      </c>
      <c r="H1897" t="str">
        <f t="shared" si="32"/>
        <v>15006150062163</v>
      </c>
    </row>
    <row r="1898" spans="1:8" x14ac:dyDescent="0.25">
      <c r="A1898" s="118" t="s">
        <v>5708</v>
      </c>
      <c r="B1898" s="135" t="s">
        <v>3330</v>
      </c>
      <c r="C1898" s="138">
        <v>0.5</v>
      </c>
      <c r="D1898" s="138">
        <v>30</v>
      </c>
      <c r="E1898" s="138">
        <v>120</v>
      </c>
      <c r="F1898" s="144">
        <v>0.5</v>
      </c>
      <c r="H1898" t="str">
        <f t="shared" si="32"/>
        <v>15006150062164</v>
      </c>
    </row>
    <row r="1899" spans="1:8" ht="14.5" x14ac:dyDescent="0.25">
      <c r="A1899" s="112" t="s">
        <v>4824</v>
      </c>
      <c r="B1899" s="128" t="s">
        <v>3206</v>
      </c>
      <c r="C1899" s="138">
        <v>0.77500000000000002</v>
      </c>
      <c r="D1899" s="138">
        <v>46.5</v>
      </c>
      <c r="E1899" s="138">
        <v>77.41935483870968</v>
      </c>
      <c r="F1899" s="140">
        <v>0.77500000000000002</v>
      </c>
      <c r="H1899" t="str">
        <f t="shared" si="32"/>
        <v>15006150062177</v>
      </c>
    </row>
    <row r="1900" spans="1:8" ht="14.5" x14ac:dyDescent="0.25">
      <c r="A1900" s="112" t="s">
        <v>4825</v>
      </c>
      <c r="B1900" s="128" t="s">
        <v>3207</v>
      </c>
      <c r="C1900" s="138">
        <v>0.84</v>
      </c>
      <c r="D1900" s="138">
        <v>50.4</v>
      </c>
      <c r="E1900" s="138">
        <v>71.428571428571431</v>
      </c>
      <c r="F1900" s="140">
        <v>0.84</v>
      </c>
      <c r="H1900" t="str">
        <f t="shared" si="32"/>
        <v>15006150062178</v>
      </c>
    </row>
    <row r="1901" spans="1:8" x14ac:dyDescent="0.25">
      <c r="A1901" s="118" t="s">
        <v>4909</v>
      </c>
      <c r="B1901" s="135" t="s">
        <v>3326</v>
      </c>
      <c r="C1901" s="138">
        <v>0.5</v>
      </c>
      <c r="D1901" s="138">
        <v>30</v>
      </c>
      <c r="E1901" s="138">
        <v>120</v>
      </c>
      <c r="F1901" s="144">
        <v>0.5</v>
      </c>
      <c r="H1901" t="str">
        <f t="shared" si="32"/>
        <v>15006150062179</v>
      </c>
    </row>
    <row r="1902" spans="1:8" x14ac:dyDescent="0.25">
      <c r="A1902" s="118" t="s">
        <v>4910</v>
      </c>
      <c r="B1902" s="135" t="s">
        <v>3327</v>
      </c>
      <c r="C1902" s="138">
        <v>0.5</v>
      </c>
      <c r="D1902" s="138">
        <v>30</v>
      </c>
      <c r="E1902" s="138">
        <v>120</v>
      </c>
      <c r="F1902" s="144">
        <v>0.5</v>
      </c>
      <c r="H1902" t="str">
        <f t="shared" si="32"/>
        <v>15006150062180</v>
      </c>
    </row>
    <row r="1903" spans="1:8" x14ac:dyDescent="0.25">
      <c r="A1903" s="118" t="s">
        <v>5709</v>
      </c>
      <c r="B1903" s="135" t="s">
        <v>3313</v>
      </c>
      <c r="C1903" s="138">
        <v>0.7</v>
      </c>
      <c r="D1903" s="138">
        <v>42</v>
      </c>
      <c r="E1903" s="138">
        <v>85.714285714285708</v>
      </c>
      <c r="F1903" s="144">
        <v>0.7</v>
      </c>
      <c r="H1903" t="str">
        <f t="shared" si="32"/>
        <v>15006150062184</v>
      </c>
    </row>
    <row r="1904" spans="1:8" x14ac:dyDescent="0.25">
      <c r="A1904" s="118" t="s">
        <v>5710</v>
      </c>
      <c r="B1904" s="135" t="s">
        <v>3314</v>
      </c>
      <c r="C1904" s="138">
        <v>0.7</v>
      </c>
      <c r="D1904" s="138">
        <v>42</v>
      </c>
      <c r="E1904" s="138">
        <v>85.714285714285708</v>
      </c>
      <c r="F1904" s="144">
        <v>0.7</v>
      </c>
      <c r="H1904" t="str">
        <f t="shared" si="32"/>
        <v>15006150062185</v>
      </c>
    </row>
    <row r="1905" spans="1:8" x14ac:dyDescent="0.25">
      <c r="A1905" s="118" t="s">
        <v>4889</v>
      </c>
      <c r="B1905" s="135" t="s">
        <v>3303</v>
      </c>
      <c r="C1905" s="138">
        <v>2</v>
      </c>
      <c r="D1905" s="138">
        <v>120</v>
      </c>
      <c r="E1905" s="138">
        <v>30</v>
      </c>
      <c r="F1905" s="144">
        <v>2</v>
      </c>
      <c r="H1905" t="str">
        <f t="shared" si="32"/>
        <v>15006150062186</v>
      </c>
    </row>
    <row r="1906" spans="1:8" x14ac:dyDescent="0.25">
      <c r="A1906" s="118" t="s">
        <v>4890</v>
      </c>
      <c r="B1906" s="135" t="s">
        <v>3304</v>
      </c>
      <c r="C1906" s="138">
        <v>2</v>
      </c>
      <c r="D1906" s="138">
        <v>120</v>
      </c>
      <c r="E1906" s="138">
        <v>30</v>
      </c>
      <c r="F1906" s="144">
        <v>2</v>
      </c>
      <c r="H1906" t="str">
        <f t="shared" si="32"/>
        <v>15006150062187</v>
      </c>
    </row>
    <row r="1907" spans="1:8" x14ac:dyDescent="0.25">
      <c r="A1907" s="118" t="s">
        <v>5711</v>
      </c>
      <c r="B1907" s="135" t="s">
        <v>3188</v>
      </c>
      <c r="C1907" s="138">
        <v>0.53</v>
      </c>
      <c r="D1907" s="138">
        <v>31.8</v>
      </c>
      <c r="E1907" s="138">
        <v>113.20754716981132</v>
      </c>
      <c r="F1907" s="144">
        <v>0.53</v>
      </c>
      <c r="H1907" t="str">
        <f t="shared" si="32"/>
        <v>15006150062188</v>
      </c>
    </row>
    <row r="1908" spans="1:8" ht="14.5" x14ac:dyDescent="0.25">
      <c r="A1908" s="117" t="s">
        <v>4893</v>
      </c>
      <c r="B1908" s="136" t="s">
        <v>3305</v>
      </c>
      <c r="C1908" s="138">
        <v>0.3</v>
      </c>
      <c r="D1908" s="138">
        <v>18</v>
      </c>
      <c r="E1908" s="138">
        <v>200</v>
      </c>
      <c r="F1908" s="144">
        <v>0.3</v>
      </c>
      <c r="H1908" t="str">
        <f t="shared" si="32"/>
        <v>15006150062189</v>
      </c>
    </row>
    <row r="1909" spans="1:8" x14ac:dyDescent="0.25">
      <c r="A1909" s="118" t="s">
        <v>4893</v>
      </c>
      <c r="B1909" s="135" t="s">
        <v>3349</v>
      </c>
      <c r="C1909" s="138">
        <v>2</v>
      </c>
      <c r="D1909" s="138">
        <v>120</v>
      </c>
      <c r="E1909" s="138">
        <v>30</v>
      </c>
      <c r="F1909" s="144">
        <v>120</v>
      </c>
      <c r="H1909" t="str">
        <f t="shared" si="32"/>
        <v>15006150062189</v>
      </c>
    </row>
    <row r="1910" spans="1:8" ht="14.5" x14ac:dyDescent="0.25">
      <c r="A1910" s="117" t="s">
        <v>4894</v>
      </c>
      <c r="B1910" s="133" t="s">
        <v>3306</v>
      </c>
      <c r="C1910" s="138">
        <v>0.3</v>
      </c>
      <c r="D1910" s="138">
        <v>18</v>
      </c>
      <c r="E1910" s="138">
        <v>200</v>
      </c>
      <c r="F1910" s="144">
        <v>0.3</v>
      </c>
      <c r="H1910" t="str">
        <f t="shared" si="32"/>
        <v>15006150062190</v>
      </c>
    </row>
    <row r="1911" spans="1:8" x14ac:dyDescent="0.25">
      <c r="A1911" s="118" t="s">
        <v>4894</v>
      </c>
      <c r="B1911" s="135" t="s">
        <v>3350</v>
      </c>
      <c r="C1911" s="138">
        <v>2</v>
      </c>
      <c r="D1911" s="138">
        <v>120</v>
      </c>
      <c r="E1911" s="138">
        <v>30</v>
      </c>
      <c r="F1911" s="144">
        <v>120</v>
      </c>
      <c r="H1911" t="str">
        <f t="shared" si="32"/>
        <v>15006150062190</v>
      </c>
    </row>
    <row r="1912" spans="1:8" ht="14.5" x14ac:dyDescent="0.25">
      <c r="A1912" s="117" t="s">
        <v>4895</v>
      </c>
      <c r="B1912" s="133" t="s">
        <v>3307</v>
      </c>
      <c r="C1912" s="138">
        <v>0.3</v>
      </c>
      <c r="D1912" s="138">
        <v>18</v>
      </c>
      <c r="E1912" s="138">
        <v>200</v>
      </c>
      <c r="F1912" s="144">
        <v>0.3</v>
      </c>
      <c r="H1912" t="str">
        <f t="shared" si="32"/>
        <v>15006150062191</v>
      </c>
    </row>
    <row r="1913" spans="1:8" x14ac:dyDescent="0.25">
      <c r="A1913" s="118" t="s">
        <v>4895</v>
      </c>
      <c r="B1913" s="135" t="s">
        <v>3351</v>
      </c>
      <c r="C1913" s="138">
        <v>2</v>
      </c>
      <c r="D1913" s="138">
        <v>120</v>
      </c>
      <c r="E1913" s="138">
        <v>30</v>
      </c>
      <c r="F1913" s="144">
        <v>120</v>
      </c>
      <c r="H1913" t="str">
        <f t="shared" si="32"/>
        <v>15006150062191</v>
      </c>
    </row>
    <row r="1914" spans="1:8" ht="14.5" x14ac:dyDescent="0.25">
      <c r="A1914" s="117" t="s">
        <v>4896</v>
      </c>
      <c r="B1914" s="133" t="s">
        <v>3308</v>
      </c>
      <c r="C1914" s="138">
        <v>0.3</v>
      </c>
      <c r="D1914" s="138">
        <v>18</v>
      </c>
      <c r="E1914" s="138">
        <v>200</v>
      </c>
      <c r="F1914" s="144">
        <v>0.3</v>
      </c>
      <c r="H1914" t="str">
        <f t="shared" si="32"/>
        <v>15006150062192</v>
      </c>
    </row>
    <row r="1915" spans="1:8" x14ac:dyDescent="0.25">
      <c r="A1915" s="118" t="s">
        <v>4896</v>
      </c>
      <c r="B1915" s="135" t="s">
        <v>3352</v>
      </c>
      <c r="C1915" s="138">
        <v>2</v>
      </c>
      <c r="D1915" s="138">
        <v>120</v>
      </c>
      <c r="E1915" s="138">
        <v>30</v>
      </c>
      <c r="F1915" s="144">
        <v>120</v>
      </c>
      <c r="H1915" t="str">
        <f t="shared" si="32"/>
        <v>15006150062192</v>
      </c>
    </row>
    <row r="1916" spans="1:8" x14ac:dyDescent="0.25">
      <c r="A1916" s="110" t="s">
        <v>5712</v>
      </c>
      <c r="B1916" s="125" t="s">
        <v>1839</v>
      </c>
      <c r="C1916" s="138">
        <v>3.83</v>
      </c>
      <c r="D1916" s="138">
        <v>229.8</v>
      </c>
      <c r="E1916" s="138">
        <v>15.66579634464752</v>
      </c>
      <c r="F1916" s="139">
        <v>3.83</v>
      </c>
      <c r="H1916" t="str">
        <f t="shared" si="32"/>
        <v>15006150062200</v>
      </c>
    </row>
    <row r="1917" spans="1:8" x14ac:dyDescent="0.25">
      <c r="A1917" s="118" t="s">
        <v>4906</v>
      </c>
      <c r="B1917" s="135" t="s">
        <v>3315</v>
      </c>
      <c r="C1917" s="138">
        <v>0.5</v>
      </c>
      <c r="D1917" s="138">
        <v>30</v>
      </c>
      <c r="E1917" s="138">
        <v>120</v>
      </c>
      <c r="F1917" s="144">
        <v>0.5</v>
      </c>
      <c r="H1917" t="str">
        <f t="shared" si="32"/>
        <v>15006150062203</v>
      </c>
    </row>
    <row r="1918" spans="1:8" x14ac:dyDescent="0.25">
      <c r="A1918" s="118" t="s">
        <v>4905</v>
      </c>
      <c r="B1918" s="135" t="s">
        <v>3316</v>
      </c>
      <c r="C1918" s="138">
        <v>0.5</v>
      </c>
      <c r="D1918" s="138">
        <v>30</v>
      </c>
      <c r="E1918" s="138">
        <v>120</v>
      </c>
      <c r="F1918" s="144">
        <v>0.5</v>
      </c>
      <c r="H1918" t="str">
        <f t="shared" si="32"/>
        <v>15006150062204</v>
      </c>
    </row>
    <row r="1919" spans="1:8" x14ac:dyDescent="0.25">
      <c r="A1919" s="118" t="s">
        <v>5713</v>
      </c>
      <c r="B1919" s="135" t="s">
        <v>3325</v>
      </c>
      <c r="C1919" s="138">
        <v>0.5</v>
      </c>
      <c r="D1919" s="138">
        <v>30</v>
      </c>
      <c r="E1919" s="138">
        <v>120</v>
      </c>
      <c r="F1919" s="144">
        <v>0.5</v>
      </c>
      <c r="H1919" t="str">
        <f t="shared" si="32"/>
        <v>15006150062205</v>
      </c>
    </row>
    <row r="1920" spans="1:8" x14ac:dyDescent="0.25">
      <c r="A1920" s="118" t="s">
        <v>4921</v>
      </c>
      <c r="B1920" s="135" t="s">
        <v>3340</v>
      </c>
      <c r="C1920" s="138">
        <v>0.5</v>
      </c>
      <c r="D1920" s="138">
        <v>30</v>
      </c>
      <c r="E1920" s="138">
        <v>120</v>
      </c>
      <c r="F1920" s="144">
        <v>5</v>
      </c>
      <c r="H1920" t="str">
        <f t="shared" si="32"/>
        <v>15006150062208</v>
      </c>
    </row>
    <row r="1921" spans="1:8" x14ac:dyDescent="0.25">
      <c r="A1921" s="118" t="s">
        <v>4922</v>
      </c>
      <c r="B1921" s="135" t="s">
        <v>3339</v>
      </c>
      <c r="C1921" s="138">
        <v>0.5</v>
      </c>
      <c r="D1921" s="138">
        <v>30</v>
      </c>
      <c r="E1921" s="138">
        <v>120</v>
      </c>
      <c r="F1921" s="144">
        <v>5</v>
      </c>
      <c r="H1921" t="str">
        <f t="shared" si="32"/>
        <v>15006150062209</v>
      </c>
    </row>
    <row r="1922" spans="1:8" x14ac:dyDescent="0.25">
      <c r="A1922" s="110"/>
      <c r="B1922" s="125" t="s">
        <v>1840</v>
      </c>
      <c r="C1922" s="138">
        <v>3.83</v>
      </c>
      <c r="D1922" s="138">
        <v>229.8</v>
      </c>
      <c r="E1922" s="138">
        <v>15.66579634464752</v>
      </c>
      <c r="F1922" s="139">
        <v>3.83</v>
      </c>
    </row>
    <row r="1923" spans="1:8" x14ac:dyDescent="0.25">
      <c r="A1923" s="110"/>
      <c r="B1923" s="125" t="s">
        <v>1841</v>
      </c>
      <c r="C1923" s="138">
        <v>0.35</v>
      </c>
      <c r="D1923" s="138">
        <v>21</v>
      </c>
      <c r="E1923" s="138">
        <v>171.42857142857142</v>
      </c>
      <c r="F1923" s="139">
        <v>0.35</v>
      </c>
    </row>
    <row r="1924" spans="1:8" x14ac:dyDescent="0.25">
      <c r="A1924" s="110"/>
      <c r="B1924" s="125" t="s">
        <v>1842</v>
      </c>
      <c r="C1924" s="138">
        <v>0.35</v>
      </c>
      <c r="D1924" s="138">
        <v>21</v>
      </c>
      <c r="E1924" s="138">
        <v>171.42857142857142</v>
      </c>
      <c r="F1924" s="139">
        <v>0.35</v>
      </c>
    </row>
    <row r="1925" spans="1:8" x14ac:dyDescent="0.25">
      <c r="A1925" s="110"/>
      <c r="B1925" s="125" t="s">
        <v>1843</v>
      </c>
      <c r="C1925" s="138">
        <v>0.35</v>
      </c>
      <c r="D1925" s="138">
        <v>21</v>
      </c>
      <c r="E1925" s="138">
        <v>171.42857142857142</v>
      </c>
      <c r="F1925" s="139">
        <v>0.35</v>
      </c>
    </row>
    <row r="1926" spans="1:8" x14ac:dyDescent="0.25">
      <c r="A1926" s="110"/>
      <c r="B1926" s="125" t="s">
        <v>1844</v>
      </c>
      <c r="C1926" s="138">
        <v>0.35</v>
      </c>
      <c r="D1926" s="138">
        <v>21</v>
      </c>
      <c r="E1926" s="138">
        <v>171.42857142857142</v>
      </c>
      <c r="F1926" s="139">
        <v>0.35</v>
      </c>
    </row>
    <row r="1927" spans="1:8" x14ac:dyDescent="0.25">
      <c r="A1927" s="110"/>
      <c r="B1927" s="125" t="s">
        <v>1845</v>
      </c>
      <c r="C1927" s="138">
        <v>0.35</v>
      </c>
      <c r="D1927" s="138">
        <v>21</v>
      </c>
      <c r="E1927" s="138">
        <v>171.42857142857142</v>
      </c>
      <c r="F1927" s="139">
        <v>0.35</v>
      </c>
    </row>
    <row r="1928" spans="1:8" x14ac:dyDescent="0.25">
      <c r="A1928" s="110"/>
      <c r="B1928" s="125" t="s">
        <v>1846</v>
      </c>
      <c r="C1928" s="138">
        <v>0.35</v>
      </c>
      <c r="D1928" s="138">
        <v>21</v>
      </c>
      <c r="E1928" s="138">
        <v>171.42857142857142</v>
      </c>
      <c r="F1928" s="139">
        <v>0.35</v>
      </c>
    </row>
    <row r="1929" spans="1:8" x14ac:dyDescent="0.25">
      <c r="A1929" s="110"/>
      <c r="B1929" s="125" t="s">
        <v>1847</v>
      </c>
      <c r="C1929" s="138">
        <v>0.33</v>
      </c>
      <c r="D1929" s="138">
        <v>19.8</v>
      </c>
      <c r="E1929" s="138">
        <v>181.81818181818181</v>
      </c>
      <c r="F1929" s="139">
        <v>0.33</v>
      </c>
    </row>
    <row r="1930" spans="1:8" x14ac:dyDescent="0.25">
      <c r="A1930" s="110"/>
      <c r="B1930" s="125" t="s">
        <v>1848</v>
      </c>
      <c r="C1930" s="138">
        <v>0.33</v>
      </c>
      <c r="D1930" s="138">
        <v>19.8</v>
      </c>
      <c r="E1930" s="138">
        <v>181.81818181818181</v>
      </c>
      <c r="F1930" s="139">
        <v>0.33</v>
      </c>
    </row>
    <row r="1931" spans="1:8" x14ac:dyDescent="0.25">
      <c r="A1931" s="110"/>
      <c r="B1931" s="125" t="s">
        <v>1849</v>
      </c>
      <c r="C1931" s="138">
        <v>0.35</v>
      </c>
      <c r="D1931" s="138">
        <v>21</v>
      </c>
      <c r="E1931" s="138">
        <v>171.42857142857142</v>
      </c>
      <c r="F1931" s="139">
        <v>0.35</v>
      </c>
    </row>
    <row r="1932" spans="1:8" x14ac:dyDescent="0.25">
      <c r="A1932" s="110"/>
      <c r="B1932" s="125" t="s">
        <v>1850</v>
      </c>
      <c r="C1932" s="138">
        <v>0.35</v>
      </c>
      <c r="D1932" s="138">
        <v>21</v>
      </c>
      <c r="E1932" s="138">
        <v>171.42857142857142</v>
      </c>
      <c r="F1932" s="139">
        <v>0.35</v>
      </c>
    </row>
    <row r="1933" spans="1:8" x14ac:dyDescent="0.25">
      <c r="A1933" s="110"/>
      <c r="B1933" s="125" t="s">
        <v>1851</v>
      </c>
      <c r="C1933" s="138">
        <v>1</v>
      </c>
      <c r="D1933" s="138">
        <v>60</v>
      </c>
      <c r="E1933" s="138">
        <v>60</v>
      </c>
      <c r="F1933" s="139">
        <v>1</v>
      </c>
    </row>
    <row r="1934" spans="1:8" x14ac:dyDescent="0.25">
      <c r="A1934" s="110"/>
      <c r="B1934" s="125" t="s">
        <v>1852</v>
      </c>
      <c r="C1934" s="138">
        <v>0.62</v>
      </c>
      <c r="D1934" s="138">
        <v>37.200000000000003</v>
      </c>
      <c r="E1934" s="138">
        <v>96.774193548387089</v>
      </c>
      <c r="F1934" s="139">
        <v>0.62</v>
      </c>
    </row>
    <row r="1935" spans="1:8" x14ac:dyDescent="0.25">
      <c r="A1935" s="110"/>
      <c r="B1935" s="125" t="s">
        <v>1852</v>
      </c>
      <c r="C1935" s="138">
        <v>0.62</v>
      </c>
      <c r="D1935" s="138">
        <v>37.200000000000003</v>
      </c>
      <c r="E1935" s="138">
        <v>96.774193548387089</v>
      </c>
      <c r="F1935" s="139">
        <v>0.62</v>
      </c>
    </row>
    <row r="1936" spans="1:8" x14ac:dyDescent="0.25">
      <c r="A1936" s="110"/>
      <c r="B1936" s="125" t="s">
        <v>1852</v>
      </c>
      <c r="C1936" s="138">
        <v>0.62</v>
      </c>
      <c r="D1936" s="138">
        <v>37.200000000000003</v>
      </c>
      <c r="E1936" s="138">
        <v>96.774193548387089</v>
      </c>
      <c r="F1936" s="139">
        <v>0.62</v>
      </c>
    </row>
    <row r="1937" spans="1:6" x14ac:dyDescent="0.25">
      <c r="A1937" s="110"/>
      <c r="B1937" s="125" t="s">
        <v>1852</v>
      </c>
      <c r="C1937" s="138">
        <v>0.62</v>
      </c>
      <c r="D1937" s="138">
        <v>37.200000000000003</v>
      </c>
      <c r="E1937" s="138">
        <v>96.774193548387089</v>
      </c>
      <c r="F1937" s="139">
        <v>0.62</v>
      </c>
    </row>
    <row r="1938" spans="1:6" x14ac:dyDescent="0.25">
      <c r="A1938" s="110"/>
      <c r="B1938" s="125" t="s">
        <v>1853</v>
      </c>
      <c r="C1938" s="138">
        <v>0.75</v>
      </c>
      <c r="D1938" s="138">
        <v>45</v>
      </c>
      <c r="E1938" s="138">
        <v>80</v>
      </c>
      <c r="F1938" s="139">
        <v>0.75</v>
      </c>
    </row>
    <row r="1939" spans="1:6" x14ac:dyDescent="0.25">
      <c r="A1939" s="110"/>
      <c r="B1939" s="125" t="s">
        <v>1854</v>
      </c>
      <c r="C1939" s="138">
        <v>0</v>
      </c>
      <c r="D1939" s="138">
        <v>0</v>
      </c>
      <c r="E1939" s="138" t="e">
        <v>#DIV/0!</v>
      </c>
      <c r="F1939" s="139">
        <v>0</v>
      </c>
    </row>
    <row r="1940" spans="1:6" x14ac:dyDescent="0.25">
      <c r="A1940" s="110"/>
      <c r="B1940" s="125" t="s">
        <v>1855</v>
      </c>
      <c r="C1940" s="138">
        <v>9</v>
      </c>
      <c r="D1940" s="138">
        <v>540</v>
      </c>
      <c r="E1940" s="138">
        <v>6.666666666666667</v>
      </c>
      <c r="F1940" s="139">
        <v>9</v>
      </c>
    </row>
    <row r="1941" spans="1:6" x14ac:dyDescent="0.25">
      <c r="A1941" s="110"/>
      <c r="B1941" s="125" t="s">
        <v>1856</v>
      </c>
      <c r="C1941" s="138">
        <v>0</v>
      </c>
      <c r="D1941" s="138">
        <v>0</v>
      </c>
      <c r="E1941" s="138" t="e">
        <v>#DIV/0!</v>
      </c>
      <c r="F1941" s="139">
        <v>0</v>
      </c>
    </row>
    <row r="1942" spans="1:6" x14ac:dyDescent="0.25">
      <c r="A1942" s="110"/>
      <c r="B1942" s="125" t="s">
        <v>1857</v>
      </c>
      <c r="C1942" s="138">
        <v>0</v>
      </c>
      <c r="D1942" s="138">
        <v>0</v>
      </c>
      <c r="E1942" s="138" t="e">
        <v>#DIV/0!</v>
      </c>
      <c r="F1942" s="139">
        <v>0</v>
      </c>
    </row>
    <row r="1943" spans="1:6" x14ac:dyDescent="0.25">
      <c r="A1943" s="110"/>
      <c r="B1943" s="125" t="s">
        <v>1858</v>
      </c>
      <c r="C1943" s="138">
        <v>0.75</v>
      </c>
      <c r="D1943" s="138">
        <v>45</v>
      </c>
      <c r="E1943" s="138">
        <v>80</v>
      </c>
      <c r="F1943" s="139">
        <v>0.75</v>
      </c>
    </row>
    <row r="1944" spans="1:6" x14ac:dyDescent="0.25">
      <c r="A1944" s="110"/>
      <c r="B1944" s="125" t="s">
        <v>1859</v>
      </c>
      <c r="C1944" s="138">
        <v>9</v>
      </c>
      <c r="D1944" s="138">
        <v>540</v>
      </c>
      <c r="E1944" s="138">
        <v>6.666666666666667</v>
      </c>
      <c r="F1944" s="139">
        <v>9</v>
      </c>
    </row>
    <row r="1945" spans="1:6" x14ac:dyDescent="0.25">
      <c r="A1945" s="110"/>
      <c r="B1945" s="125" t="s">
        <v>1860</v>
      </c>
      <c r="C1945" s="138">
        <v>2</v>
      </c>
      <c r="D1945" s="138">
        <v>120</v>
      </c>
      <c r="E1945" s="138">
        <v>30</v>
      </c>
      <c r="F1945" s="139">
        <v>2</v>
      </c>
    </row>
    <row r="1946" spans="1:6" x14ac:dyDescent="0.25">
      <c r="A1946" s="110"/>
      <c r="B1946" s="125" t="s">
        <v>1861</v>
      </c>
      <c r="C1946" s="138">
        <v>0</v>
      </c>
      <c r="D1946" s="138">
        <v>0</v>
      </c>
      <c r="E1946" s="138" t="e">
        <v>#DIV/0!</v>
      </c>
      <c r="F1946" s="139">
        <v>0</v>
      </c>
    </row>
    <row r="1947" spans="1:6" x14ac:dyDescent="0.25">
      <c r="A1947" s="110"/>
      <c r="B1947" s="125" t="s">
        <v>1862</v>
      </c>
      <c r="C1947" s="138">
        <v>22.53</v>
      </c>
      <c r="D1947" s="138">
        <v>1351.8000000000002</v>
      </c>
      <c r="E1947" s="138">
        <v>2.6631158455392807</v>
      </c>
      <c r="F1947" s="139">
        <v>22.53</v>
      </c>
    </row>
    <row r="1948" spans="1:6" x14ac:dyDescent="0.25">
      <c r="A1948" s="110"/>
      <c r="B1948" s="125" t="s">
        <v>1863</v>
      </c>
      <c r="C1948" s="138">
        <v>22.53</v>
      </c>
      <c r="D1948" s="138">
        <v>1351.8000000000002</v>
      </c>
      <c r="E1948" s="138">
        <v>2.6631158455392807</v>
      </c>
      <c r="F1948" s="139">
        <v>22.53</v>
      </c>
    </row>
    <row r="1949" spans="1:6" x14ac:dyDescent="0.25">
      <c r="A1949" s="110"/>
      <c r="B1949" s="125" t="s">
        <v>1864</v>
      </c>
      <c r="C1949" s="138">
        <v>0.01</v>
      </c>
      <c r="D1949" s="138">
        <v>0.6</v>
      </c>
      <c r="E1949" s="138">
        <v>6000</v>
      </c>
      <c r="F1949" s="139">
        <v>0.01</v>
      </c>
    </row>
    <row r="1950" spans="1:6" x14ac:dyDescent="0.25">
      <c r="A1950" s="110"/>
      <c r="B1950" s="125" t="s">
        <v>1865</v>
      </c>
      <c r="C1950" s="138">
        <v>0.01</v>
      </c>
      <c r="D1950" s="138">
        <v>0.6</v>
      </c>
      <c r="E1950" s="138">
        <v>6000</v>
      </c>
      <c r="F1950" s="139">
        <v>0.01</v>
      </c>
    </row>
    <row r="1951" spans="1:6" x14ac:dyDescent="0.25">
      <c r="A1951" s="110"/>
      <c r="B1951" s="125" t="s">
        <v>1866</v>
      </c>
      <c r="C1951" s="138">
        <v>0.01</v>
      </c>
      <c r="D1951" s="138">
        <v>0.6</v>
      </c>
      <c r="E1951" s="138">
        <v>6000</v>
      </c>
      <c r="F1951" s="139">
        <v>0.01</v>
      </c>
    </row>
    <row r="1952" spans="1:6" x14ac:dyDescent="0.25">
      <c r="A1952" s="110"/>
      <c r="B1952" s="125" t="s">
        <v>1867</v>
      </c>
      <c r="C1952" s="138">
        <v>2</v>
      </c>
      <c r="D1952" s="138">
        <v>120</v>
      </c>
      <c r="E1952" s="138">
        <v>30</v>
      </c>
      <c r="F1952" s="139">
        <v>2</v>
      </c>
    </row>
    <row r="1953" spans="1:6" x14ac:dyDescent="0.25">
      <c r="A1953" s="110"/>
      <c r="B1953" s="125" t="s">
        <v>1868</v>
      </c>
      <c r="C1953" s="138">
        <v>2</v>
      </c>
      <c r="D1953" s="138">
        <v>120</v>
      </c>
      <c r="E1953" s="138">
        <v>30</v>
      </c>
      <c r="F1953" s="139">
        <v>2</v>
      </c>
    </row>
    <row r="1954" spans="1:6" x14ac:dyDescent="0.25">
      <c r="A1954" s="110"/>
      <c r="B1954" s="125" t="s">
        <v>1869</v>
      </c>
      <c r="C1954" s="138">
        <v>2.5</v>
      </c>
      <c r="D1954" s="138">
        <v>150</v>
      </c>
      <c r="E1954" s="138">
        <v>24</v>
      </c>
      <c r="F1954" s="139">
        <v>2.5</v>
      </c>
    </row>
    <row r="1955" spans="1:6" x14ac:dyDescent="0.25">
      <c r="A1955" s="110"/>
      <c r="B1955" s="125" t="s">
        <v>1868</v>
      </c>
      <c r="C1955" s="138">
        <v>2.5</v>
      </c>
      <c r="D1955" s="138">
        <v>150</v>
      </c>
      <c r="E1955" s="138">
        <v>24</v>
      </c>
      <c r="F1955" s="139">
        <v>2.5</v>
      </c>
    </row>
    <row r="1956" spans="1:6" x14ac:dyDescent="0.25">
      <c r="A1956" s="110"/>
      <c r="B1956" s="125" t="s">
        <v>1870</v>
      </c>
      <c r="C1956" s="138">
        <v>2.5</v>
      </c>
      <c r="D1956" s="138">
        <v>150</v>
      </c>
      <c r="E1956" s="138">
        <v>24</v>
      </c>
      <c r="F1956" s="139">
        <v>2.5</v>
      </c>
    </row>
    <row r="1957" spans="1:6" x14ac:dyDescent="0.25">
      <c r="A1957" s="110"/>
      <c r="B1957" s="125" t="s">
        <v>1871</v>
      </c>
      <c r="C1957" s="138">
        <v>2.5</v>
      </c>
      <c r="D1957" s="138">
        <v>150</v>
      </c>
      <c r="E1957" s="138">
        <v>24</v>
      </c>
      <c r="F1957" s="139">
        <v>2.5</v>
      </c>
    </row>
    <row r="1958" spans="1:6" x14ac:dyDescent="0.25">
      <c r="A1958" s="110"/>
      <c r="B1958" s="125" t="s">
        <v>1869</v>
      </c>
      <c r="C1958" s="138">
        <v>2</v>
      </c>
      <c r="D1958" s="138">
        <v>120</v>
      </c>
      <c r="E1958" s="138">
        <v>30</v>
      </c>
      <c r="F1958" s="139">
        <v>2</v>
      </c>
    </row>
    <row r="1959" spans="1:6" x14ac:dyDescent="0.25">
      <c r="A1959" s="110"/>
      <c r="B1959" s="125" t="s">
        <v>1868</v>
      </c>
      <c r="C1959" s="138">
        <v>2</v>
      </c>
      <c r="D1959" s="138">
        <v>120</v>
      </c>
      <c r="E1959" s="138">
        <v>30</v>
      </c>
      <c r="F1959" s="139">
        <v>2</v>
      </c>
    </row>
    <row r="1960" spans="1:6" x14ac:dyDescent="0.25">
      <c r="A1960" s="110"/>
      <c r="B1960" s="125" t="s">
        <v>1872</v>
      </c>
      <c r="C1960" s="138">
        <v>9</v>
      </c>
      <c r="D1960" s="138">
        <v>540</v>
      </c>
      <c r="E1960" s="138">
        <v>6.666666666666667</v>
      </c>
      <c r="F1960" s="139">
        <v>9</v>
      </c>
    </row>
    <row r="1961" spans="1:6" x14ac:dyDescent="0.25">
      <c r="A1961" s="110"/>
      <c r="B1961" s="125" t="s">
        <v>1873</v>
      </c>
      <c r="C1961" s="138">
        <v>7.3</v>
      </c>
      <c r="D1961" s="138">
        <v>438</v>
      </c>
      <c r="E1961" s="138">
        <v>8.2191780821917817</v>
      </c>
      <c r="F1961" s="139">
        <v>7.3</v>
      </c>
    </row>
    <row r="1962" spans="1:6" x14ac:dyDescent="0.25">
      <c r="A1962" s="110"/>
      <c r="B1962" s="125" t="s">
        <v>1874</v>
      </c>
      <c r="C1962" s="138">
        <v>7.3</v>
      </c>
      <c r="D1962" s="138">
        <v>438</v>
      </c>
      <c r="E1962" s="138">
        <v>8.2191780821917817</v>
      </c>
      <c r="F1962" s="139">
        <v>7.3</v>
      </c>
    </row>
    <row r="1963" spans="1:6" x14ac:dyDescent="0.25">
      <c r="A1963" s="110"/>
      <c r="B1963" s="125" t="s">
        <v>1875</v>
      </c>
      <c r="C1963" s="138">
        <v>3.25</v>
      </c>
      <c r="D1963" s="138">
        <v>195</v>
      </c>
      <c r="E1963" s="138">
        <v>18.46153846153846</v>
      </c>
      <c r="F1963" s="139">
        <v>3.25</v>
      </c>
    </row>
    <row r="1964" spans="1:6" x14ac:dyDescent="0.25">
      <c r="A1964" s="110"/>
      <c r="B1964" s="125" t="s">
        <v>1875</v>
      </c>
      <c r="C1964" s="138">
        <v>3.25</v>
      </c>
      <c r="D1964" s="138">
        <v>195</v>
      </c>
      <c r="E1964" s="138">
        <v>18.46153846153846</v>
      </c>
      <c r="F1964" s="139">
        <v>3.25</v>
      </c>
    </row>
    <row r="1965" spans="1:6" x14ac:dyDescent="0.25">
      <c r="A1965" s="110"/>
      <c r="B1965" s="125" t="s">
        <v>1876</v>
      </c>
      <c r="C1965" s="138">
        <v>4</v>
      </c>
      <c r="D1965" s="138">
        <v>240</v>
      </c>
      <c r="E1965" s="138">
        <v>15</v>
      </c>
      <c r="F1965" s="139">
        <v>4</v>
      </c>
    </row>
    <row r="1966" spans="1:6" x14ac:dyDescent="0.25">
      <c r="A1966" s="110"/>
      <c r="B1966" s="125" t="s">
        <v>1875</v>
      </c>
      <c r="C1966" s="138">
        <v>4</v>
      </c>
      <c r="D1966" s="138">
        <v>240</v>
      </c>
      <c r="E1966" s="138">
        <v>15</v>
      </c>
      <c r="F1966" s="139">
        <v>4</v>
      </c>
    </row>
    <row r="1967" spans="1:6" x14ac:dyDescent="0.25">
      <c r="A1967" s="110"/>
      <c r="B1967" s="125" t="s">
        <v>1877</v>
      </c>
      <c r="C1967" s="138">
        <v>9</v>
      </c>
      <c r="D1967" s="138">
        <v>540</v>
      </c>
      <c r="E1967" s="138">
        <v>6.666666666666667</v>
      </c>
      <c r="F1967" s="139">
        <v>9</v>
      </c>
    </row>
    <row r="1968" spans="1:6" x14ac:dyDescent="0.25">
      <c r="A1968" s="110"/>
      <c r="B1968" s="125" t="s">
        <v>1878</v>
      </c>
      <c r="C1968" s="138">
        <v>1</v>
      </c>
      <c r="D1968" s="138">
        <v>60</v>
      </c>
      <c r="E1968" s="138">
        <v>60</v>
      </c>
      <c r="F1968" s="139">
        <v>1</v>
      </c>
    </row>
    <row r="1969" spans="1:6" x14ac:dyDescent="0.25">
      <c r="A1969" s="110"/>
      <c r="B1969" s="125" t="s">
        <v>1879</v>
      </c>
      <c r="C1969" s="138">
        <v>0</v>
      </c>
      <c r="D1969" s="138">
        <v>0</v>
      </c>
      <c r="E1969" s="138" t="e">
        <v>#DIV/0!</v>
      </c>
      <c r="F1969" s="139">
        <v>0</v>
      </c>
    </row>
    <row r="1970" spans="1:6" x14ac:dyDescent="0.25">
      <c r="A1970" s="110"/>
      <c r="B1970" s="125" t="s">
        <v>1880</v>
      </c>
      <c r="C1970" s="138">
        <v>0</v>
      </c>
      <c r="D1970" s="138">
        <v>0</v>
      </c>
      <c r="E1970" s="138" t="e">
        <v>#DIV/0!</v>
      </c>
      <c r="F1970" s="139">
        <v>0</v>
      </c>
    </row>
    <row r="1971" spans="1:6" x14ac:dyDescent="0.25">
      <c r="A1971" s="110"/>
      <c r="B1971" s="125" t="s">
        <v>1881</v>
      </c>
      <c r="C1971" s="138">
        <v>0</v>
      </c>
      <c r="D1971" s="138">
        <v>0</v>
      </c>
      <c r="E1971" s="138" t="e">
        <v>#DIV/0!</v>
      </c>
      <c r="F1971" s="139">
        <v>0</v>
      </c>
    </row>
    <row r="1972" spans="1:6" x14ac:dyDescent="0.25">
      <c r="A1972" s="110"/>
      <c r="B1972" s="125" t="s">
        <v>1882</v>
      </c>
      <c r="C1972" s="138">
        <v>0</v>
      </c>
      <c r="D1972" s="138">
        <v>0</v>
      </c>
      <c r="E1972" s="138" t="e">
        <v>#DIV/0!</v>
      </c>
      <c r="F1972" s="139">
        <v>0</v>
      </c>
    </row>
    <row r="1973" spans="1:6" x14ac:dyDescent="0.25">
      <c r="A1973" s="110"/>
      <c r="B1973" s="125" t="s">
        <v>1883</v>
      </c>
      <c r="C1973" s="138">
        <v>0</v>
      </c>
      <c r="D1973" s="138">
        <v>0</v>
      </c>
      <c r="E1973" s="138" t="e">
        <v>#DIV/0!</v>
      </c>
      <c r="F1973" s="139">
        <v>0</v>
      </c>
    </row>
    <row r="1974" spans="1:6" x14ac:dyDescent="0.25">
      <c r="A1974" s="110"/>
      <c r="B1974" s="125" t="s">
        <v>1884</v>
      </c>
      <c r="C1974" s="138">
        <v>0</v>
      </c>
      <c r="D1974" s="138">
        <v>0</v>
      </c>
      <c r="E1974" s="138" t="e">
        <v>#DIV/0!</v>
      </c>
      <c r="F1974" s="139">
        <v>0</v>
      </c>
    </row>
    <row r="1975" spans="1:6" x14ac:dyDescent="0.25">
      <c r="A1975" s="110"/>
      <c r="B1975" s="125" t="s">
        <v>1885</v>
      </c>
      <c r="C1975" s="138">
        <v>0</v>
      </c>
      <c r="D1975" s="138">
        <v>0</v>
      </c>
      <c r="E1975" s="138" t="e">
        <v>#DIV/0!</v>
      </c>
      <c r="F1975" s="139">
        <v>0</v>
      </c>
    </row>
    <row r="1976" spans="1:6" x14ac:dyDescent="0.25">
      <c r="A1976" s="110"/>
      <c r="B1976" s="125" t="s">
        <v>1886</v>
      </c>
      <c r="C1976" s="138">
        <v>0</v>
      </c>
      <c r="D1976" s="138">
        <v>0</v>
      </c>
      <c r="E1976" s="138" t="e">
        <v>#DIV/0!</v>
      </c>
      <c r="F1976" s="139">
        <v>0</v>
      </c>
    </row>
    <row r="1977" spans="1:6" x14ac:dyDescent="0.25">
      <c r="A1977" s="110"/>
      <c r="B1977" s="125" t="s">
        <v>1887</v>
      </c>
      <c r="C1977" s="138">
        <v>0</v>
      </c>
      <c r="D1977" s="138">
        <v>0</v>
      </c>
      <c r="E1977" s="138" t="e">
        <v>#DIV/0!</v>
      </c>
      <c r="F1977" s="139">
        <v>0</v>
      </c>
    </row>
    <row r="1978" spans="1:6" x14ac:dyDescent="0.25">
      <c r="A1978" s="110"/>
      <c r="B1978" s="125" t="s">
        <v>1888</v>
      </c>
      <c r="C1978" s="138">
        <v>0</v>
      </c>
      <c r="D1978" s="138">
        <v>0</v>
      </c>
      <c r="E1978" s="138" t="e">
        <v>#DIV/0!</v>
      </c>
      <c r="F1978" s="139">
        <v>0</v>
      </c>
    </row>
    <row r="1979" spans="1:6" x14ac:dyDescent="0.25">
      <c r="A1979" s="110"/>
      <c r="B1979" s="125" t="s">
        <v>1889</v>
      </c>
      <c r="C1979" s="138">
        <v>0</v>
      </c>
      <c r="D1979" s="138">
        <v>0</v>
      </c>
      <c r="E1979" s="138" t="e">
        <v>#DIV/0!</v>
      </c>
      <c r="F1979" s="139">
        <v>0</v>
      </c>
    </row>
    <row r="1980" spans="1:6" x14ac:dyDescent="0.25">
      <c r="A1980" s="110"/>
      <c r="B1980" s="125" t="s">
        <v>1890</v>
      </c>
      <c r="C1980" s="138">
        <v>1</v>
      </c>
      <c r="D1980" s="138">
        <v>60</v>
      </c>
      <c r="E1980" s="138">
        <v>60</v>
      </c>
      <c r="F1980" s="139">
        <v>1</v>
      </c>
    </row>
    <row r="1981" spans="1:6" x14ac:dyDescent="0.25">
      <c r="A1981" s="110"/>
      <c r="B1981" s="125" t="s">
        <v>1891</v>
      </c>
      <c r="C1981" s="138">
        <v>3</v>
      </c>
      <c r="D1981" s="138">
        <v>180</v>
      </c>
      <c r="E1981" s="138">
        <v>20</v>
      </c>
      <c r="F1981" s="139">
        <v>3</v>
      </c>
    </row>
    <row r="1982" spans="1:6" x14ac:dyDescent="0.25">
      <c r="A1982" s="110"/>
      <c r="B1982" s="125" t="s">
        <v>1892</v>
      </c>
      <c r="C1982" s="138">
        <v>3</v>
      </c>
      <c r="D1982" s="138">
        <v>180</v>
      </c>
      <c r="E1982" s="138">
        <v>20</v>
      </c>
      <c r="F1982" s="139">
        <v>3</v>
      </c>
    </row>
    <row r="1983" spans="1:6" x14ac:dyDescent="0.25">
      <c r="A1983" s="110"/>
      <c r="B1983" s="125" t="s">
        <v>1888</v>
      </c>
      <c r="C1983" s="138">
        <v>3</v>
      </c>
      <c r="D1983" s="138">
        <v>180</v>
      </c>
      <c r="E1983" s="138">
        <v>20</v>
      </c>
      <c r="F1983" s="139">
        <v>3</v>
      </c>
    </row>
    <row r="1984" spans="1:6" x14ac:dyDescent="0.25">
      <c r="A1984" s="110"/>
      <c r="B1984" s="125" t="s">
        <v>1861</v>
      </c>
      <c r="C1984" s="138">
        <v>0</v>
      </c>
      <c r="D1984" s="138">
        <v>0</v>
      </c>
      <c r="E1984" s="138" t="e">
        <v>#DIV/0!</v>
      </c>
      <c r="F1984" s="139">
        <v>0</v>
      </c>
    </row>
    <row r="1985" spans="1:6" x14ac:dyDescent="0.25">
      <c r="A1985" s="110"/>
      <c r="B1985" s="125" t="s">
        <v>1893</v>
      </c>
      <c r="C1985" s="138">
        <v>1</v>
      </c>
      <c r="D1985" s="138">
        <v>60</v>
      </c>
      <c r="E1985" s="138">
        <v>60</v>
      </c>
      <c r="F1985" s="139">
        <v>1</v>
      </c>
    </row>
    <row r="1986" spans="1:6" x14ac:dyDescent="0.25">
      <c r="A1986" s="110"/>
      <c r="B1986" s="125" t="s">
        <v>1894</v>
      </c>
      <c r="C1986" s="138">
        <v>2</v>
      </c>
      <c r="D1986" s="138">
        <v>120</v>
      </c>
      <c r="E1986" s="138">
        <v>30</v>
      </c>
      <c r="F1986" s="139">
        <v>2</v>
      </c>
    </row>
    <row r="1987" spans="1:6" x14ac:dyDescent="0.25">
      <c r="A1987" s="110"/>
      <c r="B1987" s="125" t="s">
        <v>1895</v>
      </c>
      <c r="C1987" s="138">
        <v>1</v>
      </c>
      <c r="D1987" s="138">
        <v>60</v>
      </c>
      <c r="E1987" s="138">
        <v>60</v>
      </c>
      <c r="F1987" s="139">
        <v>1</v>
      </c>
    </row>
    <row r="1988" spans="1:6" x14ac:dyDescent="0.25">
      <c r="A1988" s="110"/>
      <c r="B1988" s="125" t="s">
        <v>1896</v>
      </c>
      <c r="C1988" s="138">
        <v>1</v>
      </c>
      <c r="D1988" s="138">
        <v>60</v>
      </c>
      <c r="E1988" s="138">
        <v>60</v>
      </c>
      <c r="F1988" s="139">
        <v>1</v>
      </c>
    </row>
    <row r="1989" spans="1:6" x14ac:dyDescent="0.25">
      <c r="A1989" s="110"/>
      <c r="B1989" s="125" t="s">
        <v>1897</v>
      </c>
      <c r="C1989" s="138">
        <v>1</v>
      </c>
      <c r="D1989" s="138">
        <v>60</v>
      </c>
      <c r="E1989" s="138">
        <v>60</v>
      </c>
      <c r="F1989" s="139">
        <v>1</v>
      </c>
    </row>
    <row r="1990" spans="1:6" x14ac:dyDescent="0.25">
      <c r="A1990" s="110"/>
      <c r="B1990" s="125" t="s">
        <v>1898</v>
      </c>
      <c r="C1990" s="138">
        <v>0</v>
      </c>
      <c r="D1990" s="138">
        <v>0</v>
      </c>
      <c r="E1990" s="138" t="e">
        <v>#DIV/0!</v>
      </c>
      <c r="F1990" s="139">
        <v>0</v>
      </c>
    </row>
    <row r="1991" spans="1:6" x14ac:dyDescent="0.25">
      <c r="A1991" s="110"/>
      <c r="B1991" s="125" t="s">
        <v>1899</v>
      </c>
      <c r="C1991" s="138">
        <v>1</v>
      </c>
      <c r="D1991" s="138">
        <v>60</v>
      </c>
      <c r="E1991" s="138">
        <v>60</v>
      </c>
      <c r="F1991" s="139">
        <v>1</v>
      </c>
    </row>
    <row r="1992" spans="1:6" x14ac:dyDescent="0.25">
      <c r="A1992" s="110"/>
      <c r="B1992" s="125" t="s">
        <v>1900</v>
      </c>
      <c r="C1992" s="138">
        <v>0.5</v>
      </c>
      <c r="D1992" s="138">
        <v>30</v>
      </c>
      <c r="E1992" s="138">
        <v>120</v>
      </c>
      <c r="F1992" s="139">
        <v>0.5</v>
      </c>
    </row>
    <row r="1993" spans="1:6" x14ac:dyDescent="0.25">
      <c r="A1993" s="110"/>
      <c r="B1993" s="125" t="s">
        <v>1901</v>
      </c>
      <c r="C1993" s="138">
        <v>2</v>
      </c>
      <c r="D1993" s="138">
        <v>120</v>
      </c>
      <c r="E1993" s="138">
        <v>30</v>
      </c>
      <c r="F1993" s="139">
        <v>2</v>
      </c>
    </row>
    <row r="1994" spans="1:6" x14ac:dyDescent="0.25">
      <c r="A1994" s="110"/>
      <c r="B1994" s="125" t="s">
        <v>1902</v>
      </c>
      <c r="C1994" s="138">
        <v>2</v>
      </c>
      <c r="D1994" s="138">
        <v>120</v>
      </c>
      <c r="E1994" s="138">
        <v>30</v>
      </c>
      <c r="F1994" s="139">
        <v>2</v>
      </c>
    </row>
    <row r="1995" spans="1:6" x14ac:dyDescent="0.25">
      <c r="A1995" s="110"/>
      <c r="B1995" s="125" t="s">
        <v>1903</v>
      </c>
      <c r="C1995" s="138">
        <v>2</v>
      </c>
      <c r="D1995" s="138">
        <v>120</v>
      </c>
      <c r="E1995" s="138">
        <v>30</v>
      </c>
      <c r="F1995" s="139">
        <v>2</v>
      </c>
    </row>
    <row r="1996" spans="1:6" x14ac:dyDescent="0.25">
      <c r="A1996" s="110"/>
      <c r="B1996" s="125" t="s">
        <v>1904</v>
      </c>
      <c r="C1996" s="138">
        <v>1</v>
      </c>
      <c r="D1996" s="138">
        <v>60</v>
      </c>
      <c r="E1996" s="138">
        <v>60</v>
      </c>
      <c r="F1996" s="139">
        <v>1</v>
      </c>
    </row>
    <row r="1997" spans="1:6" x14ac:dyDescent="0.25">
      <c r="A1997" s="110"/>
      <c r="B1997" s="125" t="s">
        <v>1905</v>
      </c>
      <c r="C1997" s="138">
        <v>2</v>
      </c>
      <c r="D1997" s="138">
        <v>120</v>
      </c>
      <c r="E1997" s="138">
        <v>30</v>
      </c>
      <c r="F1997" s="139">
        <v>2</v>
      </c>
    </row>
    <row r="1998" spans="1:6" x14ac:dyDescent="0.25">
      <c r="A1998" s="110"/>
      <c r="B1998" s="125" t="s">
        <v>1906</v>
      </c>
      <c r="C1998" s="138">
        <v>2</v>
      </c>
      <c r="D1998" s="138">
        <v>120</v>
      </c>
      <c r="E1998" s="138">
        <v>30</v>
      </c>
      <c r="F1998" s="139">
        <v>2</v>
      </c>
    </row>
    <row r="1999" spans="1:6" x14ac:dyDescent="0.25">
      <c r="A1999" s="110"/>
      <c r="B1999" s="125" t="s">
        <v>1907</v>
      </c>
      <c r="C1999" s="138">
        <v>2</v>
      </c>
      <c r="D1999" s="138">
        <v>120</v>
      </c>
      <c r="E1999" s="138">
        <v>30</v>
      </c>
      <c r="F1999" s="139">
        <v>2</v>
      </c>
    </row>
    <row r="2000" spans="1:6" x14ac:dyDescent="0.25">
      <c r="A2000" s="110"/>
      <c r="B2000" s="125" t="s">
        <v>1908</v>
      </c>
      <c r="C2000" s="138">
        <v>2</v>
      </c>
      <c r="D2000" s="138">
        <v>120</v>
      </c>
      <c r="E2000" s="138">
        <v>30</v>
      </c>
      <c r="F2000" s="139">
        <v>2</v>
      </c>
    </row>
    <row r="2001" spans="1:6" x14ac:dyDescent="0.25">
      <c r="A2001" s="110"/>
      <c r="B2001" s="125" t="s">
        <v>1909</v>
      </c>
      <c r="C2001" s="138">
        <v>2</v>
      </c>
      <c r="D2001" s="138">
        <v>120</v>
      </c>
      <c r="E2001" s="138">
        <v>30</v>
      </c>
      <c r="F2001" s="139">
        <v>2</v>
      </c>
    </row>
    <row r="2002" spans="1:6" x14ac:dyDescent="0.25">
      <c r="A2002" s="110"/>
      <c r="B2002" s="125" t="s">
        <v>1910</v>
      </c>
      <c r="C2002" s="138">
        <v>2</v>
      </c>
      <c r="D2002" s="138">
        <v>120</v>
      </c>
      <c r="E2002" s="138">
        <v>30</v>
      </c>
      <c r="F2002" s="139">
        <v>2</v>
      </c>
    </row>
    <row r="2003" spans="1:6" x14ac:dyDescent="0.25">
      <c r="A2003" s="110"/>
      <c r="B2003" s="125" t="s">
        <v>1911</v>
      </c>
      <c r="C2003" s="138">
        <v>0.1</v>
      </c>
      <c r="D2003" s="138">
        <v>6</v>
      </c>
      <c r="E2003" s="138">
        <v>600</v>
      </c>
      <c r="F2003" s="139">
        <v>0.1</v>
      </c>
    </row>
    <row r="2004" spans="1:6" x14ac:dyDescent="0.25">
      <c r="A2004" s="110"/>
      <c r="B2004" s="125" t="s">
        <v>1912</v>
      </c>
      <c r="C2004" s="138">
        <v>2</v>
      </c>
      <c r="D2004" s="138">
        <v>120</v>
      </c>
      <c r="E2004" s="138">
        <v>30</v>
      </c>
      <c r="F2004" s="139">
        <v>2</v>
      </c>
    </row>
    <row r="2005" spans="1:6" x14ac:dyDescent="0.25">
      <c r="A2005" s="110"/>
      <c r="B2005" s="125" t="s">
        <v>1913</v>
      </c>
      <c r="C2005" s="138">
        <v>2</v>
      </c>
      <c r="D2005" s="138">
        <v>120</v>
      </c>
      <c r="E2005" s="138">
        <v>30</v>
      </c>
      <c r="F2005" s="139">
        <v>2</v>
      </c>
    </row>
    <row r="2006" spans="1:6" x14ac:dyDescent="0.25">
      <c r="A2006" s="110"/>
      <c r="B2006" s="125" t="s">
        <v>1914</v>
      </c>
      <c r="C2006" s="138">
        <v>2</v>
      </c>
      <c r="D2006" s="138">
        <v>120</v>
      </c>
      <c r="E2006" s="138">
        <v>30</v>
      </c>
      <c r="F2006" s="139">
        <v>2</v>
      </c>
    </row>
    <row r="2007" spans="1:6" x14ac:dyDescent="0.25">
      <c r="A2007" s="110"/>
      <c r="B2007" s="125" t="s">
        <v>1913</v>
      </c>
      <c r="C2007" s="138">
        <v>2</v>
      </c>
      <c r="D2007" s="138">
        <v>120</v>
      </c>
      <c r="E2007" s="138">
        <v>30</v>
      </c>
      <c r="F2007" s="139">
        <v>2</v>
      </c>
    </row>
    <row r="2008" spans="1:6" x14ac:dyDescent="0.25">
      <c r="A2008" s="110"/>
      <c r="B2008" s="125" t="s">
        <v>1915</v>
      </c>
      <c r="C2008" s="138">
        <v>1</v>
      </c>
      <c r="D2008" s="138">
        <v>60</v>
      </c>
      <c r="E2008" s="138">
        <v>60</v>
      </c>
      <c r="F2008" s="139">
        <v>1</v>
      </c>
    </row>
    <row r="2009" spans="1:6" x14ac:dyDescent="0.25">
      <c r="A2009" s="110"/>
      <c r="B2009" s="125" t="s">
        <v>1915</v>
      </c>
      <c r="C2009" s="138">
        <v>1</v>
      </c>
      <c r="D2009" s="138">
        <v>60</v>
      </c>
      <c r="E2009" s="138">
        <v>60</v>
      </c>
      <c r="F2009" s="139">
        <v>1</v>
      </c>
    </row>
    <row r="2010" spans="1:6" x14ac:dyDescent="0.25">
      <c r="A2010" s="110"/>
      <c r="B2010" s="125" t="s">
        <v>1916</v>
      </c>
      <c r="C2010" s="138">
        <v>2</v>
      </c>
      <c r="D2010" s="138">
        <v>120</v>
      </c>
      <c r="E2010" s="138">
        <v>30</v>
      </c>
      <c r="F2010" s="139">
        <v>2</v>
      </c>
    </row>
    <row r="2011" spans="1:6" x14ac:dyDescent="0.25">
      <c r="A2011" s="110"/>
      <c r="B2011" s="125" t="s">
        <v>1916</v>
      </c>
      <c r="C2011" s="138">
        <v>2</v>
      </c>
      <c r="D2011" s="138">
        <v>120</v>
      </c>
      <c r="E2011" s="138">
        <v>30</v>
      </c>
      <c r="F2011" s="139">
        <v>2</v>
      </c>
    </row>
    <row r="2012" spans="1:6" x14ac:dyDescent="0.25">
      <c r="A2012" s="110"/>
      <c r="B2012" s="125" t="s">
        <v>1917</v>
      </c>
      <c r="C2012" s="138">
        <v>2</v>
      </c>
      <c r="D2012" s="138">
        <v>120</v>
      </c>
      <c r="E2012" s="138">
        <v>30</v>
      </c>
      <c r="F2012" s="139">
        <v>2</v>
      </c>
    </row>
    <row r="2013" spans="1:6" x14ac:dyDescent="0.25">
      <c r="A2013" s="110"/>
      <c r="B2013" s="125" t="s">
        <v>1918</v>
      </c>
      <c r="C2013" s="138">
        <v>0.5</v>
      </c>
      <c r="D2013" s="138">
        <v>30</v>
      </c>
      <c r="E2013" s="138">
        <v>120</v>
      </c>
      <c r="F2013" s="139">
        <v>0.5</v>
      </c>
    </row>
    <row r="2014" spans="1:6" x14ac:dyDescent="0.25">
      <c r="A2014" s="110"/>
      <c r="B2014" s="125" t="s">
        <v>1919</v>
      </c>
      <c r="C2014" s="138">
        <v>2</v>
      </c>
      <c r="D2014" s="138">
        <v>120</v>
      </c>
      <c r="E2014" s="138">
        <v>30</v>
      </c>
      <c r="F2014" s="139">
        <v>2</v>
      </c>
    </row>
    <row r="2015" spans="1:6" x14ac:dyDescent="0.25">
      <c r="A2015" s="110"/>
      <c r="B2015" s="125" t="s">
        <v>1920</v>
      </c>
      <c r="C2015" s="138">
        <v>2</v>
      </c>
      <c r="D2015" s="138">
        <v>120</v>
      </c>
      <c r="E2015" s="138">
        <v>30</v>
      </c>
      <c r="F2015" s="139">
        <v>2</v>
      </c>
    </row>
    <row r="2016" spans="1:6" x14ac:dyDescent="0.25">
      <c r="A2016" s="110"/>
      <c r="B2016" s="125" t="s">
        <v>1921</v>
      </c>
      <c r="C2016" s="138">
        <v>2</v>
      </c>
      <c r="D2016" s="138">
        <v>120</v>
      </c>
      <c r="E2016" s="138">
        <v>30</v>
      </c>
      <c r="F2016" s="139">
        <v>2</v>
      </c>
    </row>
    <row r="2017" spans="1:6" x14ac:dyDescent="0.25">
      <c r="A2017" s="110"/>
      <c r="B2017" s="125" t="s">
        <v>1922</v>
      </c>
      <c r="C2017" s="138">
        <v>2</v>
      </c>
      <c r="D2017" s="138">
        <v>120</v>
      </c>
      <c r="E2017" s="138">
        <v>30</v>
      </c>
      <c r="F2017" s="139">
        <v>2</v>
      </c>
    </row>
    <row r="2018" spans="1:6" x14ac:dyDescent="0.25">
      <c r="A2018" s="110"/>
      <c r="B2018" s="125" t="s">
        <v>1923</v>
      </c>
      <c r="C2018" s="138">
        <v>2</v>
      </c>
      <c r="D2018" s="138">
        <v>120</v>
      </c>
      <c r="E2018" s="138">
        <v>30</v>
      </c>
      <c r="F2018" s="139">
        <v>2</v>
      </c>
    </row>
    <row r="2019" spans="1:6" x14ac:dyDescent="0.25">
      <c r="A2019" s="110"/>
      <c r="B2019" s="125" t="s">
        <v>1924</v>
      </c>
      <c r="C2019" s="138">
        <v>1</v>
      </c>
      <c r="D2019" s="138">
        <v>60</v>
      </c>
      <c r="E2019" s="138">
        <v>60</v>
      </c>
      <c r="F2019" s="139">
        <v>1</v>
      </c>
    </row>
    <row r="2020" spans="1:6" x14ac:dyDescent="0.25">
      <c r="A2020" s="110"/>
      <c r="B2020" s="125" t="s">
        <v>1925</v>
      </c>
      <c r="C2020" s="138">
        <v>2</v>
      </c>
      <c r="D2020" s="138">
        <v>120</v>
      </c>
      <c r="E2020" s="138">
        <v>30</v>
      </c>
      <c r="F2020" s="139">
        <v>2</v>
      </c>
    </row>
    <row r="2021" spans="1:6" x14ac:dyDescent="0.25">
      <c r="A2021" s="110"/>
      <c r="B2021" s="125" t="s">
        <v>1926</v>
      </c>
      <c r="C2021" s="138">
        <v>2</v>
      </c>
      <c r="D2021" s="138">
        <v>120</v>
      </c>
      <c r="E2021" s="138">
        <v>30</v>
      </c>
      <c r="F2021" s="139">
        <v>2</v>
      </c>
    </row>
    <row r="2022" spans="1:6" x14ac:dyDescent="0.25">
      <c r="A2022" s="110"/>
      <c r="B2022" s="125" t="s">
        <v>1927</v>
      </c>
      <c r="C2022" s="138">
        <v>2</v>
      </c>
      <c r="D2022" s="138">
        <v>120</v>
      </c>
      <c r="E2022" s="138">
        <v>30</v>
      </c>
      <c r="F2022" s="139">
        <v>2</v>
      </c>
    </row>
    <row r="2023" spans="1:6" x14ac:dyDescent="0.25">
      <c r="A2023" s="110"/>
      <c r="B2023" s="125" t="s">
        <v>1928</v>
      </c>
      <c r="C2023" s="138">
        <v>2</v>
      </c>
      <c r="D2023" s="138">
        <v>120</v>
      </c>
      <c r="E2023" s="138">
        <v>30</v>
      </c>
      <c r="F2023" s="139">
        <v>2</v>
      </c>
    </row>
    <row r="2024" spans="1:6" x14ac:dyDescent="0.25">
      <c r="A2024" s="110"/>
      <c r="B2024" s="125" t="s">
        <v>1929</v>
      </c>
      <c r="C2024" s="138">
        <v>3</v>
      </c>
      <c r="D2024" s="138">
        <v>180</v>
      </c>
      <c r="E2024" s="138">
        <v>20</v>
      </c>
      <c r="F2024" s="139">
        <v>3</v>
      </c>
    </row>
    <row r="2025" spans="1:6" x14ac:dyDescent="0.25">
      <c r="A2025" s="110"/>
      <c r="B2025" s="125" t="s">
        <v>1930</v>
      </c>
      <c r="C2025" s="138">
        <v>3</v>
      </c>
      <c r="D2025" s="138">
        <v>180</v>
      </c>
      <c r="E2025" s="138">
        <v>20</v>
      </c>
      <c r="F2025" s="139">
        <v>3</v>
      </c>
    </row>
    <row r="2026" spans="1:6" x14ac:dyDescent="0.25">
      <c r="A2026" s="110"/>
      <c r="B2026" s="125" t="s">
        <v>1931</v>
      </c>
      <c r="C2026" s="138">
        <v>0.33</v>
      </c>
      <c r="D2026" s="138">
        <v>19.8</v>
      </c>
      <c r="E2026" s="138">
        <v>181.81818181818181</v>
      </c>
      <c r="F2026" s="139">
        <v>0.33</v>
      </c>
    </row>
    <row r="2027" spans="1:6" x14ac:dyDescent="0.25">
      <c r="A2027" s="110"/>
      <c r="B2027" s="125" t="s">
        <v>1932</v>
      </c>
      <c r="C2027" s="138">
        <v>0.33</v>
      </c>
      <c r="D2027" s="138">
        <v>19.8</v>
      </c>
      <c r="E2027" s="138">
        <v>181.81818181818181</v>
      </c>
      <c r="F2027" s="139">
        <v>0.33</v>
      </c>
    </row>
    <row r="2028" spans="1:6" x14ac:dyDescent="0.25">
      <c r="A2028" s="110"/>
      <c r="B2028" s="125" t="s">
        <v>1933</v>
      </c>
      <c r="C2028" s="138">
        <v>3</v>
      </c>
      <c r="D2028" s="138">
        <v>180</v>
      </c>
      <c r="E2028" s="138">
        <v>20</v>
      </c>
      <c r="F2028" s="139">
        <v>3</v>
      </c>
    </row>
    <row r="2029" spans="1:6" x14ac:dyDescent="0.25">
      <c r="A2029" s="110"/>
      <c r="B2029" s="125" t="s">
        <v>1934</v>
      </c>
      <c r="C2029" s="138">
        <v>1.2</v>
      </c>
      <c r="D2029" s="138">
        <v>72</v>
      </c>
      <c r="E2029" s="138">
        <v>50</v>
      </c>
      <c r="F2029" s="139">
        <v>1.2</v>
      </c>
    </row>
    <row r="2030" spans="1:6" x14ac:dyDescent="0.25">
      <c r="A2030" s="110"/>
      <c r="B2030" s="125" t="s">
        <v>1932</v>
      </c>
      <c r="C2030" s="138">
        <v>0.33</v>
      </c>
      <c r="D2030" s="138">
        <v>19.8</v>
      </c>
      <c r="E2030" s="138">
        <v>181.81818181818181</v>
      </c>
      <c r="F2030" s="139">
        <v>0.33</v>
      </c>
    </row>
    <row r="2031" spans="1:6" x14ac:dyDescent="0.25">
      <c r="A2031" s="110"/>
      <c r="B2031" s="125" t="s">
        <v>1935</v>
      </c>
      <c r="C2031" s="138">
        <v>0.33</v>
      </c>
      <c r="D2031" s="138">
        <v>19.8</v>
      </c>
      <c r="E2031" s="138">
        <v>181.81818181818181</v>
      </c>
      <c r="F2031" s="139">
        <v>0.33</v>
      </c>
    </row>
    <row r="2032" spans="1:6" x14ac:dyDescent="0.25">
      <c r="A2032" s="110"/>
      <c r="B2032" s="125" t="s">
        <v>1936</v>
      </c>
      <c r="C2032" s="138">
        <v>0.33</v>
      </c>
      <c r="D2032" s="138">
        <v>19.8</v>
      </c>
      <c r="E2032" s="138">
        <v>181.81818181818181</v>
      </c>
      <c r="F2032" s="139">
        <v>0.33</v>
      </c>
    </row>
    <row r="2033" spans="1:6" x14ac:dyDescent="0.25">
      <c r="A2033" s="110"/>
      <c r="B2033" s="125" t="s">
        <v>1937</v>
      </c>
      <c r="C2033" s="138">
        <v>0.01</v>
      </c>
      <c r="D2033" s="138">
        <v>0.6</v>
      </c>
      <c r="E2033" s="138">
        <v>6000</v>
      </c>
      <c r="F2033" s="139">
        <v>0.01</v>
      </c>
    </row>
    <row r="2034" spans="1:6" x14ac:dyDescent="0.25">
      <c r="A2034" s="110"/>
      <c r="B2034" s="125" t="s">
        <v>1938</v>
      </c>
      <c r="C2034" s="138">
        <v>0.01</v>
      </c>
      <c r="D2034" s="138">
        <v>0.6</v>
      </c>
      <c r="E2034" s="138">
        <v>6000</v>
      </c>
      <c r="F2034" s="139">
        <v>0.01</v>
      </c>
    </row>
    <row r="2035" spans="1:6" x14ac:dyDescent="0.25">
      <c r="A2035" s="110"/>
      <c r="B2035" s="125" t="s">
        <v>1939</v>
      </c>
      <c r="C2035" s="138">
        <v>0.2</v>
      </c>
      <c r="D2035" s="138">
        <v>12</v>
      </c>
      <c r="E2035" s="138">
        <v>300</v>
      </c>
      <c r="F2035" s="139">
        <v>0.2</v>
      </c>
    </row>
    <row r="2036" spans="1:6" x14ac:dyDescent="0.25">
      <c r="A2036" s="110"/>
      <c r="B2036" s="125" t="s">
        <v>263</v>
      </c>
      <c r="C2036" s="138">
        <v>0.25</v>
      </c>
      <c r="D2036" s="138">
        <v>15</v>
      </c>
      <c r="E2036" s="138">
        <v>240</v>
      </c>
      <c r="F2036" s="139">
        <v>0.25</v>
      </c>
    </row>
    <row r="2037" spans="1:6" x14ac:dyDescent="0.25">
      <c r="A2037" s="110"/>
      <c r="B2037" s="125" t="s">
        <v>1940</v>
      </c>
      <c r="C2037" s="138">
        <v>0.01</v>
      </c>
      <c r="D2037" s="138">
        <v>0.6</v>
      </c>
      <c r="E2037" s="138">
        <v>6000</v>
      </c>
      <c r="F2037" s="139">
        <v>0.01</v>
      </c>
    </row>
    <row r="2038" spans="1:6" x14ac:dyDescent="0.25">
      <c r="A2038" s="110"/>
      <c r="B2038" s="125" t="s">
        <v>1936</v>
      </c>
      <c r="C2038" s="138">
        <v>0.33</v>
      </c>
      <c r="D2038" s="138">
        <v>19.8</v>
      </c>
      <c r="E2038" s="138">
        <v>181.81818181818181</v>
      </c>
      <c r="F2038" s="139">
        <v>0.33</v>
      </c>
    </row>
    <row r="2039" spans="1:6" x14ac:dyDescent="0.25">
      <c r="A2039" s="110"/>
      <c r="B2039" s="125" t="s">
        <v>1941</v>
      </c>
      <c r="C2039" s="138">
        <v>0.5</v>
      </c>
      <c r="D2039" s="138">
        <v>30</v>
      </c>
      <c r="E2039" s="138">
        <v>120</v>
      </c>
      <c r="F2039" s="139">
        <v>0.5</v>
      </c>
    </row>
    <row r="2040" spans="1:6" x14ac:dyDescent="0.25">
      <c r="A2040" s="110"/>
      <c r="B2040" s="125" t="s">
        <v>1942</v>
      </c>
      <c r="C2040" s="138">
        <v>1.25</v>
      </c>
      <c r="D2040" s="138">
        <v>75</v>
      </c>
      <c r="E2040" s="138">
        <v>48</v>
      </c>
      <c r="F2040" s="139">
        <v>1.25</v>
      </c>
    </row>
    <row r="2041" spans="1:6" x14ac:dyDescent="0.25">
      <c r="A2041" s="110"/>
      <c r="B2041" s="125" t="s">
        <v>1943</v>
      </c>
      <c r="C2041" s="138">
        <v>0.01</v>
      </c>
      <c r="D2041" s="138">
        <v>0.6</v>
      </c>
      <c r="E2041" s="138">
        <v>6000</v>
      </c>
      <c r="F2041" s="139">
        <v>0.01</v>
      </c>
    </row>
    <row r="2042" spans="1:6" x14ac:dyDescent="0.25">
      <c r="A2042" s="110"/>
      <c r="B2042" s="125" t="s">
        <v>1944</v>
      </c>
      <c r="C2042" s="138">
        <v>0.33</v>
      </c>
      <c r="D2042" s="138">
        <v>19.8</v>
      </c>
      <c r="E2042" s="138">
        <v>181.81818181818181</v>
      </c>
      <c r="F2042" s="139">
        <v>0.33</v>
      </c>
    </row>
    <row r="2043" spans="1:6" x14ac:dyDescent="0.25">
      <c r="A2043" s="110"/>
      <c r="B2043" s="125" t="s">
        <v>1945</v>
      </c>
      <c r="C2043" s="138">
        <v>0.33</v>
      </c>
      <c r="D2043" s="138">
        <v>19.8</v>
      </c>
      <c r="E2043" s="138">
        <v>181.81818181818181</v>
      </c>
      <c r="F2043" s="139">
        <v>0.33</v>
      </c>
    </row>
    <row r="2044" spans="1:6" x14ac:dyDescent="0.25">
      <c r="A2044" s="110"/>
      <c r="B2044" s="125" t="s">
        <v>1946</v>
      </c>
      <c r="C2044" s="138">
        <v>0.33</v>
      </c>
      <c r="D2044" s="138">
        <v>19.8</v>
      </c>
      <c r="E2044" s="138">
        <v>181.81818181818181</v>
      </c>
      <c r="F2044" s="139">
        <v>0.33</v>
      </c>
    </row>
    <row r="2045" spans="1:6" x14ac:dyDescent="0.25">
      <c r="A2045" s="110"/>
      <c r="B2045" s="125" t="s">
        <v>1945</v>
      </c>
      <c r="C2045" s="138">
        <v>0.33</v>
      </c>
      <c r="D2045" s="138">
        <v>19.8</v>
      </c>
      <c r="E2045" s="138">
        <v>181.81818181818181</v>
      </c>
      <c r="F2045" s="139">
        <v>0.33</v>
      </c>
    </row>
    <row r="2046" spans="1:6" x14ac:dyDescent="0.25">
      <c r="A2046" s="110"/>
      <c r="B2046" s="125" t="s">
        <v>1946</v>
      </c>
      <c r="C2046" s="138">
        <v>0.33</v>
      </c>
      <c r="D2046" s="138">
        <v>19.8</v>
      </c>
      <c r="E2046" s="138">
        <v>181.81818181818181</v>
      </c>
      <c r="F2046" s="139">
        <v>0.33</v>
      </c>
    </row>
    <row r="2047" spans="1:6" x14ac:dyDescent="0.25">
      <c r="A2047" s="110"/>
      <c r="B2047" s="125" t="s">
        <v>1945</v>
      </c>
      <c r="C2047" s="138">
        <v>0.33</v>
      </c>
      <c r="D2047" s="138">
        <v>19.8</v>
      </c>
      <c r="E2047" s="138">
        <v>181.81818181818181</v>
      </c>
      <c r="F2047" s="139">
        <v>0.33</v>
      </c>
    </row>
    <row r="2048" spans="1:6" x14ac:dyDescent="0.25">
      <c r="A2048" s="110"/>
      <c r="B2048" s="125" t="s">
        <v>1947</v>
      </c>
      <c r="C2048" s="138">
        <v>0.33</v>
      </c>
      <c r="D2048" s="138">
        <v>19.8</v>
      </c>
      <c r="E2048" s="138">
        <v>181.81818181818181</v>
      </c>
      <c r="F2048" s="139">
        <v>0.33</v>
      </c>
    </row>
    <row r="2049" spans="1:6" x14ac:dyDescent="0.25">
      <c r="A2049" s="110"/>
      <c r="B2049" s="125" t="s">
        <v>1948</v>
      </c>
      <c r="C2049" s="138">
        <v>0.33</v>
      </c>
      <c r="D2049" s="138">
        <v>19.8</v>
      </c>
      <c r="E2049" s="138">
        <v>181.81818181818181</v>
      </c>
      <c r="F2049" s="139">
        <v>0.33</v>
      </c>
    </row>
    <row r="2050" spans="1:6" x14ac:dyDescent="0.25">
      <c r="A2050" s="110"/>
      <c r="B2050" s="125" t="s">
        <v>1947</v>
      </c>
      <c r="C2050" s="138">
        <v>0.33</v>
      </c>
      <c r="D2050" s="138">
        <v>19.8</v>
      </c>
      <c r="E2050" s="138">
        <v>181.81818181818181</v>
      </c>
      <c r="F2050" s="139">
        <v>0.33</v>
      </c>
    </row>
    <row r="2051" spans="1:6" x14ac:dyDescent="0.25">
      <c r="A2051" s="110"/>
      <c r="B2051" s="125" t="s">
        <v>1948</v>
      </c>
      <c r="C2051" s="138">
        <v>0.33</v>
      </c>
      <c r="D2051" s="138">
        <v>19.8</v>
      </c>
      <c r="E2051" s="138">
        <v>181.81818181818181</v>
      </c>
      <c r="F2051" s="139">
        <v>0.33</v>
      </c>
    </row>
    <row r="2052" spans="1:6" x14ac:dyDescent="0.25">
      <c r="A2052" s="110"/>
      <c r="B2052" s="125" t="s">
        <v>1947</v>
      </c>
      <c r="C2052" s="138">
        <v>0.33</v>
      </c>
      <c r="D2052" s="138">
        <v>19.8</v>
      </c>
      <c r="E2052" s="138">
        <v>181.81818181818181</v>
      </c>
      <c r="F2052" s="139">
        <v>0.33</v>
      </c>
    </row>
    <row r="2053" spans="1:6" x14ac:dyDescent="0.25">
      <c r="A2053" s="110"/>
      <c r="B2053" s="125" t="s">
        <v>1948</v>
      </c>
      <c r="C2053" s="138">
        <v>0.33</v>
      </c>
      <c r="D2053" s="138">
        <v>19.8</v>
      </c>
      <c r="E2053" s="138">
        <v>181.81818181818181</v>
      </c>
      <c r="F2053" s="139">
        <v>0.33</v>
      </c>
    </row>
    <row r="2054" spans="1:6" x14ac:dyDescent="0.25">
      <c r="A2054" s="110"/>
      <c r="B2054" s="125" t="s">
        <v>1949</v>
      </c>
      <c r="C2054" s="138">
        <v>0.5</v>
      </c>
      <c r="D2054" s="138">
        <v>30</v>
      </c>
      <c r="E2054" s="138">
        <v>120</v>
      </c>
      <c r="F2054" s="139">
        <v>0.5</v>
      </c>
    </row>
    <row r="2055" spans="1:6" x14ac:dyDescent="0.25">
      <c r="A2055" s="110"/>
      <c r="B2055" s="125" t="s">
        <v>1950</v>
      </c>
      <c r="C2055" s="138">
        <v>0.5</v>
      </c>
      <c r="D2055" s="138">
        <v>30</v>
      </c>
      <c r="E2055" s="138">
        <v>120</v>
      </c>
      <c r="F2055" s="139">
        <v>0.5</v>
      </c>
    </row>
    <row r="2056" spans="1:6" x14ac:dyDescent="0.25">
      <c r="A2056" s="110"/>
      <c r="B2056" s="125" t="s">
        <v>1949</v>
      </c>
      <c r="C2056" s="138">
        <v>0.5</v>
      </c>
      <c r="D2056" s="138">
        <v>30</v>
      </c>
      <c r="E2056" s="138">
        <v>120</v>
      </c>
      <c r="F2056" s="139">
        <v>0.5</v>
      </c>
    </row>
    <row r="2057" spans="1:6" x14ac:dyDescent="0.25">
      <c r="A2057" s="110"/>
      <c r="B2057" s="125" t="s">
        <v>1950</v>
      </c>
      <c r="C2057" s="138">
        <v>0.5</v>
      </c>
      <c r="D2057" s="138">
        <v>30</v>
      </c>
      <c r="E2057" s="138">
        <v>120</v>
      </c>
      <c r="F2057" s="139">
        <v>0.5</v>
      </c>
    </row>
    <row r="2058" spans="1:6" x14ac:dyDescent="0.25">
      <c r="A2058" s="110"/>
      <c r="B2058" s="125" t="s">
        <v>1949</v>
      </c>
      <c r="C2058" s="138">
        <v>0.5</v>
      </c>
      <c r="D2058" s="138">
        <v>30</v>
      </c>
      <c r="E2058" s="138">
        <v>120</v>
      </c>
      <c r="F2058" s="139">
        <v>0.5</v>
      </c>
    </row>
    <row r="2059" spans="1:6" x14ac:dyDescent="0.25">
      <c r="A2059" s="110"/>
      <c r="B2059" s="125" t="s">
        <v>1951</v>
      </c>
      <c r="C2059" s="138">
        <v>0.5</v>
      </c>
      <c r="D2059" s="138">
        <v>30</v>
      </c>
      <c r="E2059" s="138">
        <v>120</v>
      </c>
      <c r="F2059" s="139">
        <v>0.5</v>
      </c>
    </row>
    <row r="2060" spans="1:6" x14ac:dyDescent="0.25">
      <c r="A2060" s="110"/>
      <c r="B2060" s="125" t="s">
        <v>1952</v>
      </c>
      <c r="C2060" s="138">
        <v>0.5</v>
      </c>
      <c r="D2060" s="138">
        <v>30</v>
      </c>
      <c r="E2060" s="138">
        <v>120</v>
      </c>
      <c r="F2060" s="139">
        <v>0.5</v>
      </c>
    </row>
    <row r="2061" spans="1:6" x14ac:dyDescent="0.25">
      <c r="A2061" s="110"/>
      <c r="B2061" s="125" t="s">
        <v>1953</v>
      </c>
      <c r="C2061" s="138">
        <v>0.33</v>
      </c>
      <c r="D2061" s="138">
        <v>19.8</v>
      </c>
      <c r="E2061" s="138">
        <v>181.81818181818181</v>
      </c>
      <c r="F2061" s="139">
        <v>0.33</v>
      </c>
    </row>
    <row r="2062" spans="1:6" x14ac:dyDescent="0.25">
      <c r="A2062" s="110"/>
      <c r="B2062" s="125" t="s">
        <v>1954</v>
      </c>
      <c r="C2062" s="138">
        <v>0.33</v>
      </c>
      <c r="D2062" s="138">
        <v>19.8</v>
      </c>
      <c r="E2062" s="138">
        <v>181.81818181818181</v>
      </c>
      <c r="F2062" s="139">
        <v>0.33</v>
      </c>
    </row>
    <row r="2063" spans="1:6" x14ac:dyDescent="0.25">
      <c r="A2063" s="110"/>
      <c r="B2063" s="125" t="s">
        <v>1953</v>
      </c>
      <c r="C2063" s="138">
        <v>0.33</v>
      </c>
      <c r="D2063" s="138">
        <v>19.8</v>
      </c>
      <c r="E2063" s="138">
        <v>181.81818181818181</v>
      </c>
      <c r="F2063" s="139">
        <v>0.33</v>
      </c>
    </row>
    <row r="2064" spans="1:6" x14ac:dyDescent="0.25">
      <c r="A2064" s="110"/>
      <c r="B2064" s="125" t="s">
        <v>1955</v>
      </c>
      <c r="C2064" s="138">
        <v>0.33</v>
      </c>
      <c r="D2064" s="138">
        <v>19.8</v>
      </c>
      <c r="E2064" s="138">
        <v>181.81818181818181</v>
      </c>
      <c r="F2064" s="139">
        <v>0.33</v>
      </c>
    </row>
    <row r="2065" spans="1:6" x14ac:dyDescent="0.25">
      <c r="A2065" s="110"/>
      <c r="B2065" s="125" t="s">
        <v>1956</v>
      </c>
      <c r="C2065" s="138">
        <v>1</v>
      </c>
      <c r="D2065" s="138">
        <v>60</v>
      </c>
      <c r="E2065" s="138">
        <v>60</v>
      </c>
      <c r="F2065" s="139">
        <v>1</v>
      </c>
    </row>
    <row r="2066" spans="1:6" x14ac:dyDescent="0.25">
      <c r="A2066" s="110"/>
      <c r="B2066" s="125" t="s">
        <v>1957</v>
      </c>
      <c r="C2066" s="138">
        <v>0.3</v>
      </c>
      <c r="D2066" s="138">
        <v>18</v>
      </c>
      <c r="E2066" s="138">
        <v>200</v>
      </c>
      <c r="F2066" s="139">
        <v>0.3</v>
      </c>
    </row>
    <row r="2067" spans="1:6" x14ac:dyDescent="0.25">
      <c r="A2067" s="110"/>
      <c r="B2067" s="125" t="s">
        <v>1958</v>
      </c>
      <c r="C2067" s="138">
        <v>0.33</v>
      </c>
      <c r="D2067" s="138">
        <v>19.8</v>
      </c>
      <c r="E2067" s="138">
        <v>181.81818181818181</v>
      </c>
      <c r="F2067" s="139">
        <v>0.33</v>
      </c>
    </row>
    <row r="2068" spans="1:6" x14ac:dyDescent="0.25">
      <c r="A2068" s="110"/>
      <c r="B2068" s="125" t="s">
        <v>1958</v>
      </c>
      <c r="C2068" s="138">
        <v>0.33</v>
      </c>
      <c r="D2068" s="138">
        <v>19.8</v>
      </c>
      <c r="E2068" s="138">
        <v>181.81818181818181</v>
      </c>
      <c r="F2068" s="139">
        <v>0.33</v>
      </c>
    </row>
    <row r="2069" spans="1:6" x14ac:dyDescent="0.25">
      <c r="A2069" s="110"/>
      <c r="B2069" s="125" t="s">
        <v>1955</v>
      </c>
      <c r="C2069" s="138">
        <v>1</v>
      </c>
      <c r="D2069" s="138">
        <v>60</v>
      </c>
      <c r="E2069" s="138">
        <v>60</v>
      </c>
      <c r="F2069" s="139">
        <v>1</v>
      </c>
    </row>
    <row r="2070" spans="1:6" x14ac:dyDescent="0.25">
      <c r="A2070" s="110"/>
      <c r="B2070" s="125" t="s">
        <v>1959</v>
      </c>
      <c r="C2070" s="138">
        <v>0.33</v>
      </c>
      <c r="D2070" s="138">
        <v>19.8</v>
      </c>
      <c r="E2070" s="138">
        <v>181.81818181818181</v>
      </c>
      <c r="F2070" s="139">
        <v>0.33</v>
      </c>
    </row>
    <row r="2071" spans="1:6" x14ac:dyDescent="0.25">
      <c r="A2071" s="110"/>
      <c r="B2071" s="125" t="s">
        <v>1960</v>
      </c>
      <c r="C2071" s="138">
        <v>0.33</v>
      </c>
      <c r="D2071" s="138">
        <v>19.8</v>
      </c>
      <c r="E2071" s="138">
        <v>181.81818181818181</v>
      </c>
      <c r="F2071" s="139">
        <v>0.33</v>
      </c>
    </row>
    <row r="2072" spans="1:6" x14ac:dyDescent="0.25">
      <c r="A2072" s="110"/>
      <c r="B2072" s="125" t="s">
        <v>1961</v>
      </c>
      <c r="C2072" s="138">
        <v>0.33</v>
      </c>
      <c r="D2072" s="138">
        <v>19.8</v>
      </c>
      <c r="E2072" s="138">
        <v>181.81818181818181</v>
      </c>
      <c r="F2072" s="139">
        <v>0.33</v>
      </c>
    </row>
    <row r="2073" spans="1:6" x14ac:dyDescent="0.25">
      <c r="A2073" s="110"/>
      <c r="B2073" s="125" t="s">
        <v>1962</v>
      </c>
      <c r="C2073" s="138">
        <v>0.33</v>
      </c>
      <c r="D2073" s="138">
        <v>19.8</v>
      </c>
      <c r="E2073" s="138">
        <v>181.81818181818181</v>
      </c>
      <c r="F2073" s="139">
        <v>0.33</v>
      </c>
    </row>
    <row r="2074" spans="1:6" x14ac:dyDescent="0.25">
      <c r="A2074" s="110"/>
      <c r="B2074" s="125" t="s">
        <v>1961</v>
      </c>
      <c r="C2074" s="138">
        <v>0.33</v>
      </c>
      <c r="D2074" s="138">
        <v>19.8</v>
      </c>
      <c r="E2074" s="138">
        <v>181.81818181818181</v>
      </c>
      <c r="F2074" s="139">
        <v>0.33</v>
      </c>
    </row>
    <row r="2075" spans="1:6" x14ac:dyDescent="0.25">
      <c r="A2075" s="110"/>
      <c r="B2075" s="125" t="s">
        <v>1962</v>
      </c>
      <c r="C2075" s="138">
        <v>0.33</v>
      </c>
      <c r="D2075" s="138">
        <v>19.8</v>
      </c>
      <c r="E2075" s="138">
        <v>181.81818181818181</v>
      </c>
      <c r="F2075" s="139">
        <v>0.33</v>
      </c>
    </row>
    <row r="2076" spans="1:6" x14ac:dyDescent="0.25">
      <c r="A2076" s="110"/>
      <c r="B2076" s="125" t="s">
        <v>1963</v>
      </c>
      <c r="C2076" s="138">
        <v>0.33</v>
      </c>
      <c r="D2076" s="138">
        <v>19.8</v>
      </c>
      <c r="E2076" s="138">
        <v>181.81818181818181</v>
      </c>
      <c r="F2076" s="139">
        <v>0.33</v>
      </c>
    </row>
    <row r="2077" spans="1:6" x14ac:dyDescent="0.25">
      <c r="A2077" s="110"/>
      <c r="B2077" s="125" t="s">
        <v>1964</v>
      </c>
      <c r="C2077" s="138">
        <v>2.5</v>
      </c>
      <c r="D2077" s="138">
        <v>150</v>
      </c>
      <c r="E2077" s="138">
        <v>24</v>
      </c>
      <c r="F2077" s="139">
        <v>2.5</v>
      </c>
    </row>
    <row r="2078" spans="1:6" x14ac:dyDescent="0.25">
      <c r="A2078" s="110"/>
      <c r="B2078" s="125" t="s">
        <v>1965</v>
      </c>
      <c r="C2078" s="138">
        <v>0.25</v>
      </c>
      <c r="D2078" s="138">
        <v>15</v>
      </c>
      <c r="E2078" s="138">
        <v>240</v>
      </c>
      <c r="F2078" s="139">
        <v>0.25</v>
      </c>
    </row>
    <row r="2079" spans="1:6" x14ac:dyDescent="0.25">
      <c r="A2079" s="110"/>
      <c r="B2079" s="125" t="s">
        <v>1966</v>
      </c>
      <c r="C2079" s="138">
        <v>0.25</v>
      </c>
      <c r="D2079" s="138">
        <v>15</v>
      </c>
      <c r="E2079" s="138">
        <v>240</v>
      </c>
      <c r="F2079" s="139">
        <v>0.25</v>
      </c>
    </row>
    <row r="2080" spans="1:6" x14ac:dyDescent="0.25">
      <c r="A2080" s="110"/>
      <c r="B2080" s="125" t="s">
        <v>1967</v>
      </c>
      <c r="C2080" s="138">
        <v>0.5</v>
      </c>
      <c r="D2080" s="138">
        <v>30</v>
      </c>
      <c r="E2080" s="138">
        <v>120</v>
      </c>
      <c r="F2080" s="139">
        <v>0.5</v>
      </c>
    </row>
    <row r="2081" spans="1:6" x14ac:dyDescent="0.25">
      <c r="A2081" s="110"/>
      <c r="B2081" s="125" t="s">
        <v>1968</v>
      </c>
      <c r="C2081" s="138">
        <v>1</v>
      </c>
      <c r="D2081" s="138">
        <v>60</v>
      </c>
      <c r="E2081" s="138">
        <v>60</v>
      </c>
      <c r="F2081" s="139">
        <v>1</v>
      </c>
    </row>
    <row r="2082" spans="1:6" x14ac:dyDescent="0.25">
      <c r="A2082" s="110"/>
      <c r="B2082" s="125" t="s">
        <v>1969</v>
      </c>
      <c r="C2082" s="138">
        <v>1</v>
      </c>
      <c r="D2082" s="138">
        <v>60</v>
      </c>
      <c r="E2082" s="138">
        <v>60</v>
      </c>
      <c r="F2082" s="139">
        <v>1</v>
      </c>
    </row>
    <row r="2083" spans="1:6" x14ac:dyDescent="0.25">
      <c r="A2083" s="110"/>
      <c r="B2083" s="125" t="s">
        <v>1970</v>
      </c>
      <c r="C2083" s="138">
        <v>1</v>
      </c>
      <c r="D2083" s="138">
        <v>60</v>
      </c>
      <c r="E2083" s="138">
        <v>60</v>
      </c>
      <c r="F2083" s="139">
        <v>1</v>
      </c>
    </row>
    <row r="2084" spans="1:6" x14ac:dyDescent="0.25">
      <c r="A2084" s="110"/>
      <c r="B2084" s="125" t="s">
        <v>1969</v>
      </c>
      <c r="C2084" s="138">
        <v>1</v>
      </c>
      <c r="D2084" s="138">
        <v>60</v>
      </c>
      <c r="E2084" s="138">
        <v>60</v>
      </c>
      <c r="F2084" s="139">
        <v>1</v>
      </c>
    </row>
    <row r="2085" spans="1:6" x14ac:dyDescent="0.25">
      <c r="A2085" s="110"/>
      <c r="B2085" s="125" t="s">
        <v>1970</v>
      </c>
      <c r="C2085" s="138">
        <v>1</v>
      </c>
      <c r="D2085" s="138">
        <v>60</v>
      </c>
      <c r="E2085" s="138">
        <v>60</v>
      </c>
      <c r="F2085" s="139">
        <v>1</v>
      </c>
    </row>
    <row r="2086" spans="1:6" x14ac:dyDescent="0.25">
      <c r="A2086" s="110"/>
      <c r="B2086" s="125" t="s">
        <v>1969</v>
      </c>
      <c r="C2086" s="138">
        <v>1</v>
      </c>
      <c r="D2086" s="138">
        <v>60</v>
      </c>
      <c r="E2086" s="138">
        <v>60</v>
      </c>
      <c r="F2086" s="139">
        <v>1</v>
      </c>
    </row>
    <row r="2087" spans="1:6" x14ac:dyDescent="0.25">
      <c r="A2087" s="110"/>
      <c r="B2087" s="125" t="s">
        <v>1970</v>
      </c>
      <c r="C2087" s="138">
        <v>1</v>
      </c>
      <c r="D2087" s="138">
        <v>60</v>
      </c>
      <c r="E2087" s="138">
        <v>60</v>
      </c>
      <c r="F2087" s="139">
        <v>1</v>
      </c>
    </row>
    <row r="2088" spans="1:6" x14ac:dyDescent="0.25">
      <c r="A2088" s="110"/>
      <c r="B2088" s="125" t="s">
        <v>1969</v>
      </c>
      <c r="C2088" s="138">
        <v>1</v>
      </c>
      <c r="D2088" s="138">
        <v>60</v>
      </c>
      <c r="E2088" s="138">
        <v>60</v>
      </c>
      <c r="F2088" s="139">
        <v>1</v>
      </c>
    </row>
    <row r="2089" spans="1:6" x14ac:dyDescent="0.25">
      <c r="A2089" s="110"/>
      <c r="B2089" s="125" t="s">
        <v>1971</v>
      </c>
      <c r="C2089" s="138">
        <v>0.1</v>
      </c>
      <c r="D2089" s="138">
        <v>6</v>
      </c>
      <c r="E2089" s="138">
        <v>600</v>
      </c>
      <c r="F2089" s="139">
        <v>0.1</v>
      </c>
    </row>
    <row r="2090" spans="1:6" x14ac:dyDescent="0.25">
      <c r="A2090" s="110"/>
      <c r="B2090" s="125" t="s">
        <v>1969</v>
      </c>
      <c r="C2090" s="138">
        <v>1</v>
      </c>
      <c r="D2090" s="138">
        <v>60</v>
      </c>
      <c r="E2090" s="138">
        <v>60</v>
      </c>
      <c r="F2090" s="139">
        <v>1</v>
      </c>
    </row>
    <row r="2091" spans="1:6" x14ac:dyDescent="0.25">
      <c r="A2091" s="110"/>
      <c r="B2091" s="125" t="s">
        <v>1972</v>
      </c>
      <c r="C2091" s="138">
        <v>0.42</v>
      </c>
      <c r="D2091" s="138">
        <v>25.2</v>
      </c>
      <c r="E2091" s="138">
        <v>142.85714285714286</v>
      </c>
      <c r="F2091" s="139">
        <v>0.42</v>
      </c>
    </row>
    <row r="2092" spans="1:6" x14ac:dyDescent="0.25">
      <c r="A2092" s="110"/>
      <c r="B2092" s="125" t="s">
        <v>1973</v>
      </c>
      <c r="C2092" s="138">
        <v>0.42</v>
      </c>
      <c r="D2092" s="138">
        <v>25.2</v>
      </c>
      <c r="E2092" s="138">
        <v>142.85714285714286</v>
      </c>
      <c r="F2092" s="139">
        <v>0.42</v>
      </c>
    </row>
    <row r="2093" spans="1:6" x14ac:dyDescent="0.25">
      <c r="A2093" s="110"/>
      <c r="B2093" s="125" t="s">
        <v>1974</v>
      </c>
      <c r="C2093" s="138">
        <v>0.42</v>
      </c>
      <c r="D2093" s="138">
        <v>25.2</v>
      </c>
      <c r="E2093" s="138">
        <v>142.85714285714286</v>
      </c>
      <c r="F2093" s="139">
        <v>0.42</v>
      </c>
    </row>
    <row r="2094" spans="1:6" x14ac:dyDescent="0.25">
      <c r="A2094" s="110"/>
      <c r="B2094" s="125" t="s">
        <v>1975</v>
      </c>
      <c r="C2094" s="138">
        <v>0.42</v>
      </c>
      <c r="D2094" s="138">
        <v>25.2</v>
      </c>
      <c r="E2094" s="138">
        <v>142.85714285714286</v>
      </c>
      <c r="F2094" s="139">
        <v>0.42</v>
      </c>
    </row>
    <row r="2095" spans="1:6" x14ac:dyDescent="0.25">
      <c r="A2095" s="110"/>
      <c r="B2095" s="125" t="s">
        <v>1970</v>
      </c>
      <c r="C2095" s="138">
        <v>0.42</v>
      </c>
      <c r="D2095" s="138">
        <v>25.2</v>
      </c>
      <c r="E2095" s="138">
        <v>142.85714285714286</v>
      </c>
      <c r="F2095" s="139">
        <v>0.42</v>
      </c>
    </row>
    <row r="2096" spans="1:6" x14ac:dyDescent="0.25">
      <c r="A2096" s="110"/>
      <c r="B2096" s="125" t="s">
        <v>1976</v>
      </c>
      <c r="C2096" s="138">
        <v>0.42</v>
      </c>
      <c r="D2096" s="138">
        <v>25.2</v>
      </c>
      <c r="E2096" s="138">
        <v>142.85714285714286</v>
      </c>
      <c r="F2096" s="139">
        <v>0.42</v>
      </c>
    </row>
    <row r="2097" spans="1:6" x14ac:dyDescent="0.25">
      <c r="A2097" s="110"/>
      <c r="B2097" s="125" t="s">
        <v>1969</v>
      </c>
      <c r="C2097" s="138">
        <v>0.42</v>
      </c>
      <c r="D2097" s="138">
        <v>25.2</v>
      </c>
      <c r="E2097" s="138">
        <v>142.85714285714286</v>
      </c>
      <c r="F2097" s="139">
        <v>0.42</v>
      </c>
    </row>
    <row r="2098" spans="1:6" x14ac:dyDescent="0.25">
      <c r="A2098" s="110"/>
      <c r="B2098" s="125" t="s">
        <v>1973</v>
      </c>
      <c r="C2098" s="138">
        <v>0.42</v>
      </c>
      <c r="D2098" s="138">
        <v>25.2</v>
      </c>
      <c r="E2098" s="138">
        <v>142.85714285714286</v>
      </c>
      <c r="F2098" s="139">
        <v>0.42</v>
      </c>
    </row>
    <row r="2099" spans="1:6" x14ac:dyDescent="0.25">
      <c r="A2099" s="110"/>
      <c r="B2099" s="125" t="s">
        <v>1974</v>
      </c>
      <c r="C2099" s="138">
        <v>0.25</v>
      </c>
      <c r="D2099" s="138">
        <v>15</v>
      </c>
      <c r="E2099" s="138">
        <v>240</v>
      </c>
      <c r="F2099" s="139">
        <v>0.25</v>
      </c>
    </row>
    <row r="2100" spans="1:6" x14ac:dyDescent="0.25">
      <c r="A2100" s="110"/>
      <c r="B2100" s="125" t="s">
        <v>1977</v>
      </c>
      <c r="C2100" s="138">
        <v>0.25</v>
      </c>
      <c r="D2100" s="138">
        <v>15</v>
      </c>
      <c r="E2100" s="138">
        <v>240</v>
      </c>
      <c r="F2100" s="139">
        <v>0.25</v>
      </c>
    </row>
    <row r="2101" spans="1:6" x14ac:dyDescent="0.25">
      <c r="A2101" s="110"/>
      <c r="B2101" s="125" t="s">
        <v>1978</v>
      </c>
      <c r="C2101" s="138">
        <v>0</v>
      </c>
      <c r="D2101" s="138">
        <v>0</v>
      </c>
      <c r="E2101" s="138" t="e">
        <v>#DIV/0!</v>
      </c>
      <c r="F2101" s="139">
        <v>0</v>
      </c>
    </row>
    <row r="2102" spans="1:6" x14ac:dyDescent="0.25">
      <c r="A2102" s="110"/>
      <c r="B2102" s="125" t="s">
        <v>1979</v>
      </c>
      <c r="C2102" s="138">
        <v>2</v>
      </c>
      <c r="D2102" s="138">
        <v>120</v>
      </c>
      <c r="E2102" s="138">
        <v>30</v>
      </c>
      <c r="F2102" s="139">
        <v>2</v>
      </c>
    </row>
    <row r="2103" spans="1:6" x14ac:dyDescent="0.25">
      <c r="A2103" s="110"/>
      <c r="B2103" s="125" t="s">
        <v>1980</v>
      </c>
      <c r="C2103" s="138">
        <v>2</v>
      </c>
      <c r="D2103" s="138">
        <v>120</v>
      </c>
      <c r="E2103" s="138">
        <v>30</v>
      </c>
      <c r="F2103" s="139">
        <v>2</v>
      </c>
    </row>
    <row r="2104" spans="1:6" x14ac:dyDescent="0.25">
      <c r="A2104" s="110"/>
      <c r="B2104" s="125" t="s">
        <v>1981</v>
      </c>
      <c r="C2104" s="138">
        <v>2</v>
      </c>
      <c r="D2104" s="138">
        <v>120</v>
      </c>
      <c r="E2104" s="138">
        <v>30</v>
      </c>
      <c r="F2104" s="139">
        <v>2</v>
      </c>
    </row>
    <row r="2105" spans="1:6" x14ac:dyDescent="0.25">
      <c r="A2105" s="110"/>
      <c r="B2105" s="125" t="s">
        <v>1982</v>
      </c>
      <c r="C2105" s="138">
        <v>2</v>
      </c>
      <c r="D2105" s="138">
        <v>120</v>
      </c>
      <c r="E2105" s="138">
        <v>30</v>
      </c>
      <c r="F2105" s="139">
        <v>2</v>
      </c>
    </row>
    <row r="2106" spans="1:6" x14ac:dyDescent="0.25">
      <c r="A2106" s="110"/>
      <c r="B2106" s="125" t="s">
        <v>1983</v>
      </c>
      <c r="C2106" s="138">
        <v>2</v>
      </c>
      <c r="D2106" s="138">
        <v>120</v>
      </c>
      <c r="E2106" s="138">
        <v>30</v>
      </c>
      <c r="F2106" s="139">
        <v>2</v>
      </c>
    </row>
    <row r="2107" spans="1:6" x14ac:dyDescent="0.25">
      <c r="A2107" s="110"/>
      <c r="B2107" s="125" t="s">
        <v>1984</v>
      </c>
      <c r="C2107" s="138">
        <v>2</v>
      </c>
      <c r="D2107" s="138">
        <v>120</v>
      </c>
      <c r="E2107" s="138">
        <v>30</v>
      </c>
      <c r="F2107" s="139">
        <v>2</v>
      </c>
    </row>
    <row r="2108" spans="1:6" x14ac:dyDescent="0.25">
      <c r="A2108" s="110"/>
      <c r="B2108" s="125" t="s">
        <v>1985</v>
      </c>
      <c r="C2108" s="138">
        <v>1.7</v>
      </c>
      <c r="D2108" s="138">
        <v>102</v>
      </c>
      <c r="E2108" s="138">
        <v>35.294117647058826</v>
      </c>
      <c r="F2108" s="139">
        <v>1.7</v>
      </c>
    </row>
    <row r="2109" spans="1:6" x14ac:dyDescent="0.25">
      <c r="A2109" s="110"/>
      <c r="B2109" s="125" t="s">
        <v>1986</v>
      </c>
      <c r="C2109" s="138">
        <v>1.7</v>
      </c>
      <c r="D2109" s="138">
        <v>102</v>
      </c>
      <c r="E2109" s="138">
        <v>35.294117647058826</v>
      </c>
      <c r="F2109" s="139">
        <v>1.7</v>
      </c>
    </row>
    <row r="2110" spans="1:6" x14ac:dyDescent="0.25">
      <c r="A2110" s="110"/>
      <c r="B2110" s="125" t="s">
        <v>1987</v>
      </c>
      <c r="C2110" s="138">
        <v>1.7</v>
      </c>
      <c r="D2110" s="138">
        <v>102</v>
      </c>
      <c r="E2110" s="138">
        <v>35.294117647058826</v>
      </c>
      <c r="F2110" s="139">
        <v>1.7</v>
      </c>
    </row>
    <row r="2111" spans="1:6" x14ac:dyDescent="0.25">
      <c r="A2111" s="110"/>
      <c r="B2111" s="125" t="s">
        <v>1988</v>
      </c>
      <c r="C2111" s="138">
        <v>1.7</v>
      </c>
      <c r="D2111" s="138">
        <v>102</v>
      </c>
      <c r="E2111" s="138">
        <v>35.294117647058826</v>
      </c>
      <c r="F2111" s="139">
        <v>1.7</v>
      </c>
    </row>
    <row r="2112" spans="1:6" x14ac:dyDescent="0.25">
      <c r="A2112" s="110"/>
      <c r="B2112" s="125" t="s">
        <v>1970</v>
      </c>
      <c r="C2112" s="138">
        <v>1</v>
      </c>
      <c r="D2112" s="138">
        <v>60</v>
      </c>
      <c r="E2112" s="138">
        <v>60</v>
      </c>
      <c r="F2112" s="139">
        <v>1</v>
      </c>
    </row>
    <row r="2113" spans="1:6" x14ac:dyDescent="0.25">
      <c r="A2113" s="110"/>
      <c r="B2113" s="125" t="s">
        <v>1974</v>
      </c>
      <c r="C2113" s="138">
        <v>0.25</v>
      </c>
      <c r="D2113" s="138">
        <v>15</v>
      </c>
      <c r="E2113" s="138">
        <v>240</v>
      </c>
      <c r="F2113" s="139">
        <v>0.25</v>
      </c>
    </row>
    <row r="2114" spans="1:6" x14ac:dyDescent="0.25">
      <c r="A2114" s="110"/>
      <c r="B2114" s="125" t="s">
        <v>1871</v>
      </c>
      <c r="C2114" s="138">
        <v>3</v>
      </c>
      <c r="D2114" s="138">
        <v>180</v>
      </c>
      <c r="E2114" s="138">
        <v>20</v>
      </c>
      <c r="F2114" s="139">
        <v>3</v>
      </c>
    </row>
    <row r="2115" spans="1:6" x14ac:dyDescent="0.25">
      <c r="A2115" s="110"/>
      <c r="B2115" s="125" t="s">
        <v>1875</v>
      </c>
      <c r="C2115" s="138">
        <v>3</v>
      </c>
      <c r="D2115" s="138">
        <v>180</v>
      </c>
      <c r="E2115" s="138">
        <v>20</v>
      </c>
      <c r="F2115" s="139">
        <v>3</v>
      </c>
    </row>
    <row r="2116" spans="1:6" x14ac:dyDescent="0.25">
      <c r="A2116" s="110"/>
      <c r="B2116" s="125" t="s">
        <v>1870</v>
      </c>
      <c r="C2116" s="138">
        <v>3</v>
      </c>
      <c r="D2116" s="138">
        <v>180</v>
      </c>
      <c r="E2116" s="138">
        <v>20</v>
      </c>
      <c r="F2116" s="139">
        <v>3</v>
      </c>
    </row>
    <row r="2117" spans="1:6" x14ac:dyDescent="0.25">
      <c r="A2117" s="110"/>
      <c r="B2117" s="125" t="s">
        <v>1989</v>
      </c>
      <c r="C2117" s="138">
        <v>3</v>
      </c>
      <c r="D2117" s="138">
        <v>180</v>
      </c>
      <c r="E2117" s="138">
        <v>20</v>
      </c>
      <c r="F2117" s="139">
        <v>3</v>
      </c>
    </row>
    <row r="2118" spans="1:6" x14ac:dyDescent="0.25">
      <c r="A2118" s="110"/>
      <c r="B2118" s="125" t="s">
        <v>1875</v>
      </c>
      <c r="C2118" s="138">
        <v>3</v>
      </c>
      <c r="D2118" s="138">
        <v>180</v>
      </c>
      <c r="E2118" s="138">
        <v>20</v>
      </c>
      <c r="F2118" s="139">
        <v>3</v>
      </c>
    </row>
    <row r="2119" spans="1:6" x14ac:dyDescent="0.25">
      <c r="A2119" s="110"/>
      <c r="B2119" s="125" t="s">
        <v>1990</v>
      </c>
      <c r="C2119" s="138">
        <v>0.5</v>
      </c>
      <c r="D2119" s="138">
        <v>30</v>
      </c>
      <c r="E2119" s="138">
        <v>120</v>
      </c>
      <c r="F2119" s="139">
        <v>0.5</v>
      </c>
    </row>
    <row r="2120" spans="1:6" x14ac:dyDescent="0.25">
      <c r="A2120" s="110"/>
      <c r="B2120" s="125" t="s">
        <v>1954</v>
      </c>
      <c r="C2120" s="138">
        <v>0.33</v>
      </c>
      <c r="D2120" s="138">
        <v>19.8</v>
      </c>
      <c r="E2120" s="138">
        <v>181.81818181818181</v>
      </c>
      <c r="F2120" s="139">
        <v>0.33</v>
      </c>
    </row>
    <row r="2121" spans="1:6" x14ac:dyDescent="0.25">
      <c r="A2121" s="110"/>
      <c r="B2121" s="125" t="s">
        <v>1991</v>
      </c>
      <c r="C2121" s="138">
        <v>2</v>
      </c>
      <c r="D2121" s="138">
        <v>120</v>
      </c>
      <c r="E2121" s="138">
        <v>30</v>
      </c>
      <c r="F2121" s="139">
        <v>2</v>
      </c>
    </row>
    <row r="2122" spans="1:6" x14ac:dyDescent="0.25">
      <c r="A2122" s="110"/>
      <c r="B2122" s="125" t="s">
        <v>1992</v>
      </c>
      <c r="C2122" s="138">
        <v>2</v>
      </c>
      <c r="D2122" s="138">
        <v>120</v>
      </c>
      <c r="E2122" s="138">
        <v>30</v>
      </c>
      <c r="F2122" s="139">
        <v>2</v>
      </c>
    </row>
    <row r="2123" spans="1:6" x14ac:dyDescent="0.25">
      <c r="A2123" s="110"/>
      <c r="B2123" s="125" t="s">
        <v>1993</v>
      </c>
      <c r="C2123" s="138">
        <v>0.3</v>
      </c>
      <c r="D2123" s="138">
        <v>18</v>
      </c>
      <c r="E2123" s="138">
        <v>200</v>
      </c>
      <c r="F2123" s="139">
        <v>0.3</v>
      </c>
    </row>
    <row r="2124" spans="1:6" x14ac:dyDescent="0.25">
      <c r="A2124" s="110"/>
      <c r="B2124" s="125" t="s">
        <v>1994</v>
      </c>
      <c r="C2124" s="138">
        <v>0.5</v>
      </c>
      <c r="D2124" s="138">
        <v>30</v>
      </c>
      <c r="E2124" s="138">
        <v>120</v>
      </c>
      <c r="F2124" s="139">
        <v>0.5</v>
      </c>
    </row>
    <row r="2125" spans="1:6" x14ac:dyDescent="0.25">
      <c r="A2125" s="110"/>
      <c r="B2125" s="125" t="s">
        <v>1995</v>
      </c>
      <c r="C2125" s="138">
        <v>0.5</v>
      </c>
      <c r="D2125" s="138">
        <v>30</v>
      </c>
      <c r="E2125" s="138">
        <v>120</v>
      </c>
      <c r="F2125" s="139">
        <v>0.5</v>
      </c>
    </row>
    <row r="2126" spans="1:6" x14ac:dyDescent="0.25">
      <c r="A2126" s="110"/>
      <c r="B2126" s="125" t="s">
        <v>1994</v>
      </c>
      <c r="C2126" s="138">
        <v>0.5</v>
      </c>
      <c r="D2126" s="138">
        <v>30</v>
      </c>
      <c r="E2126" s="138">
        <v>120</v>
      </c>
      <c r="F2126" s="139">
        <v>0.5</v>
      </c>
    </row>
    <row r="2127" spans="1:6" x14ac:dyDescent="0.25">
      <c r="A2127" s="110"/>
      <c r="B2127" s="125" t="s">
        <v>1995</v>
      </c>
      <c r="C2127" s="138">
        <v>0.5</v>
      </c>
      <c r="D2127" s="138">
        <v>30</v>
      </c>
      <c r="E2127" s="138">
        <v>120</v>
      </c>
      <c r="F2127" s="139">
        <v>0.5</v>
      </c>
    </row>
    <row r="2128" spans="1:6" x14ac:dyDescent="0.25">
      <c r="A2128" s="110"/>
      <c r="B2128" s="125" t="s">
        <v>1996</v>
      </c>
      <c r="C2128" s="138">
        <v>0.5</v>
      </c>
      <c r="D2128" s="138">
        <v>30</v>
      </c>
      <c r="E2128" s="138">
        <v>120</v>
      </c>
      <c r="F2128" s="139">
        <v>0.5</v>
      </c>
    </row>
    <row r="2129" spans="1:6" x14ac:dyDescent="0.25">
      <c r="A2129" s="110"/>
      <c r="B2129" s="125" t="s">
        <v>1990</v>
      </c>
      <c r="C2129" s="138">
        <v>0.5</v>
      </c>
      <c r="D2129" s="138">
        <v>30</v>
      </c>
      <c r="E2129" s="138">
        <v>120</v>
      </c>
      <c r="F2129" s="139">
        <v>0.5</v>
      </c>
    </row>
    <row r="2130" spans="1:6" x14ac:dyDescent="0.25">
      <c r="A2130" s="110"/>
      <c r="B2130" s="125" t="s">
        <v>1996</v>
      </c>
      <c r="C2130" s="138">
        <v>0.5</v>
      </c>
      <c r="D2130" s="138">
        <v>30</v>
      </c>
      <c r="E2130" s="138">
        <v>120</v>
      </c>
      <c r="F2130" s="139">
        <v>0.5</v>
      </c>
    </row>
    <row r="2131" spans="1:6" x14ac:dyDescent="0.25">
      <c r="A2131" s="110"/>
      <c r="B2131" s="125" t="s">
        <v>1997</v>
      </c>
      <c r="C2131" s="138">
        <v>0.33</v>
      </c>
      <c r="D2131" s="138">
        <v>19.8</v>
      </c>
      <c r="E2131" s="138">
        <v>181.81818181818181</v>
      </c>
      <c r="F2131" s="139">
        <v>0.33</v>
      </c>
    </row>
    <row r="2132" spans="1:6" x14ac:dyDescent="0.25">
      <c r="A2132" s="110"/>
      <c r="B2132" s="125" t="s">
        <v>1998</v>
      </c>
      <c r="C2132" s="138">
        <v>0.33</v>
      </c>
      <c r="D2132" s="138">
        <v>19.8</v>
      </c>
      <c r="E2132" s="138">
        <v>181.81818181818181</v>
      </c>
      <c r="F2132" s="139">
        <v>0.33</v>
      </c>
    </row>
    <row r="2133" spans="1:6" x14ac:dyDescent="0.25">
      <c r="A2133" s="110"/>
      <c r="B2133" s="125" t="s">
        <v>1999</v>
      </c>
      <c r="C2133" s="138">
        <v>0.33</v>
      </c>
      <c r="D2133" s="138">
        <v>19.8</v>
      </c>
      <c r="E2133" s="138">
        <v>181.81818181818181</v>
      </c>
      <c r="F2133" s="139">
        <v>0.33</v>
      </c>
    </row>
    <row r="2134" spans="1:6" x14ac:dyDescent="0.25">
      <c r="A2134" s="110"/>
      <c r="B2134" s="125" t="s">
        <v>2000</v>
      </c>
      <c r="C2134" s="138">
        <v>4.0999999999999996</v>
      </c>
      <c r="D2134" s="138">
        <v>245.99999999999997</v>
      </c>
      <c r="E2134" s="138">
        <v>14.634146341463417</v>
      </c>
      <c r="F2134" s="139">
        <v>4.0999999999999996</v>
      </c>
    </row>
    <row r="2135" spans="1:6" x14ac:dyDescent="0.25">
      <c r="A2135" s="110"/>
      <c r="B2135" s="125" t="s">
        <v>2001</v>
      </c>
      <c r="C2135" s="138">
        <v>4.0999999999999996</v>
      </c>
      <c r="D2135" s="138">
        <v>245.99999999999997</v>
      </c>
      <c r="E2135" s="138">
        <v>14.634146341463417</v>
      </c>
      <c r="F2135" s="139">
        <v>4.0999999999999996</v>
      </c>
    </row>
    <row r="2136" spans="1:6" x14ac:dyDescent="0.25">
      <c r="A2136" s="110"/>
      <c r="B2136" s="125" t="s">
        <v>2002</v>
      </c>
      <c r="C2136" s="138">
        <v>3.15</v>
      </c>
      <c r="D2136" s="138">
        <v>189</v>
      </c>
      <c r="E2136" s="138">
        <v>19.047619047619047</v>
      </c>
      <c r="F2136" s="139">
        <v>3.15</v>
      </c>
    </row>
    <row r="2137" spans="1:6" x14ac:dyDescent="0.25">
      <c r="A2137" s="110"/>
      <c r="B2137" s="125" t="s">
        <v>2003</v>
      </c>
      <c r="C2137" s="138">
        <v>3.15</v>
      </c>
      <c r="D2137" s="138">
        <v>189</v>
      </c>
      <c r="E2137" s="138">
        <v>19.047619047619047</v>
      </c>
      <c r="F2137" s="139">
        <v>3.15</v>
      </c>
    </row>
    <row r="2138" spans="1:6" x14ac:dyDescent="0.25">
      <c r="A2138" s="110"/>
      <c r="B2138" s="125" t="s">
        <v>2004</v>
      </c>
      <c r="C2138" s="138">
        <v>1.54</v>
      </c>
      <c r="D2138" s="138">
        <v>92.4</v>
      </c>
      <c r="E2138" s="138">
        <v>38.961038961038959</v>
      </c>
      <c r="F2138" s="139">
        <v>1.54</v>
      </c>
    </row>
    <row r="2139" spans="1:6" x14ac:dyDescent="0.25">
      <c r="A2139" s="110"/>
      <c r="B2139" s="125" t="s">
        <v>2005</v>
      </c>
      <c r="C2139" s="138">
        <v>1.54</v>
      </c>
      <c r="D2139" s="138">
        <v>92.4</v>
      </c>
      <c r="E2139" s="138">
        <v>38.961038961038959</v>
      </c>
      <c r="F2139" s="139">
        <v>1.54</v>
      </c>
    </row>
    <row r="2140" spans="1:6" x14ac:dyDescent="0.25">
      <c r="A2140" s="110"/>
      <c r="B2140" s="125" t="s">
        <v>2006</v>
      </c>
      <c r="C2140" s="138">
        <v>1.54</v>
      </c>
      <c r="D2140" s="138">
        <v>92.4</v>
      </c>
      <c r="E2140" s="138">
        <v>38.961038961038959</v>
      </c>
      <c r="F2140" s="139">
        <v>1.54</v>
      </c>
    </row>
    <row r="2141" spans="1:6" x14ac:dyDescent="0.25">
      <c r="A2141" s="110"/>
      <c r="B2141" s="125" t="s">
        <v>2007</v>
      </c>
      <c r="C2141" s="138">
        <v>1.54</v>
      </c>
      <c r="D2141" s="138">
        <v>92.4</v>
      </c>
      <c r="E2141" s="138">
        <v>38.961038961038959</v>
      </c>
      <c r="F2141" s="139">
        <v>1.54</v>
      </c>
    </row>
    <row r="2142" spans="1:6" x14ac:dyDescent="0.25">
      <c r="A2142" s="110"/>
      <c r="B2142" s="125" t="s">
        <v>2008</v>
      </c>
      <c r="C2142" s="138">
        <v>2</v>
      </c>
      <c r="D2142" s="138">
        <v>120</v>
      </c>
      <c r="E2142" s="138">
        <v>30</v>
      </c>
      <c r="F2142" s="139">
        <v>2</v>
      </c>
    </row>
    <row r="2143" spans="1:6" x14ac:dyDescent="0.25">
      <c r="A2143" s="110"/>
      <c r="B2143" s="125" t="s">
        <v>2009</v>
      </c>
      <c r="C2143" s="138">
        <v>2</v>
      </c>
      <c r="D2143" s="138">
        <v>120</v>
      </c>
      <c r="E2143" s="138">
        <v>30</v>
      </c>
      <c r="F2143" s="139">
        <v>2</v>
      </c>
    </row>
    <row r="2144" spans="1:6" x14ac:dyDescent="0.25">
      <c r="A2144" s="110"/>
      <c r="B2144" s="125" t="s">
        <v>2010</v>
      </c>
      <c r="C2144" s="138">
        <v>1.88</v>
      </c>
      <c r="D2144" s="138">
        <v>112.8</v>
      </c>
      <c r="E2144" s="138">
        <v>31.914893617021278</v>
      </c>
      <c r="F2144" s="139">
        <v>1.88</v>
      </c>
    </row>
    <row r="2145" spans="1:6" x14ac:dyDescent="0.25">
      <c r="A2145" s="110"/>
      <c r="B2145" s="125" t="s">
        <v>2011</v>
      </c>
      <c r="C2145" s="138">
        <v>1.88</v>
      </c>
      <c r="D2145" s="138">
        <v>112.8</v>
      </c>
      <c r="E2145" s="138">
        <v>31.914893617021278</v>
      </c>
      <c r="F2145" s="139">
        <v>1.88</v>
      </c>
    </row>
    <row r="2146" spans="1:6" x14ac:dyDescent="0.25">
      <c r="A2146" s="110"/>
      <c r="B2146" s="125" t="s">
        <v>2012</v>
      </c>
      <c r="C2146" s="138">
        <v>1.88</v>
      </c>
      <c r="D2146" s="138">
        <v>112.8</v>
      </c>
      <c r="E2146" s="138">
        <v>31.914893617021278</v>
      </c>
      <c r="F2146" s="139">
        <v>1.88</v>
      </c>
    </row>
    <row r="2147" spans="1:6" x14ac:dyDescent="0.25">
      <c r="A2147" s="110"/>
      <c r="B2147" s="125" t="s">
        <v>2013</v>
      </c>
      <c r="C2147" s="138">
        <v>1.88</v>
      </c>
      <c r="D2147" s="138">
        <v>112.8</v>
      </c>
      <c r="E2147" s="138">
        <v>31.914893617021278</v>
      </c>
      <c r="F2147" s="139">
        <v>1.88</v>
      </c>
    </row>
    <row r="2148" spans="1:6" x14ac:dyDescent="0.25">
      <c r="A2148" s="110"/>
      <c r="B2148" s="125" t="s">
        <v>2014</v>
      </c>
      <c r="C2148" s="138">
        <v>1.88</v>
      </c>
      <c r="D2148" s="138">
        <v>112.8</v>
      </c>
      <c r="E2148" s="138">
        <v>31.914893617021278</v>
      </c>
      <c r="F2148" s="139">
        <v>1.88</v>
      </c>
    </row>
    <row r="2149" spans="1:6" x14ac:dyDescent="0.25">
      <c r="A2149" s="110"/>
      <c r="B2149" s="125" t="s">
        <v>2015</v>
      </c>
      <c r="C2149" s="138">
        <v>1.88</v>
      </c>
      <c r="D2149" s="138">
        <v>112.8</v>
      </c>
      <c r="E2149" s="138">
        <v>31.914893617021278</v>
      </c>
      <c r="F2149" s="139">
        <v>1.88</v>
      </c>
    </row>
    <row r="2150" spans="1:6" x14ac:dyDescent="0.25">
      <c r="A2150" s="110"/>
      <c r="B2150" s="125" t="s">
        <v>2016</v>
      </c>
      <c r="C2150" s="138">
        <v>1.88</v>
      </c>
      <c r="D2150" s="138">
        <v>112.8</v>
      </c>
      <c r="E2150" s="138">
        <v>31.914893617021278</v>
      </c>
      <c r="F2150" s="139">
        <v>1.88</v>
      </c>
    </row>
    <row r="2151" spans="1:6" x14ac:dyDescent="0.25">
      <c r="A2151" s="110"/>
      <c r="B2151" s="125" t="s">
        <v>2017</v>
      </c>
      <c r="C2151" s="138">
        <v>1.88</v>
      </c>
      <c r="D2151" s="138">
        <v>112.8</v>
      </c>
      <c r="E2151" s="138">
        <v>31.914893617021278</v>
      </c>
      <c r="F2151" s="139">
        <v>1.88</v>
      </c>
    </row>
    <row r="2152" spans="1:6" x14ac:dyDescent="0.25">
      <c r="A2152" s="110"/>
      <c r="B2152" s="125" t="s">
        <v>2018</v>
      </c>
      <c r="C2152" s="138">
        <v>1.71</v>
      </c>
      <c r="D2152" s="138">
        <v>102.6</v>
      </c>
      <c r="E2152" s="138">
        <v>35.087719298245617</v>
      </c>
      <c r="F2152" s="139">
        <v>1.71</v>
      </c>
    </row>
    <row r="2153" spans="1:6" x14ac:dyDescent="0.25">
      <c r="A2153" s="110"/>
      <c r="B2153" s="125" t="s">
        <v>2019</v>
      </c>
      <c r="C2153" s="138">
        <v>1.71</v>
      </c>
      <c r="D2153" s="138">
        <v>102.6</v>
      </c>
      <c r="E2153" s="138">
        <v>35.087719298245617</v>
      </c>
      <c r="F2153" s="139">
        <v>1.71</v>
      </c>
    </row>
    <row r="2154" spans="1:6" x14ac:dyDescent="0.25">
      <c r="A2154" s="110"/>
      <c r="B2154" s="125" t="s">
        <v>2020</v>
      </c>
      <c r="C2154" s="138">
        <v>1.71</v>
      </c>
      <c r="D2154" s="138">
        <v>102.6</v>
      </c>
      <c r="E2154" s="138">
        <v>35.087719298245617</v>
      </c>
      <c r="F2154" s="139">
        <v>1.71</v>
      </c>
    </row>
    <row r="2155" spans="1:6" x14ac:dyDescent="0.25">
      <c r="A2155" s="110"/>
      <c r="B2155" s="125" t="s">
        <v>2021</v>
      </c>
      <c r="C2155" s="138">
        <v>1.71</v>
      </c>
      <c r="D2155" s="138">
        <v>102.6</v>
      </c>
      <c r="E2155" s="138">
        <v>35.087719298245617</v>
      </c>
      <c r="F2155" s="139">
        <v>1.71</v>
      </c>
    </row>
    <row r="2156" spans="1:6" x14ac:dyDescent="0.25">
      <c r="A2156" s="110"/>
      <c r="B2156" s="125" t="s">
        <v>2022</v>
      </c>
      <c r="C2156" s="138">
        <v>1.71</v>
      </c>
      <c r="D2156" s="138">
        <v>102.6</v>
      </c>
      <c r="E2156" s="138">
        <v>35.087719298245617</v>
      </c>
      <c r="F2156" s="139">
        <v>1.71</v>
      </c>
    </row>
    <row r="2157" spans="1:6" x14ac:dyDescent="0.25">
      <c r="A2157" s="110"/>
      <c r="B2157" s="125" t="s">
        <v>2023</v>
      </c>
      <c r="C2157" s="138">
        <v>1.71</v>
      </c>
      <c r="D2157" s="138">
        <v>102.6</v>
      </c>
      <c r="E2157" s="138">
        <v>35.087719298245617</v>
      </c>
      <c r="F2157" s="139">
        <v>1.71</v>
      </c>
    </row>
    <row r="2158" spans="1:6" x14ac:dyDescent="0.25">
      <c r="A2158" s="110"/>
      <c r="B2158" s="125" t="s">
        <v>2024</v>
      </c>
      <c r="C2158" s="138">
        <v>1.71</v>
      </c>
      <c r="D2158" s="138">
        <v>102.6</v>
      </c>
      <c r="E2158" s="138">
        <v>35.087719298245617</v>
      </c>
      <c r="F2158" s="139">
        <v>1.71</v>
      </c>
    </row>
    <row r="2159" spans="1:6" x14ac:dyDescent="0.25">
      <c r="A2159" s="110"/>
      <c r="B2159" s="125" t="s">
        <v>2025</v>
      </c>
      <c r="C2159" s="138">
        <v>1.71</v>
      </c>
      <c r="D2159" s="138">
        <v>102.6</v>
      </c>
      <c r="E2159" s="138">
        <v>35.087719298245617</v>
      </c>
      <c r="F2159" s="139">
        <v>1.71</v>
      </c>
    </row>
    <row r="2160" spans="1:6" x14ac:dyDescent="0.25">
      <c r="A2160" s="110"/>
      <c r="B2160" s="125" t="s">
        <v>2026</v>
      </c>
      <c r="C2160" s="138">
        <v>1.71</v>
      </c>
      <c r="D2160" s="138">
        <v>102.6</v>
      </c>
      <c r="E2160" s="138">
        <v>35.087719298245617</v>
      </c>
      <c r="F2160" s="139">
        <v>1.71</v>
      </c>
    </row>
    <row r="2161" spans="1:6" x14ac:dyDescent="0.25">
      <c r="A2161" s="110"/>
      <c r="B2161" s="125" t="s">
        <v>2027</v>
      </c>
      <c r="C2161" s="138">
        <v>1.71</v>
      </c>
      <c r="D2161" s="138">
        <v>102.6</v>
      </c>
      <c r="E2161" s="138">
        <v>35.087719298245617</v>
      </c>
      <c r="F2161" s="139">
        <v>1.71</v>
      </c>
    </row>
    <row r="2162" spans="1:6" x14ac:dyDescent="0.25">
      <c r="A2162" s="110"/>
      <c r="B2162" s="125" t="s">
        <v>2028</v>
      </c>
      <c r="C2162" s="138">
        <v>1.71</v>
      </c>
      <c r="D2162" s="138">
        <v>102.6</v>
      </c>
      <c r="E2162" s="138">
        <v>35.087719298245617</v>
      </c>
      <c r="F2162" s="139">
        <v>1.71</v>
      </c>
    </row>
    <row r="2163" spans="1:6" x14ac:dyDescent="0.25">
      <c r="A2163" s="110"/>
      <c r="B2163" s="125" t="s">
        <v>2029</v>
      </c>
      <c r="C2163" s="138">
        <v>1.71</v>
      </c>
      <c r="D2163" s="138">
        <v>102.6</v>
      </c>
      <c r="E2163" s="138">
        <v>35.087719298245617</v>
      </c>
      <c r="F2163" s="139">
        <v>1.71</v>
      </c>
    </row>
    <row r="2164" spans="1:6" x14ac:dyDescent="0.25">
      <c r="A2164" s="110"/>
      <c r="B2164" s="125" t="s">
        <v>2030</v>
      </c>
      <c r="C2164" s="138">
        <v>1.8</v>
      </c>
      <c r="D2164" s="138">
        <v>108</v>
      </c>
      <c r="E2164" s="138">
        <v>33.333333333333336</v>
      </c>
      <c r="F2164" s="139">
        <v>1.8</v>
      </c>
    </row>
    <row r="2165" spans="1:6" x14ac:dyDescent="0.25">
      <c r="A2165" s="110"/>
      <c r="B2165" s="125" t="s">
        <v>2031</v>
      </c>
      <c r="C2165" s="138">
        <v>1.8</v>
      </c>
      <c r="D2165" s="138">
        <v>108</v>
      </c>
      <c r="E2165" s="138">
        <v>33.333333333333336</v>
      </c>
      <c r="F2165" s="139">
        <v>1.8</v>
      </c>
    </row>
    <row r="2166" spans="1:6" x14ac:dyDescent="0.25">
      <c r="A2166" s="110"/>
      <c r="B2166" s="125" t="s">
        <v>2032</v>
      </c>
      <c r="C2166" s="138">
        <v>1.8</v>
      </c>
      <c r="D2166" s="138">
        <v>108</v>
      </c>
      <c r="E2166" s="138">
        <v>33.333333333333336</v>
      </c>
      <c r="F2166" s="139">
        <v>1.8</v>
      </c>
    </row>
    <row r="2167" spans="1:6" x14ac:dyDescent="0.25">
      <c r="A2167" s="110"/>
      <c r="B2167" s="125" t="s">
        <v>2033</v>
      </c>
      <c r="C2167" s="138">
        <v>1.8</v>
      </c>
      <c r="D2167" s="138">
        <v>108</v>
      </c>
      <c r="E2167" s="138">
        <v>33.333333333333336</v>
      </c>
      <c r="F2167" s="139">
        <v>1.8</v>
      </c>
    </row>
    <row r="2168" spans="1:6" x14ac:dyDescent="0.25">
      <c r="A2168" s="110"/>
      <c r="B2168" s="125" t="s">
        <v>2034</v>
      </c>
      <c r="C2168" s="138">
        <v>2.13</v>
      </c>
      <c r="D2168" s="138">
        <v>127.8</v>
      </c>
      <c r="E2168" s="138">
        <v>28.169014084507044</v>
      </c>
      <c r="F2168" s="139">
        <v>2.13</v>
      </c>
    </row>
    <row r="2169" spans="1:6" x14ac:dyDescent="0.25">
      <c r="A2169" s="110"/>
      <c r="B2169" s="125" t="s">
        <v>2035</v>
      </c>
      <c r="C2169" s="138">
        <v>2.13</v>
      </c>
      <c r="D2169" s="138">
        <v>127.8</v>
      </c>
      <c r="E2169" s="138">
        <v>28.169014084507044</v>
      </c>
      <c r="F2169" s="139">
        <v>2.13</v>
      </c>
    </row>
    <row r="2170" spans="1:6" x14ac:dyDescent="0.25">
      <c r="A2170" s="110"/>
      <c r="B2170" s="125" t="s">
        <v>2036</v>
      </c>
      <c r="C2170" s="138">
        <v>2.13</v>
      </c>
      <c r="D2170" s="138">
        <v>127.8</v>
      </c>
      <c r="E2170" s="138">
        <v>28.169014084507044</v>
      </c>
      <c r="F2170" s="139">
        <v>2.13</v>
      </c>
    </row>
    <row r="2171" spans="1:6" x14ac:dyDescent="0.25">
      <c r="A2171" s="110"/>
      <c r="B2171" s="125" t="s">
        <v>2037</v>
      </c>
      <c r="C2171" s="138">
        <v>2.13</v>
      </c>
      <c r="D2171" s="138">
        <v>127.8</v>
      </c>
      <c r="E2171" s="138">
        <v>28.169014084507044</v>
      </c>
      <c r="F2171" s="139">
        <v>2.13</v>
      </c>
    </row>
    <row r="2172" spans="1:6" x14ac:dyDescent="0.25">
      <c r="A2172" s="110"/>
      <c r="B2172" s="125" t="s">
        <v>2038</v>
      </c>
      <c r="C2172" s="138">
        <v>2.13</v>
      </c>
      <c r="D2172" s="138">
        <v>127.8</v>
      </c>
      <c r="E2172" s="138">
        <v>28.169014084507044</v>
      </c>
      <c r="F2172" s="139">
        <v>2.13</v>
      </c>
    </row>
    <row r="2173" spans="1:6" x14ac:dyDescent="0.25">
      <c r="A2173" s="110"/>
      <c r="B2173" s="125" t="s">
        <v>2039</v>
      </c>
      <c r="C2173" s="138">
        <v>2.13</v>
      </c>
      <c r="D2173" s="138">
        <v>127.8</v>
      </c>
      <c r="E2173" s="138">
        <v>28.169014084507044</v>
      </c>
      <c r="F2173" s="139">
        <v>2.13</v>
      </c>
    </row>
    <row r="2174" spans="1:6" x14ac:dyDescent="0.25">
      <c r="A2174" s="110"/>
      <c r="B2174" s="125" t="s">
        <v>2040</v>
      </c>
      <c r="C2174" s="138">
        <v>2.13</v>
      </c>
      <c r="D2174" s="138">
        <v>127.8</v>
      </c>
      <c r="E2174" s="138">
        <v>28.169014084507044</v>
      </c>
      <c r="F2174" s="139">
        <v>2.13</v>
      </c>
    </row>
    <row r="2175" spans="1:6" x14ac:dyDescent="0.25">
      <c r="A2175" s="110"/>
      <c r="B2175" s="125" t="s">
        <v>2041</v>
      </c>
      <c r="C2175" s="138">
        <v>2.13</v>
      </c>
      <c r="D2175" s="138">
        <v>127.8</v>
      </c>
      <c r="E2175" s="138">
        <v>28.169014084507044</v>
      </c>
      <c r="F2175" s="139">
        <v>2.13</v>
      </c>
    </row>
    <row r="2176" spans="1:6" x14ac:dyDescent="0.25">
      <c r="A2176" s="110"/>
      <c r="B2176" s="125" t="s">
        <v>2042</v>
      </c>
      <c r="C2176" s="138">
        <v>1.8</v>
      </c>
      <c r="D2176" s="138">
        <v>108</v>
      </c>
      <c r="E2176" s="138">
        <v>33.333333333333336</v>
      </c>
      <c r="F2176" s="139">
        <v>1.8</v>
      </c>
    </row>
    <row r="2177" spans="1:6" x14ac:dyDescent="0.25">
      <c r="A2177" s="110"/>
      <c r="B2177" s="125" t="s">
        <v>2043</v>
      </c>
      <c r="C2177" s="138">
        <v>1.8</v>
      </c>
      <c r="D2177" s="138">
        <v>108</v>
      </c>
      <c r="E2177" s="138">
        <v>33.333333333333336</v>
      </c>
      <c r="F2177" s="139">
        <v>1.8</v>
      </c>
    </row>
    <row r="2178" spans="1:6" x14ac:dyDescent="0.25">
      <c r="A2178" s="110"/>
      <c r="B2178" s="125" t="s">
        <v>2044</v>
      </c>
      <c r="C2178" s="138">
        <v>1.8</v>
      </c>
      <c r="D2178" s="138">
        <v>108</v>
      </c>
      <c r="E2178" s="138">
        <v>33.333333333333336</v>
      </c>
      <c r="F2178" s="139">
        <v>1.8</v>
      </c>
    </row>
    <row r="2179" spans="1:6" x14ac:dyDescent="0.25">
      <c r="A2179" s="110"/>
      <c r="B2179" s="125" t="s">
        <v>2045</v>
      </c>
      <c r="C2179" s="138">
        <v>1.8</v>
      </c>
      <c r="D2179" s="138">
        <v>108</v>
      </c>
      <c r="E2179" s="138">
        <v>33.333333333333336</v>
      </c>
      <c r="F2179" s="139">
        <v>1.8</v>
      </c>
    </row>
    <row r="2180" spans="1:6" x14ac:dyDescent="0.25">
      <c r="A2180" s="110"/>
      <c r="B2180" s="125" t="s">
        <v>2046</v>
      </c>
      <c r="C2180" s="138">
        <v>1.8</v>
      </c>
      <c r="D2180" s="138">
        <v>108</v>
      </c>
      <c r="E2180" s="138">
        <v>33.333333333333336</v>
      </c>
      <c r="F2180" s="139">
        <v>1.8</v>
      </c>
    </row>
    <row r="2181" spans="1:6" x14ac:dyDescent="0.25">
      <c r="A2181" s="110"/>
      <c r="B2181" s="125" t="s">
        <v>2047</v>
      </c>
      <c r="C2181" s="138">
        <v>1.8</v>
      </c>
      <c r="D2181" s="138">
        <v>108</v>
      </c>
      <c r="E2181" s="138">
        <v>33.333333333333336</v>
      </c>
      <c r="F2181" s="139">
        <v>1.8</v>
      </c>
    </row>
    <row r="2182" spans="1:6" x14ac:dyDescent="0.25">
      <c r="A2182" s="110"/>
      <c r="B2182" s="125" t="s">
        <v>2048</v>
      </c>
      <c r="C2182" s="138">
        <v>1.8</v>
      </c>
      <c r="D2182" s="138">
        <v>108</v>
      </c>
      <c r="E2182" s="138">
        <v>33.333333333333336</v>
      </c>
      <c r="F2182" s="139">
        <v>1.8</v>
      </c>
    </row>
    <row r="2183" spans="1:6" x14ac:dyDescent="0.25">
      <c r="A2183" s="110"/>
      <c r="B2183" s="125" t="s">
        <v>2049</v>
      </c>
      <c r="C2183" s="138">
        <v>1.8</v>
      </c>
      <c r="D2183" s="138">
        <v>108</v>
      </c>
      <c r="E2183" s="138">
        <v>33.333333333333336</v>
      </c>
      <c r="F2183" s="139">
        <v>1.8</v>
      </c>
    </row>
    <row r="2184" spans="1:6" x14ac:dyDescent="0.25">
      <c r="A2184" s="110"/>
      <c r="B2184" s="125" t="s">
        <v>2050</v>
      </c>
      <c r="C2184" s="138">
        <v>1.8</v>
      </c>
      <c r="D2184" s="138">
        <v>108</v>
      </c>
      <c r="E2184" s="138">
        <v>33.333333333333336</v>
      </c>
      <c r="F2184" s="139">
        <v>1.8</v>
      </c>
    </row>
    <row r="2185" spans="1:6" x14ac:dyDescent="0.25">
      <c r="A2185" s="110"/>
      <c r="B2185" s="125" t="s">
        <v>2051</v>
      </c>
      <c r="C2185" s="138">
        <v>1.8</v>
      </c>
      <c r="D2185" s="138">
        <v>108</v>
      </c>
      <c r="E2185" s="138">
        <v>33.333333333333336</v>
      </c>
      <c r="F2185" s="139">
        <v>1.8</v>
      </c>
    </row>
    <row r="2186" spans="1:6" x14ac:dyDescent="0.25">
      <c r="A2186" s="110"/>
      <c r="B2186" s="125" t="s">
        <v>2052</v>
      </c>
      <c r="C2186" s="138">
        <v>1.8</v>
      </c>
      <c r="D2186" s="138">
        <v>108</v>
      </c>
      <c r="E2186" s="138">
        <v>33.333333333333336</v>
      </c>
      <c r="F2186" s="139">
        <v>1.8</v>
      </c>
    </row>
    <row r="2187" spans="1:6" x14ac:dyDescent="0.25">
      <c r="A2187" s="110"/>
      <c r="B2187" s="125" t="s">
        <v>2053</v>
      </c>
      <c r="C2187" s="138">
        <v>1.8</v>
      </c>
      <c r="D2187" s="138">
        <v>108</v>
      </c>
      <c r="E2187" s="138">
        <v>33.333333333333336</v>
      </c>
      <c r="F2187" s="139">
        <v>1.8</v>
      </c>
    </row>
    <row r="2188" spans="1:6" x14ac:dyDescent="0.25">
      <c r="A2188" s="118"/>
      <c r="B2188" s="135" t="s">
        <v>3295</v>
      </c>
      <c r="C2188" s="138">
        <v>0.8</v>
      </c>
      <c r="D2188" s="138">
        <v>48</v>
      </c>
      <c r="E2188" s="138">
        <v>75</v>
      </c>
      <c r="F2188" s="144">
        <v>0.8</v>
      </c>
    </row>
    <row r="2189" spans="1:6" x14ac:dyDescent="0.25">
      <c r="A2189" s="110"/>
      <c r="B2189" s="125" t="s">
        <v>2054</v>
      </c>
      <c r="C2189" s="138">
        <v>2</v>
      </c>
      <c r="D2189" s="138">
        <v>120</v>
      </c>
      <c r="E2189" s="138">
        <v>30</v>
      </c>
      <c r="F2189" s="139">
        <v>2</v>
      </c>
    </row>
    <row r="2190" spans="1:6" x14ac:dyDescent="0.25">
      <c r="A2190" s="118"/>
      <c r="B2190" s="135" t="s">
        <v>3296</v>
      </c>
      <c r="C2190" s="138">
        <v>0.8</v>
      </c>
      <c r="D2190" s="138">
        <v>48</v>
      </c>
      <c r="E2190" s="138">
        <v>75</v>
      </c>
      <c r="F2190" s="144">
        <v>0.8</v>
      </c>
    </row>
    <row r="2191" spans="1:6" x14ac:dyDescent="0.25">
      <c r="A2191" s="110"/>
      <c r="B2191" s="125" t="s">
        <v>2055</v>
      </c>
      <c r="C2191" s="138">
        <v>2</v>
      </c>
      <c r="D2191" s="138">
        <v>120</v>
      </c>
      <c r="E2191" s="138">
        <v>30</v>
      </c>
      <c r="F2191" s="139">
        <v>2</v>
      </c>
    </row>
    <row r="2192" spans="1:6" x14ac:dyDescent="0.25">
      <c r="A2192" s="110"/>
      <c r="B2192" s="125" t="s">
        <v>2056</v>
      </c>
      <c r="C2192" s="138">
        <v>2</v>
      </c>
      <c r="D2192" s="138">
        <v>120</v>
      </c>
      <c r="E2192" s="138">
        <v>30</v>
      </c>
      <c r="F2192" s="139">
        <v>2</v>
      </c>
    </row>
    <row r="2193" spans="1:6" x14ac:dyDescent="0.25">
      <c r="A2193" s="110"/>
      <c r="B2193" s="125" t="s">
        <v>2057</v>
      </c>
      <c r="C2193" s="138">
        <v>2</v>
      </c>
      <c r="D2193" s="138">
        <v>120</v>
      </c>
      <c r="E2193" s="138">
        <v>30</v>
      </c>
      <c r="F2193" s="139">
        <v>2</v>
      </c>
    </row>
    <row r="2194" spans="1:6" x14ac:dyDescent="0.25">
      <c r="A2194" s="110"/>
      <c r="B2194" s="125" t="s">
        <v>2058</v>
      </c>
      <c r="C2194" s="138">
        <v>0.1</v>
      </c>
      <c r="D2194" s="138">
        <v>6</v>
      </c>
      <c r="E2194" s="138">
        <v>600</v>
      </c>
      <c r="F2194" s="139">
        <v>0.1</v>
      </c>
    </row>
    <row r="2195" spans="1:6" x14ac:dyDescent="0.25">
      <c r="A2195" s="110"/>
      <c r="B2195" s="125" t="s">
        <v>2059</v>
      </c>
      <c r="C2195" s="138">
        <v>0.1</v>
      </c>
      <c r="D2195" s="138">
        <v>6</v>
      </c>
      <c r="E2195" s="138">
        <v>600</v>
      </c>
      <c r="F2195" s="139">
        <v>0.1</v>
      </c>
    </row>
    <row r="2196" spans="1:6" x14ac:dyDescent="0.25">
      <c r="A2196" s="110"/>
      <c r="B2196" s="125" t="s">
        <v>2060</v>
      </c>
      <c r="C2196" s="138">
        <v>0.1</v>
      </c>
      <c r="D2196" s="138">
        <v>6</v>
      </c>
      <c r="E2196" s="138">
        <v>600</v>
      </c>
      <c r="F2196" s="139">
        <v>0.1</v>
      </c>
    </row>
    <row r="2197" spans="1:6" x14ac:dyDescent="0.25">
      <c r="A2197" s="110"/>
      <c r="B2197" s="125" t="s">
        <v>2061</v>
      </c>
      <c r="C2197" s="138">
        <v>0.1</v>
      </c>
      <c r="D2197" s="138">
        <v>6</v>
      </c>
      <c r="E2197" s="138">
        <v>600</v>
      </c>
      <c r="F2197" s="139">
        <v>0.1</v>
      </c>
    </row>
    <row r="2198" spans="1:6" x14ac:dyDescent="0.25">
      <c r="A2198" s="110"/>
      <c r="B2198" s="125" t="s">
        <v>2062</v>
      </c>
      <c r="C2198" s="138">
        <v>0.1</v>
      </c>
      <c r="D2198" s="138">
        <v>6</v>
      </c>
      <c r="E2198" s="138">
        <v>600</v>
      </c>
      <c r="F2198" s="139">
        <v>0.1</v>
      </c>
    </row>
    <row r="2199" spans="1:6" x14ac:dyDescent="0.25">
      <c r="A2199" s="110"/>
      <c r="B2199" s="125" t="s">
        <v>2063</v>
      </c>
      <c r="C2199" s="138">
        <v>0.1</v>
      </c>
      <c r="D2199" s="138">
        <v>6</v>
      </c>
      <c r="E2199" s="138">
        <v>600</v>
      </c>
      <c r="F2199" s="139">
        <v>0.1</v>
      </c>
    </row>
    <row r="2200" spans="1:6" x14ac:dyDescent="0.25">
      <c r="A2200" s="110"/>
      <c r="B2200" s="125" t="s">
        <v>2064</v>
      </c>
      <c r="C2200" s="138">
        <v>0.1</v>
      </c>
      <c r="D2200" s="138">
        <v>6</v>
      </c>
      <c r="E2200" s="138">
        <v>600</v>
      </c>
      <c r="F2200" s="139">
        <v>0.1</v>
      </c>
    </row>
    <row r="2201" spans="1:6" x14ac:dyDescent="0.25">
      <c r="A2201" s="110"/>
      <c r="B2201" s="125" t="s">
        <v>2065</v>
      </c>
      <c r="C2201" s="138">
        <v>0.1</v>
      </c>
      <c r="D2201" s="138">
        <v>6</v>
      </c>
      <c r="E2201" s="138">
        <v>600</v>
      </c>
      <c r="F2201" s="139">
        <v>0.1</v>
      </c>
    </row>
    <row r="2202" spans="1:6" x14ac:dyDescent="0.25">
      <c r="A2202" s="110"/>
      <c r="B2202" s="125" t="s">
        <v>2066</v>
      </c>
      <c r="C2202" s="138">
        <v>1.6</v>
      </c>
      <c r="D2202" s="138">
        <v>96</v>
      </c>
      <c r="E2202" s="138">
        <v>37.5</v>
      </c>
      <c r="F2202" s="139">
        <v>1.6</v>
      </c>
    </row>
    <row r="2203" spans="1:6" x14ac:dyDescent="0.25">
      <c r="A2203" s="110"/>
      <c r="B2203" s="125" t="s">
        <v>2067</v>
      </c>
      <c r="C2203" s="138">
        <v>1.6</v>
      </c>
      <c r="D2203" s="138">
        <v>96</v>
      </c>
      <c r="E2203" s="138">
        <v>37.5</v>
      </c>
      <c r="F2203" s="139">
        <v>1.6</v>
      </c>
    </row>
    <row r="2204" spans="1:6" x14ac:dyDescent="0.25">
      <c r="A2204" s="110"/>
      <c r="B2204" s="125" t="s">
        <v>2068</v>
      </c>
      <c r="C2204" s="138">
        <v>1.6</v>
      </c>
      <c r="D2204" s="138">
        <v>96</v>
      </c>
      <c r="E2204" s="138">
        <v>37.5</v>
      </c>
      <c r="F2204" s="139">
        <v>1.6</v>
      </c>
    </row>
    <row r="2205" spans="1:6" x14ac:dyDescent="0.25">
      <c r="A2205" s="110"/>
      <c r="B2205" s="125" t="s">
        <v>2069</v>
      </c>
      <c r="C2205" s="138">
        <v>1.6</v>
      </c>
      <c r="D2205" s="138">
        <v>96</v>
      </c>
      <c r="E2205" s="138">
        <v>37.5</v>
      </c>
      <c r="F2205" s="139">
        <v>1.6</v>
      </c>
    </row>
    <row r="2206" spans="1:6" x14ac:dyDescent="0.25">
      <c r="A2206" s="110"/>
      <c r="B2206" s="125" t="s">
        <v>2070</v>
      </c>
      <c r="C2206" s="138">
        <v>1.6</v>
      </c>
      <c r="D2206" s="138">
        <v>96</v>
      </c>
      <c r="E2206" s="138">
        <v>37.5</v>
      </c>
      <c r="F2206" s="139">
        <v>1.6</v>
      </c>
    </row>
    <row r="2207" spans="1:6" x14ac:dyDescent="0.25">
      <c r="A2207" s="110"/>
      <c r="B2207" s="125" t="s">
        <v>2071</v>
      </c>
      <c r="C2207" s="138">
        <v>1.6</v>
      </c>
      <c r="D2207" s="138">
        <v>96</v>
      </c>
      <c r="E2207" s="138">
        <v>37.5</v>
      </c>
      <c r="F2207" s="139">
        <v>1.6</v>
      </c>
    </row>
    <row r="2208" spans="1:6" x14ac:dyDescent="0.25">
      <c r="A2208" s="110"/>
      <c r="B2208" s="125" t="s">
        <v>2072</v>
      </c>
      <c r="C2208" s="138">
        <v>1.6</v>
      </c>
      <c r="D2208" s="138">
        <v>96</v>
      </c>
      <c r="E2208" s="138">
        <v>37.5</v>
      </c>
      <c r="F2208" s="139">
        <v>1.6</v>
      </c>
    </row>
    <row r="2209" spans="1:6" x14ac:dyDescent="0.25">
      <c r="A2209" s="110"/>
      <c r="B2209" s="125" t="s">
        <v>2073</v>
      </c>
      <c r="C2209" s="138">
        <v>1.6</v>
      </c>
      <c r="D2209" s="138">
        <v>96</v>
      </c>
      <c r="E2209" s="138">
        <v>37.5</v>
      </c>
      <c r="F2209" s="139">
        <v>1.6</v>
      </c>
    </row>
    <row r="2210" spans="1:6" x14ac:dyDescent="0.25">
      <c r="A2210" s="110"/>
      <c r="B2210" s="125" t="s">
        <v>2074</v>
      </c>
      <c r="C2210" s="138">
        <v>1.6</v>
      </c>
      <c r="D2210" s="138">
        <v>96</v>
      </c>
      <c r="E2210" s="138">
        <v>37.5</v>
      </c>
      <c r="F2210" s="139">
        <v>1.6</v>
      </c>
    </row>
    <row r="2211" spans="1:6" x14ac:dyDescent="0.25">
      <c r="A2211" s="110"/>
      <c r="B2211" s="125" t="s">
        <v>2075</v>
      </c>
      <c r="C2211" s="138">
        <v>1.6</v>
      </c>
      <c r="D2211" s="138">
        <v>96</v>
      </c>
      <c r="E2211" s="138">
        <v>37.5</v>
      </c>
      <c r="F2211" s="139">
        <v>1.6</v>
      </c>
    </row>
    <row r="2212" spans="1:6" x14ac:dyDescent="0.25">
      <c r="A2212" s="110"/>
      <c r="B2212" s="125" t="s">
        <v>2076</v>
      </c>
      <c r="C2212" s="138">
        <v>1.6</v>
      </c>
      <c r="D2212" s="138">
        <v>96</v>
      </c>
      <c r="E2212" s="138">
        <v>37.5</v>
      </c>
      <c r="F2212" s="139">
        <v>1.6</v>
      </c>
    </row>
    <row r="2213" spans="1:6" x14ac:dyDescent="0.25">
      <c r="A2213" s="110"/>
      <c r="B2213" s="125" t="s">
        <v>2077</v>
      </c>
      <c r="C2213" s="138">
        <v>1.6</v>
      </c>
      <c r="D2213" s="138">
        <v>96</v>
      </c>
      <c r="E2213" s="138">
        <v>37.5</v>
      </c>
      <c r="F2213" s="139">
        <v>1.6</v>
      </c>
    </row>
    <row r="2214" spans="1:6" x14ac:dyDescent="0.25">
      <c r="A2214" s="110"/>
      <c r="B2214" s="125" t="s">
        <v>2078</v>
      </c>
      <c r="C2214" s="138">
        <v>2.2999999999999998</v>
      </c>
      <c r="D2214" s="138">
        <v>138</v>
      </c>
      <c r="E2214" s="138">
        <v>26.086956521739129</v>
      </c>
      <c r="F2214" s="139">
        <v>2.2999999999999998</v>
      </c>
    </row>
    <row r="2215" spans="1:6" x14ac:dyDescent="0.25">
      <c r="A2215" s="110"/>
      <c r="B2215" s="125" t="s">
        <v>2079</v>
      </c>
      <c r="C2215" s="138">
        <v>2.2999999999999998</v>
      </c>
      <c r="D2215" s="138">
        <v>138</v>
      </c>
      <c r="E2215" s="138">
        <v>26.086956521739129</v>
      </c>
      <c r="F2215" s="139">
        <v>2.2999999999999998</v>
      </c>
    </row>
    <row r="2216" spans="1:6" x14ac:dyDescent="0.25">
      <c r="A2216" s="110"/>
      <c r="B2216" s="125" t="s">
        <v>2080</v>
      </c>
      <c r="C2216" s="138">
        <v>2.2999999999999998</v>
      </c>
      <c r="D2216" s="138">
        <v>138</v>
      </c>
      <c r="E2216" s="138">
        <v>26.086956521739129</v>
      </c>
      <c r="F2216" s="139">
        <v>2.2999999999999998</v>
      </c>
    </row>
    <row r="2217" spans="1:6" x14ac:dyDescent="0.25">
      <c r="A2217" s="110"/>
      <c r="B2217" s="125" t="s">
        <v>2081</v>
      </c>
      <c r="C2217" s="138">
        <v>2.2999999999999998</v>
      </c>
      <c r="D2217" s="138">
        <v>138</v>
      </c>
      <c r="E2217" s="138">
        <v>26.086956521739129</v>
      </c>
      <c r="F2217" s="139">
        <v>2.2999999999999998</v>
      </c>
    </row>
    <row r="2218" spans="1:6" x14ac:dyDescent="0.25">
      <c r="A2218" s="110"/>
      <c r="B2218" s="125" t="s">
        <v>2082</v>
      </c>
      <c r="C2218" s="138">
        <v>2.2999999999999998</v>
      </c>
      <c r="D2218" s="138">
        <v>138</v>
      </c>
      <c r="E2218" s="138">
        <v>26.086956521739129</v>
      </c>
      <c r="F2218" s="139">
        <v>2.2999999999999998</v>
      </c>
    </row>
    <row r="2219" spans="1:6" x14ac:dyDescent="0.25">
      <c r="A2219" s="110"/>
      <c r="B2219" s="125" t="s">
        <v>2083</v>
      </c>
      <c r="C2219" s="138">
        <v>2.2999999999999998</v>
      </c>
      <c r="D2219" s="138">
        <v>138</v>
      </c>
      <c r="E2219" s="138">
        <v>26.086956521739129</v>
      </c>
      <c r="F2219" s="139">
        <v>2.2999999999999998</v>
      </c>
    </row>
    <row r="2220" spans="1:6" x14ac:dyDescent="0.25">
      <c r="A2220" s="110"/>
      <c r="B2220" s="125" t="s">
        <v>2084</v>
      </c>
      <c r="C2220" s="138">
        <v>0.1</v>
      </c>
      <c r="D2220" s="138">
        <v>6</v>
      </c>
      <c r="E2220" s="138">
        <v>600</v>
      </c>
      <c r="F2220" s="139">
        <v>0.1</v>
      </c>
    </row>
    <row r="2221" spans="1:6" x14ac:dyDescent="0.25">
      <c r="A2221" s="110"/>
      <c r="B2221" s="125" t="s">
        <v>2085</v>
      </c>
      <c r="C2221" s="138">
        <v>0.1</v>
      </c>
      <c r="D2221" s="138">
        <v>6</v>
      </c>
      <c r="E2221" s="138">
        <v>600</v>
      </c>
      <c r="F2221" s="139">
        <v>0.1</v>
      </c>
    </row>
    <row r="2222" spans="1:6" x14ac:dyDescent="0.25">
      <c r="A2222" s="110"/>
      <c r="B2222" s="125" t="s">
        <v>2086</v>
      </c>
      <c r="C2222" s="138">
        <v>0.1</v>
      </c>
      <c r="D2222" s="138">
        <v>6</v>
      </c>
      <c r="E2222" s="138">
        <v>600</v>
      </c>
      <c r="F2222" s="139">
        <v>0.1</v>
      </c>
    </row>
    <row r="2223" spans="1:6" x14ac:dyDescent="0.25">
      <c r="A2223" s="110"/>
      <c r="B2223" s="125" t="s">
        <v>2087</v>
      </c>
      <c r="C2223" s="138">
        <v>0.1</v>
      </c>
      <c r="D2223" s="138">
        <v>6</v>
      </c>
      <c r="E2223" s="138">
        <v>600</v>
      </c>
      <c r="F2223" s="139">
        <v>0.1</v>
      </c>
    </row>
    <row r="2224" spans="1:6" x14ac:dyDescent="0.25">
      <c r="A2224" s="110"/>
      <c r="B2224" s="125" t="s">
        <v>2088</v>
      </c>
      <c r="C2224" s="138">
        <v>0.1</v>
      </c>
      <c r="D2224" s="138">
        <v>6</v>
      </c>
      <c r="E2224" s="138">
        <v>600</v>
      </c>
      <c r="F2224" s="139">
        <v>0.1</v>
      </c>
    </row>
    <row r="2225" spans="1:6" x14ac:dyDescent="0.25">
      <c r="A2225" s="110"/>
      <c r="B2225" s="125" t="s">
        <v>2089</v>
      </c>
      <c r="C2225" s="138">
        <v>0.1</v>
      </c>
      <c r="D2225" s="138">
        <v>6</v>
      </c>
      <c r="E2225" s="138">
        <v>600</v>
      </c>
      <c r="F2225" s="139">
        <v>0.1</v>
      </c>
    </row>
    <row r="2226" spans="1:6" x14ac:dyDescent="0.25">
      <c r="A2226" s="110"/>
      <c r="B2226" s="125" t="s">
        <v>2090</v>
      </c>
      <c r="C2226" s="138">
        <v>0.1</v>
      </c>
      <c r="D2226" s="138">
        <v>6</v>
      </c>
      <c r="E2226" s="138">
        <v>600</v>
      </c>
      <c r="F2226" s="139">
        <v>0.1</v>
      </c>
    </row>
    <row r="2227" spans="1:6" x14ac:dyDescent="0.25">
      <c r="A2227" s="110"/>
      <c r="B2227" s="125" t="s">
        <v>2091</v>
      </c>
      <c r="C2227" s="138">
        <v>0.1</v>
      </c>
      <c r="D2227" s="138">
        <v>6</v>
      </c>
      <c r="E2227" s="138">
        <v>600</v>
      </c>
      <c r="F2227" s="139">
        <v>0.1</v>
      </c>
    </row>
    <row r="2228" spans="1:6" x14ac:dyDescent="0.25">
      <c r="A2228" s="110"/>
      <c r="B2228" s="125" t="s">
        <v>2088</v>
      </c>
      <c r="C2228" s="138">
        <v>0.1</v>
      </c>
      <c r="D2228" s="138">
        <v>6</v>
      </c>
      <c r="E2228" s="138">
        <v>600</v>
      </c>
      <c r="F2228" s="139">
        <v>0.1</v>
      </c>
    </row>
    <row r="2229" spans="1:6" x14ac:dyDescent="0.25">
      <c r="A2229" s="110"/>
      <c r="B2229" s="125" t="s">
        <v>2089</v>
      </c>
      <c r="C2229" s="138">
        <v>0.1</v>
      </c>
      <c r="D2229" s="138">
        <v>6</v>
      </c>
      <c r="E2229" s="138">
        <v>600</v>
      </c>
      <c r="F2229" s="139">
        <v>0.1</v>
      </c>
    </row>
    <row r="2230" spans="1:6" x14ac:dyDescent="0.25">
      <c r="A2230" s="110"/>
      <c r="B2230" s="125" t="s">
        <v>2088</v>
      </c>
      <c r="C2230" s="138">
        <v>0.1</v>
      </c>
      <c r="D2230" s="138">
        <v>6</v>
      </c>
      <c r="E2230" s="138">
        <v>600</v>
      </c>
      <c r="F2230" s="139">
        <v>0.1</v>
      </c>
    </row>
    <row r="2231" spans="1:6" x14ac:dyDescent="0.25">
      <c r="A2231" s="110"/>
      <c r="B2231" s="125" t="s">
        <v>2090</v>
      </c>
      <c r="C2231" s="138">
        <v>0.1</v>
      </c>
      <c r="D2231" s="138">
        <v>6</v>
      </c>
      <c r="E2231" s="138">
        <v>600</v>
      </c>
      <c r="F2231" s="139">
        <v>0.1</v>
      </c>
    </row>
    <row r="2232" spans="1:6" x14ac:dyDescent="0.25">
      <c r="A2232" s="110"/>
      <c r="B2232" s="125" t="s">
        <v>2092</v>
      </c>
      <c r="C2232" s="138">
        <v>0.1</v>
      </c>
      <c r="D2232" s="138">
        <v>6</v>
      </c>
      <c r="E2232" s="138">
        <v>600</v>
      </c>
      <c r="F2232" s="139">
        <v>0.1</v>
      </c>
    </row>
    <row r="2233" spans="1:6" x14ac:dyDescent="0.25">
      <c r="A2233" s="110"/>
      <c r="B2233" s="125" t="s">
        <v>2093</v>
      </c>
      <c r="C2233" s="138">
        <v>0.1</v>
      </c>
      <c r="D2233" s="138">
        <v>6</v>
      </c>
      <c r="E2233" s="138">
        <v>600</v>
      </c>
      <c r="F2233" s="139">
        <v>0.1</v>
      </c>
    </row>
    <row r="2234" spans="1:6" x14ac:dyDescent="0.25">
      <c r="A2234" s="110"/>
      <c r="B2234" s="125" t="s">
        <v>2094</v>
      </c>
      <c r="C2234" s="138">
        <v>0.1</v>
      </c>
      <c r="D2234" s="138">
        <v>6</v>
      </c>
      <c r="E2234" s="138">
        <v>600</v>
      </c>
      <c r="F2234" s="139">
        <v>0.1</v>
      </c>
    </row>
    <row r="2235" spans="1:6" x14ac:dyDescent="0.25">
      <c r="A2235" s="110"/>
      <c r="B2235" s="125" t="s">
        <v>2095</v>
      </c>
      <c r="C2235" s="138">
        <v>0.1</v>
      </c>
      <c r="D2235" s="138">
        <v>6</v>
      </c>
      <c r="E2235" s="138">
        <v>600</v>
      </c>
      <c r="F2235" s="139">
        <v>0.1</v>
      </c>
    </row>
    <row r="2236" spans="1:6" x14ac:dyDescent="0.25">
      <c r="A2236" s="110"/>
      <c r="B2236" s="125" t="s">
        <v>2096</v>
      </c>
      <c r="C2236" s="138">
        <v>0.1</v>
      </c>
      <c r="D2236" s="138">
        <v>6</v>
      </c>
      <c r="E2236" s="138">
        <v>600</v>
      </c>
      <c r="F2236" s="139">
        <v>0.1</v>
      </c>
    </row>
    <row r="2237" spans="1:6" x14ac:dyDescent="0.25">
      <c r="A2237" s="110"/>
      <c r="B2237" s="125" t="s">
        <v>2097</v>
      </c>
      <c r="C2237" s="138">
        <v>0.1</v>
      </c>
      <c r="D2237" s="138">
        <v>6</v>
      </c>
      <c r="E2237" s="138">
        <v>600</v>
      </c>
      <c r="F2237" s="139">
        <v>0.1</v>
      </c>
    </row>
    <row r="2238" spans="1:6" x14ac:dyDescent="0.25">
      <c r="A2238" s="110"/>
      <c r="B2238" s="125" t="s">
        <v>2098</v>
      </c>
      <c r="C2238" s="138">
        <v>1.75</v>
      </c>
      <c r="D2238" s="138">
        <v>105</v>
      </c>
      <c r="E2238" s="138">
        <v>34.285714285714285</v>
      </c>
      <c r="F2238" s="139">
        <v>1.75</v>
      </c>
    </row>
    <row r="2239" spans="1:6" x14ac:dyDescent="0.25">
      <c r="A2239" s="110"/>
      <c r="B2239" s="125" t="s">
        <v>2099</v>
      </c>
      <c r="C2239" s="138">
        <v>1.75</v>
      </c>
      <c r="D2239" s="138">
        <v>105</v>
      </c>
      <c r="E2239" s="138">
        <v>34.285714285714285</v>
      </c>
      <c r="F2239" s="139">
        <v>1.75</v>
      </c>
    </row>
    <row r="2240" spans="1:6" x14ac:dyDescent="0.25">
      <c r="A2240" s="110"/>
      <c r="B2240" s="125" t="s">
        <v>2100</v>
      </c>
      <c r="C2240" s="138">
        <v>2.2999999999999998</v>
      </c>
      <c r="D2240" s="138">
        <v>138</v>
      </c>
      <c r="E2240" s="138">
        <v>26.086956521739129</v>
      </c>
      <c r="F2240" s="139">
        <v>2.2999999999999998</v>
      </c>
    </row>
    <row r="2241" spans="1:6" x14ac:dyDescent="0.25">
      <c r="A2241" s="110"/>
      <c r="B2241" s="125" t="s">
        <v>2101</v>
      </c>
      <c r="C2241" s="138">
        <v>2.2999999999999998</v>
      </c>
      <c r="D2241" s="138">
        <v>138</v>
      </c>
      <c r="E2241" s="138">
        <v>26.086956521739129</v>
      </c>
      <c r="F2241" s="139">
        <v>2.2999999999999998</v>
      </c>
    </row>
    <row r="2242" spans="1:6" x14ac:dyDescent="0.25">
      <c r="A2242" s="110"/>
      <c r="B2242" s="125" t="s">
        <v>2100</v>
      </c>
      <c r="C2242" s="138">
        <v>2.2999999999999998</v>
      </c>
      <c r="D2242" s="138">
        <v>138</v>
      </c>
      <c r="E2242" s="138">
        <v>26.086956521739129</v>
      </c>
      <c r="F2242" s="139">
        <v>2.2999999999999998</v>
      </c>
    </row>
    <row r="2243" spans="1:6" x14ac:dyDescent="0.25">
      <c r="A2243" s="110"/>
      <c r="B2243" s="125" t="s">
        <v>2101</v>
      </c>
      <c r="C2243" s="138">
        <v>2.2999999999999998</v>
      </c>
      <c r="D2243" s="138">
        <v>138</v>
      </c>
      <c r="E2243" s="138">
        <v>26.086956521739129</v>
      </c>
      <c r="F2243" s="139">
        <v>2.2999999999999998</v>
      </c>
    </row>
    <row r="2244" spans="1:6" x14ac:dyDescent="0.25">
      <c r="A2244" s="110"/>
      <c r="B2244" s="125" t="s">
        <v>2102</v>
      </c>
      <c r="C2244" s="138">
        <v>1.75</v>
      </c>
      <c r="D2244" s="138">
        <v>105</v>
      </c>
      <c r="E2244" s="138">
        <v>34.285714285714285</v>
      </c>
      <c r="F2244" s="139">
        <v>1.75</v>
      </c>
    </row>
    <row r="2245" spans="1:6" x14ac:dyDescent="0.25">
      <c r="A2245" s="110"/>
      <c r="B2245" s="125" t="s">
        <v>2103</v>
      </c>
      <c r="C2245" s="138">
        <v>1.75</v>
      </c>
      <c r="D2245" s="138">
        <v>105</v>
      </c>
      <c r="E2245" s="138">
        <v>34.285714285714285</v>
      </c>
      <c r="F2245" s="139">
        <v>1.75</v>
      </c>
    </row>
    <row r="2246" spans="1:6" x14ac:dyDescent="0.25">
      <c r="A2246" s="110"/>
      <c r="B2246" s="125" t="s">
        <v>2104</v>
      </c>
      <c r="C2246" s="138">
        <v>0.1</v>
      </c>
      <c r="D2246" s="138">
        <v>6</v>
      </c>
      <c r="E2246" s="138">
        <v>600</v>
      </c>
      <c r="F2246" s="139">
        <v>0.1</v>
      </c>
    </row>
    <row r="2247" spans="1:6" x14ac:dyDescent="0.25">
      <c r="A2247" s="110"/>
      <c r="B2247" s="125" t="s">
        <v>2105</v>
      </c>
      <c r="C2247" s="138">
        <v>0.1</v>
      </c>
      <c r="D2247" s="138">
        <v>6</v>
      </c>
      <c r="E2247" s="138">
        <v>600</v>
      </c>
      <c r="F2247" s="139">
        <v>0.1</v>
      </c>
    </row>
    <row r="2248" spans="1:6" x14ac:dyDescent="0.25">
      <c r="A2248" s="110"/>
      <c r="B2248" s="125" t="s">
        <v>2106</v>
      </c>
      <c r="C2248" s="138">
        <v>0.1</v>
      </c>
      <c r="D2248" s="138">
        <v>6</v>
      </c>
      <c r="E2248" s="138">
        <v>600</v>
      </c>
      <c r="F2248" s="139">
        <v>0.1</v>
      </c>
    </row>
    <row r="2249" spans="1:6" x14ac:dyDescent="0.25">
      <c r="A2249" s="110"/>
      <c r="B2249" s="125" t="s">
        <v>2107</v>
      </c>
      <c r="C2249" s="138">
        <v>0.1</v>
      </c>
      <c r="D2249" s="138">
        <v>6</v>
      </c>
      <c r="E2249" s="138">
        <v>600</v>
      </c>
      <c r="F2249" s="139">
        <v>0.1</v>
      </c>
    </row>
    <row r="2250" spans="1:6" x14ac:dyDescent="0.25">
      <c r="A2250" s="110"/>
      <c r="B2250" s="125" t="s">
        <v>2108</v>
      </c>
      <c r="C2250" s="138">
        <v>1.6</v>
      </c>
      <c r="D2250" s="138">
        <v>96</v>
      </c>
      <c r="E2250" s="138">
        <v>37.5</v>
      </c>
      <c r="F2250" s="139">
        <v>1.6</v>
      </c>
    </row>
    <row r="2251" spans="1:6" x14ac:dyDescent="0.25">
      <c r="A2251" s="110"/>
      <c r="B2251" s="125" t="s">
        <v>2109</v>
      </c>
      <c r="C2251" s="138">
        <v>1.6</v>
      </c>
      <c r="D2251" s="138">
        <v>96</v>
      </c>
      <c r="E2251" s="138">
        <v>37.5</v>
      </c>
      <c r="F2251" s="139">
        <v>1.6</v>
      </c>
    </row>
    <row r="2252" spans="1:6" x14ac:dyDescent="0.25">
      <c r="A2252" s="110"/>
      <c r="B2252" s="125" t="s">
        <v>2110</v>
      </c>
      <c r="C2252" s="138">
        <v>1.6</v>
      </c>
      <c r="D2252" s="138">
        <v>96</v>
      </c>
      <c r="E2252" s="138">
        <v>37.5</v>
      </c>
      <c r="F2252" s="139">
        <v>1.6</v>
      </c>
    </row>
    <row r="2253" spans="1:6" x14ac:dyDescent="0.25">
      <c r="A2253" s="110"/>
      <c r="B2253" s="125" t="s">
        <v>2111</v>
      </c>
      <c r="C2253" s="138">
        <v>1.6</v>
      </c>
      <c r="D2253" s="138">
        <v>96</v>
      </c>
      <c r="E2253" s="138">
        <v>37.5</v>
      </c>
      <c r="F2253" s="139">
        <v>1.6</v>
      </c>
    </row>
    <row r="2254" spans="1:6" x14ac:dyDescent="0.25">
      <c r="A2254" s="110"/>
      <c r="B2254" s="125" t="s">
        <v>2112</v>
      </c>
      <c r="C2254" s="138">
        <v>1.6</v>
      </c>
      <c r="D2254" s="138">
        <v>96</v>
      </c>
      <c r="E2254" s="138">
        <v>37.5</v>
      </c>
      <c r="F2254" s="139">
        <v>1.6</v>
      </c>
    </row>
    <row r="2255" spans="1:6" x14ac:dyDescent="0.25">
      <c r="A2255" s="110"/>
      <c r="B2255" s="125" t="s">
        <v>2113</v>
      </c>
      <c r="C2255" s="138">
        <v>1.6</v>
      </c>
      <c r="D2255" s="138">
        <v>96</v>
      </c>
      <c r="E2255" s="138">
        <v>37.5</v>
      </c>
      <c r="F2255" s="139">
        <v>1.6</v>
      </c>
    </row>
    <row r="2256" spans="1:6" x14ac:dyDescent="0.25">
      <c r="A2256" s="110"/>
      <c r="B2256" s="125" t="s">
        <v>2114</v>
      </c>
      <c r="C2256" s="138">
        <v>0.7</v>
      </c>
      <c r="D2256" s="138">
        <v>42</v>
      </c>
      <c r="E2256" s="138">
        <v>85.714285714285708</v>
      </c>
      <c r="F2256" s="139">
        <v>0.7</v>
      </c>
    </row>
    <row r="2257" spans="1:6" x14ac:dyDescent="0.25">
      <c r="A2257" s="110"/>
      <c r="B2257" s="125" t="s">
        <v>2115</v>
      </c>
      <c r="C2257" s="138">
        <v>1.5</v>
      </c>
      <c r="D2257" s="138">
        <v>90</v>
      </c>
      <c r="E2257" s="138">
        <v>40</v>
      </c>
      <c r="F2257" s="139">
        <v>1.5</v>
      </c>
    </row>
    <row r="2258" spans="1:6" x14ac:dyDescent="0.25">
      <c r="A2258" s="110"/>
      <c r="B2258" s="125" t="s">
        <v>2116</v>
      </c>
      <c r="C2258" s="138">
        <v>1.5</v>
      </c>
      <c r="D2258" s="138">
        <v>90</v>
      </c>
      <c r="E2258" s="138">
        <v>40</v>
      </c>
      <c r="F2258" s="139">
        <v>1.5</v>
      </c>
    </row>
    <row r="2259" spans="1:6" x14ac:dyDescent="0.25">
      <c r="A2259" s="110"/>
      <c r="B2259" s="125" t="s">
        <v>2117</v>
      </c>
      <c r="C2259" s="138">
        <v>1.5</v>
      </c>
      <c r="D2259" s="138">
        <v>90</v>
      </c>
      <c r="E2259" s="138">
        <v>40</v>
      </c>
      <c r="F2259" s="139">
        <v>1.5</v>
      </c>
    </row>
    <row r="2260" spans="1:6" x14ac:dyDescent="0.25">
      <c r="A2260" s="110"/>
      <c r="B2260" s="125" t="s">
        <v>2118</v>
      </c>
      <c r="C2260" s="138">
        <v>1.5</v>
      </c>
      <c r="D2260" s="138">
        <v>90</v>
      </c>
      <c r="E2260" s="138">
        <v>40</v>
      </c>
      <c r="F2260" s="139">
        <v>1.5</v>
      </c>
    </row>
    <row r="2261" spans="1:6" x14ac:dyDescent="0.25">
      <c r="A2261" s="110"/>
      <c r="B2261" s="125" t="s">
        <v>2119</v>
      </c>
      <c r="C2261" s="138">
        <v>1.5</v>
      </c>
      <c r="D2261" s="138">
        <v>90</v>
      </c>
      <c r="E2261" s="138">
        <v>40</v>
      </c>
      <c r="F2261" s="139">
        <v>1.5</v>
      </c>
    </row>
    <row r="2262" spans="1:6" x14ac:dyDescent="0.25">
      <c r="A2262" s="110"/>
      <c r="B2262" s="125" t="s">
        <v>2120</v>
      </c>
      <c r="C2262" s="138">
        <v>1.5</v>
      </c>
      <c r="D2262" s="138">
        <v>90</v>
      </c>
      <c r="E2262" s="138">
        <v>40</v>
      </c>
      <c r="F2262" s="139">
        <v>1.5</v>
      </c>
    </row>
    <row r="2263" spans="1:6" x14ac:dyDescent="0.25">
      <c r="A2263" s="110"/>
      <c r="B2263" s="125" t="s">
        <v>2121</v>
      </c>
      <c r="C2263" s="138">
        <v>1.5</v>
      </c>
      <c r="D2263" s="138">
        <v>90</v>
      </c>
      <c r="E2263" s="138">
        <v>40</v>
      </c>
      <c r="F2263" s="139">
        <v>1.5</v>
      </c>
    </row>
    <row r="2264" spans="1:6" x14ac:dyDescent="0.25">
      <c r="A2264" s="110"/>
      <c r="B2264" s="125" t="s">
        <v>2122</v>
      </c>
      <c r="C2264" s="138">
        <v>1.5</v>
      </c>
      <c r="D2264" s="138">
        <v>90</v>
      </c>
      <c r="E2264" s="138">
        <v>40</v>
      </c>
      <c r="F2264" s="139">
        <v>1.5</v>
      </c>
    </row>
    <row r="2265" spans="1:6" x14ac:dyDescent="0.25">
      <c r="A2265" s="110"/>
      <c r="B2265" s="125" t="s">
        <v>2123</v>
      </c>
      <c r="C2265" s="138">
        <v>0.61</v>
      </c>
      <c r="D2265" s="138">
        <v>36.6</v>
      </c>
      <c r="E2265" s="138">
        <v>98.360655737704917</v>
      </c>
      <c r="F2265" s="139">
        <v>0.61</v>
      </c>
    </row>
    <row r="2266" spans="1:6" x14ac:dyDescent="0.25">
      <c r="A2266" s="110"/>
      <c r="B2266" s="125" t="s">
        <v>2124</v>
      </c>
      <c r="C2266" s="138">
        <v>0.61</v>
      </c>
      <c r="D2266" s="138">
        <v>36.6</v>
      </c>
      <c r="E2266" s="138">
        <v>98.360655737704917</v>
      </c>
      <c r="F2266" s="139">
        <v>0.61</v>
      </c>
    </row>
    <row r="2267" spans="1:6" x14ac:dyDescent="0.25">
      <c r="A2267" s="110"/>
      <c r="B2267" s="125" t="s">
        <v>2125</v>
      </c>
      <c r="C2267" s="138">
        <v>0.61</v>
      </c>
      <c r="D2267" s="138">
        <v>36.6</v>
      </c>
      <c r="E2267" s="138">
        <v>98.360655737704917</v>
      </c>
      <c r="F2267" s="139">
        <v>0.61</v>
      </c>
    </row>
    <row r="2268" spans="1:6" x14ac:dyDescent="0.25">
      <c r="A2268" s="110"/>
      <c r="B2268" s="125" t="s">
        <v>2126</v>
      </c>
      <c r="C2268" s="138">
        <v>0.61</v>
      </c>
      <c r="D2268" s="138">
        <v>36.6</v>
      </c>
      <c r="E2268" s="138">
        <v>98.360655737704917</v>
      </c>
      <c r="F2268" s="139">
        <v>0.61</v>
      </c>
    </row>
    <row r="2269" spans="1:6" x14ac:dyDescent="0.25">
      <c r="A2269" s="110"/>
      <c r="B2269" s="125" t="s">
        <v>2127</v>
      </c>
      <c r="C2269" s="138">
        <v>0.61</v>
      </c>
      <c r="D2269" s="138">
        <v>36.6</v>
      </c>
      <c r="E2269" s="138">
        <v>98.360655737704917</v>
      </c>
      <c r="F2269" s="139">
        <v>0.61</v>
      </c>
    </row>
    <row r="2270" spans="1:6" x14ac:dyDescent="0.25">
      <c r="A2270" s="110"/>
      <c r="B2270" s="125" t="s">
        <v>2123</v>
      </c>
      <c r="C2270" s="138">
        <v>0.61</v>
      </c>
      <c r="D2270" s="138">
        <v>36.6</v>
      </c>
      <c r="E2270" s="138">
        <v>98.360655737704917</v>
      </c>
      <c r="F2270" s="139">
        <v>0.61</v>
      </c>
    </row>
    <row r="2271" spans="1:6" x14ac:dyDescent="0.25">
      <c r="A2271" s="110"/>
      <c r="B2271" s="125" t="s">
        <v>2128</v>
      </c>
      <c r="C2271" s="138">
        <v>0.61</v>
      </c>
      <c r="D2271" s="138">
        <v>36.6</v>
      </c>
      <c r="E2271" s="138">
        <v>98.360655737704917</v>
      </c>
      <c r="F2271" s="139">
        <v>0.61</v>
      </c>
    </row>
    <row r="2272" spans="1:6" x14ac:dyDescent="0.25">
      <c r="A2272" s="110"/>
      <c r="B2272" s="125" t="s">
        <v>2129</v>
      </c>
      <c r="C2272" s="138">
        <v>0.61</v>
      </c>
      <c r="D2272" s="138">
        <v>36.6</v>
      </c>
      <c r="E2272" s="138">
        <v>98.360655737704917</v>
      </c>
      <c r="F2272" s="139">
        <v>0.61</v>
      </c>
    </row>
    <row r="2273" spans="1:6" x14ac:dyDescent="0.25">
      <c r="A2273" s="110"/>
      <c r="B2273" s="125" t="s">
        <v>2130</v>
      </c>
      <c r="C2273" s="138">
        <v>0.61</v>
      </c>
      <c r="D2273" s="138">
        <v>36.6</v>
      </c>
      <c r="E2273" s="138">
        <v>98.360655737704917</v>
      </c>
      <c r="F2273" s="139">
        <v>0.61</v>
      </c>
    </row>
    <row r="2274" spans="1:6" x14ac:dyDescent="0.25">
      <c r="A2274" s="110"/>
      <c r="B2274" s="125" t="s">
        <v>2123</v>
      </c>
      <c r="C2274" s="138">
        <v>0.61</v>
      </c>
      <c r="D2274" s="138">
        <v>36.6</v>
      </c>
      <c r="E2274" s="138">
        <v>98.360655737704917</v>
      </c>
      <c r="F2274" s="139">
        <v>0.61</v>
      </c>
    </row>
    <row r="2275" spans="1:6" x14ac:dyDescent="0.25">
      <c r="A2275" s="110"/>
      <c r="B2275" s="125" t="s">
        <v>2131</v>
      </c>
      <c r="C2275" s="138">
        <v>0.61</v>
      </c>
      <c r="D2275" s="138">
        <v>36.6</v>
      </c>
      <c r="E2275" s="138">
        <v>98.360655737704917</v>
      </c>
      <c r="F2275" s="139">
        <v>0.61</v>
      </c>
    </row>
    <row r="2276" spans="1:6" x14ac:dyDescent="0.25">
      <c r="A2276" s="110"/>
      <c r="B2276" s="125" t="s">
        <v>2132</v>
      </c>
      <c r="C2276" s="138">
        <v>0.61</v>
      </c>
      <c r="D2276" s="138">
        <v>36.6</v>
      </c>
      <c r="E2276" s="138">
        <v>98.360655737704917</v>
      </c>
      <c r="F2276" s="139">
        <v>0.61</v>
      </c>
    </row>
    <row r="2277" spans="1:6" x14ac:dyDescent="0.25">
      <c r="A2277" s="110"/>
      <c r="B2277" s="125" t="s">
        <v>2133</v>
      </c>
      <c r="C2277" s="138">
        <v>0.61</v>
      </c>
      <c r="D2277" s="138">
        <v>36.6</v>
      </c>
      <c r="E2277" s="138">
        <v>98.360655737704917</v>
      </c>
      <c r="F2277" s="139">
        <v>0.61</v>
      </c>
    </row>
    <row r="2278" spans="1:6" x14ac:dyDescent="0.25">
      <c r="A2278" s="110"/>
      <c r="B2278" s="125" t="s">
        <v>2134</v>
      </c>
      <c r="C2278" s="138">
        <v>0.61</v>
      </c>
      <c r="D2278" s="138">
        <v>36.6</v>
      </c>
      <c r="E2278" s="138">
        <v>98.360655737704917</v>
      </c>
      <c r="F2278" s="139">
        <v>0.61</v>
      </c>
    </row>
    <row r="2279" spans="1:6" x14ac:dyDescent="0.25">
      <c r="A2279" s="110"/>
      <c r="B2279" s="125" t="s">
        <v>2135</v>
      </c>
      <c r="C2279" s="138">
        <v>0.8</v>
      </c>
      <c r="D2279" s="138">
        <v>48</v>
      </c>
      <c r="E2279" s="138">
        <v>75</v>
      </c>
      <c r="F2279" s="139">
        <v>0.8</v>
      </c>
    </row>
    <row r="2280" spans="1:6" x14ac:dyDescent="0.25">
      <c r="A2280" s="110"/>
      <c r="B2280" s="125" t="s">
        <v>2136</v>
      </c>
      <c r="C2280" s="138">
        <v>0.8</v>
      </c>
      <c r="D2280" s="138">
        <v>48</v>
      </c>
      <c r="E2280" s="138">
        <v>75</v>
      </c>
      <c r="F2280" s="139">
        <v>0.8</v>
      </c>
    </row>
    <row r="2281" spans="1:6" x14ac:dyDescent="0.25">
      <c r="A2281" s="110"/>
      <c r="B2281" s="125" t="s">
        <v>2137</v>
      </c>
      <c r="C2281" s="138">
        <v>0.8</v>
      </c>
      <c r="D2281" s="138">
        <v>48</v>
      </c>
      <c r="E2281" s="138">
        <v>75</v>
      </c>
      <c r="F2281" s="139">
        <v>0.8</v>
      </c>
    </row>
    <row r="2282" spans="1:6" x14ac:dyDescent="0.25">
      <c r="A2282" s="110"/>
      <c r="B2282" s="125" t="s">
        <v>2138</v>
      </c>
      <c r="C2282" s="138">
        <v>0.8</v>
      </c>
      <c r="D2282" s="138">
        <v>48</v>
      </c>
      <c r="E2282" s="138">
        <v>75</v>
      </c>
      <c r="F2282" s="139">
        <v>0.8</v>
      </c>
    </row>
    <row r="2283" spans="1:6" x14ac:dyDescent="0.25">
      <c r="A2283" s="110"/>
      <c r="B2283" s="125" t="s">
        <v>2139</v>
      </c>
      <c r="C2283" s="138">
        <v>0.8</v>
      </c>
      <c r="D2283" s="138">
        <v>48</v>
      </c>
      <c r="E2283" s="138">
        <v>75</v>
      </c>
      <c r="F2283" s="139">
        <v>0.8</v>
      </c>
    </row>
    <row r="2284" spans="1:6" x14ac:dyDescent="0.25">
      <c r="A2284" s="110"/>
      <c r="B2284" s="125" t="s">
        <v>2135</v>
      </c>
      <c r="C2284" s="138">
        <v>0.8</v>
      </c>
      <c r="D2284" s="138">
        <v>48</v>
      </c>
      <c r="E2284" s="138">
        <v>75</v>
      </c>
      <c r="F2284" s="139">
        <v>0.8</v>
      </c>
    </row>
    <row r="2285" spans="1:6" x14ac:dyDescent="0.25">
      <c r="A2285" s="110"/>
      <c r="B2285" s="125" t="s">
        <v>2140</v>
      </c>
      <c r="C2285" s="138">
        <v>0.8</v>
      </c>
      <c r="D2285" s="138">
        <v>48</v>
      </c>
      <c r="E2285" s="138">
        <v>75</v>
      </c>
      <c r="F2285" s="139">
        <v>0.8</v>
      </c>
    </row>
    <row r="2286" spans="1:6" x14ac:dyDescent="0.25">
      <c r="A2286" s="110"/>
      <c r="B2286" s="125" t="s">
        <v>2141</v>
      </c>
      <c r="C2286" s="138">
        <v>0.8</v>
      </c>
      <c r="D2286" s="138">
        <v>48</v>
      </c>
      <c r="E2286" s="138">
        <v>75</v>
      </c>
      <c r="F2286" s="139">
        <v>0.8</v>
      </c>
    </row>
    <row r="2287" spans="1:6" x14ac:dyDescent="0.25">
      <c r="A2287" s="110"/>
      <c r="B2287" s="125" t="s">
        <v>2142</v>
      </c>
      <c r="C2287" s="138">
        <v>0.8</v>
      </c>
      <c r="D2287" s="138">
        <v>48</v>
      </c>
      <c r="E2287" s="138">
        <v>75</v>
      </c>
      <c r="F2287" s="139">
        <v>0.8</v>
      </c>
    </row>
    <row r="2288" spans="1:6" x14ac:dyDescent="0.25">
      <c r="A2288" s="110"/>
      <c r="B2288" s="125" t="s">
        <v>2135</v>
      </c>
      <c r="C2288" s="138">
        <v>0.8</v>
      </c>
      <c r="D2288" s="138">
        <v>48</v>
      </c>
      <c r="E2288" s="138">
        <v>75</v>
      </c>
      <c r="F2288" s="139">
        <v>0.8</v>
      </c>
    </row>
    <row r="2289" spans="1:6" x14ac:dyDescent="0.25">
      <c r="A2289" s="110"/>
      <c r="B2289" s="125" t="s">
        <v>2143</v>
      </c>
      <c r="C2289" s="138">
        <v>0.8</v>
      </c>
      <c r="D2289" s="138">
        <v>48</v>
      </c>
      <c r="E2289" s="138">
        <v>75</v>
      </c>
      <c r="F2289" s="139">
        <v>0.8</v>
      </c>
    </row>
    <row r="2290" spans="1:6" x14ac:dyDescent="0.25">
      <c r="A2290" s="110"/>
      <c r="B2290" s="125" t="s">
        <v>2144</v>
      </c>
      <c r="C2290" s="138">
        <v>0.8</v>
      </c>
      <c r="D2290" s="138">
        <v>48</v>
      </c>
      <c r="E2290" s="138">
        <v>75</v>
      </c>
      <c r="F2290" s="139">
        <v>0.8</v>
      </c>
    </row>
    <row r="2291" spans="1:6" x14ac:dyDescent="0.25">
      <c r="A2291" s="110"/>
      <c r="B2291" s="125" t="s">
        <v>2145</v>
      </c>
      <c r="C2291" s="138">
        <v>0.8</v>
      </c>
      <c r="D2291" s="138">
        <v>48</v>
      </c>
      <c r="E2291" s="138">
        <v>75</v>
      </c>
      <c r="F2291" s="139">
        <v>0.8</v>
      </c>
    </row>
    <row r="2292" spans="1:6" x14ac:dyDescent="0.25">
      <c r="A2292" s="110"/>
      <c r="B2292" s="125" t="s">
        <v>2146</v>
      </c>
      <c r="C2292" s="138">
        <v>1.6</v>
      </c>
      <c r="D2292" s="138">
        <v>96</v>
      </c>
      <c r="E2292" s="138">
        <v>37.5</v>
      </c>
      <c r="F2292" s="139">
        <v>1.6</v>
      </c>
    </row>
    <row r="2293" spans="1:6" x14ac:dyDescent="0.25">
      <c r="A2293" s="110"/>
      <c r="B2293" s="125" t="s">
        <v>2147</v>
      </c>
      <c r="C2293" s="138">
        <v>1.6</v>
      </c>
      <c r="D2293" s="138">
        <v>96</v>
      </c>
      <c r="E2293" s="138">
        <v>37.5</v>
      </c>
      <c r="F2293" s="139">
        <v>1.6</v>
      </c>
    </row>
    <row r="2294" spans="1:6" x14ac:dyDescent="0.25">
      <c r="A2294" s="110"/>
      <c r="B2294" s="125" t="s">
        <v>2148</v>
      </c>
      <c r="C2294" s="138">
        <v>1</v>
      </c>
      <c r="D2294" s="138">
        <v>60</v>
      </c>
      <c r="E2294" s="138">
        <v>60</v>
      </c>
      <c r="F2294" s="139">
        <v>1</v>
      </c>
    </row>
    <row r="2295" spans="1:6" x14ac:dyDescent="0.25">
      <c r="A2295" s="110"/>
      <c r="B2295" s="125" t="s">
        <v>2149</v>
      </c>
      <c r="C2295" s="138">
        <v>1</v>
      </c>
      <c r="D2295" s="138">
        <v>60</v>
      </c>
      <c r="E2295" s="138">
        <v>60</v>
      </c>
      <c r="F2295" s="139">
        <v>1</v>
      </c>
    </row>
    <row r="2296" spans="1:6" x14ac:dyDescent="0.25">
      <c r="A2296" s="110"/>
      <c r="B2296" s="125" t="s">
        <v>2150</v>
      </c>
      <c r="C2296" s="138">
        <v>1.5</v>
      </c>
      <c r="D2296" s="138">
        <v>90</v>
      </c>
      <c r="E2296" s="138">
        <v>40</v>
      </c>
      <c r="F2296" s="139">
        <v>1.5</v>
      </c>
    </row>
    <row r="2297" spans="1:6" x14ac:dyDescent="0.25">
      <c r="A2297" s="110"/>
      <c r="B2297" s="125" t="s">
        <v>2151</v>
      </c>
      <c r="C2297" s="138">
        <v>1.5</v>
      </c>
      <c r="D2297" s="138">
        <v>90</v>
      </c>
      <c r="E2297" s="138">
        <v>40</v>
      </c>
      <c r="F2297" s="139">
        <v>1.5</v>
      </c>
    </row>
    <row r="2298" spans="1:6" x14ac:dyDescent="0.25">
      <c r="A2298" s="110"/>
      <c r="B2298" s="125" t="s">
        <v>2152</v>
      </c>
      <c r="C2298" s="138">
        <v>1.5</v>
      </c>
      <c r="D2298" s="138">
        <v>90</v>
      </c>
      <c r="E2298" s="138">
        <v>40</v>
      </c>
      <c r="F2298" s="139">
        <v>1.5</v>
      </c>
    </row>
    <row r="2299" spans="1:6" x14ac:dyDescent="0.25">
      <c r="A2299" s="110"/>
      <c r="B2299" s="125" t="s">
        <v>2153</v>
      </c>
      <c r="C2299" s="138">
        <v>1.5</v>
      </c>
      <c r="D2299" s="138">
        <v>90</v>
      </c>
      <c r="E2299" s="138">
        <v>40</v>
      </c>
      <c r="F2299" s="139">
        <v>1.5</v>
      </c>
    </row>
    <row r="2300" spans="1:6" x14ac:dyDescent="0.25">
      <c r="A2300" s="110"/>
      <c r="B2300" s="125" t="s">
        <v>2154</v>
      </c>
      <c r="C2300" s="138">
        <v>0.85</v>
      </c>
      <c r="D2300" s="138">
        <v>51</v>
      </c>
      <c r="E2300" s="138">
        <v>70.588235294117652</v>
      </c>
      <c r="F2300" s="139">
        <v>0.85</v>
      </c>
    </row>
    <row r="2301" spans="1:6" x14ac:dyDescent="0.25">
      <c r="A2301" s="110"/>
      <c r="B2301" s="125" t="s">
        <v>2155</v>
      </c>
      <c r="C2301" s="138">
        <v>0.85</v>
      </c>
      <c r="D2301" s="138">
        <v>51</v>
      </c>
      <c r="E2301" s="138">
        <v>70.588235294117652</v>
      </c>
      <c r="F2301" s="139">
        <v>0.85</v>
      </c>
    </row>
    <row r="2302" spans="1:6" x14ac:dyDescent="0.25">
      <c r="A2302" s="110"/>
      <c r="B2302" s="125" t="s">
        <v>2156</v>
      </c>
      <c r="C2302" s="138">
        <v>0.85</v>
      </c>
      <c r="D2302" s="138">
        <v>51</v>
      </c>
      <c r="E2302" s="138">
        <v>70.588235294117652</v>
      </c>
      <c r="F2302" s="139">
        <v>0.85</v>
      </c>
    </row>
    <row r="2303" spans="1:6" x14ac:dyDescent="0.25">
      <c r="A2303" s="110"/>
      <c r="B2303" s="125" t="s">
        <v>2157</v>
      </c>
      <c r="C2303" s="138">
        <v>0.85</v>
      </c>
      <c r="D2303" s="138">
        <v>51</v>
      </c>
      <c r="E2303" s="138">
        <v>70.588235294117652</v>
      </c>
      <c r="F2303" s="139">
        <v>0.85</v>
      </c>
    </row>
    <row r="2304" spans="1:6" x14ac:dyDescent="0.25">
      <c r="A2304" s="110"/>
      <c r="B2304" s="125" t="s">
        <v>2158</v>
      </c>
      <c r="C2304" s="138">
        <v>0.85</v>
      </c>
      <c r="D2304" s="138">
        <v>51</v>
      </c>
      <c r="E2304" s="138">
        <v>70.588235294117652</v>
      </c>
      <c r="F2304" s="139">
        <v>0.85</v>
      </c>
    </row>
    <row r="2305" spans="1:6" x14ac:dyDescent="0.25">
      <c r="A2305" s="110"/>
      <c r="B2305" s="125" t="s">
        <v>2159</v>
      </c>
      <c r="C2305" s="138">
        <v>0.85</v>
      </c>
      <c r="D2305" s="138">
        <v>51</v>
      </c>
      <c r="E2305" s="138">
        <v>70.588235294117652</v>
      </c>
      <c r="F2305" s="139">
        <v>0.85</v>
      </c>
    </row>
    <row r="2306" spans="1:6" x14ac:dyDescent="0.25">
      <c r="A2306" s="110"/>
      <c r="B2306" s="125" t="s">
        <v>2160</v>
      </c>
      <c r="C2306" s="138">
        <v>0.85</v>
      </c>
      <c r="D2306" s="138">
        <v>51</v>
      </c>
      <c r="E2306" s="138">
        <v>70.588235294117652</v>
      </c>
      <c r="F2306" s="139">
        <v>0.85</v>
      </c>
    </row>
    <row r="2307" spans="1:6" x14ac:dyDescent="0.25">
      <c r="A2307" s="110"/>
      <c r="B2307" s="125" t="s">
        <v>2161</v>
      </c>
      <c r="C2307" s="138">
        <v>0.85</v>
      </c>
      <c r="D2307" s="138">
        <v>51</v>
      </c>
      <c r="E2307" s="138">
        <v>70.588235294117652</v>
      </c>
      <c r="F2307" s="139">
        <v>0.85</v>
      </c>
    </row>
    <row r="2308" spans="1:6" x14ac:dyDescent="0.25">
      <c r="A2308" s="110"/>
      <c r="B2308" s="125" t="s">
        <v>2162</v>
      </c>
      <c r="C2308" s="138">
        <v>0.85</v>
      </c>
      <c r="D2308" s="138">
        <v>51</v>
      </c>
      <c r="E2308" s="138">
        <v>70.588235294117652</v>
      </c>
      <c r="F2308" s="139">
        <v>0.85</v>
      </c>
    </row>
    <row r="2309" spans="1:6" x14ac:dyDescent="0.25">
      <c r="A2309" s="110"/>
      <c r="B2309" s="125" t="s">
        <v>2163</v>
      </c>
      <c r="C2309" s="138">
        <v>0.85</v>
      </c>
      <c r="D2309" s="138">
        <v>51</v>
      </c>
      <c r="E2309" s="138">
        <v>70.588235294117652</v>
      </c>
      <c r="F2309" s="139">
        <v>0.85</v>
      </c>
    </row>
    <row r="2310" spans="1:6" x14ac:dyDescent="0.25">
      <c r="A2310" s="110"/>
      <c r="B2310" s="125" t="s">
        <v>2164</v>
      </c>
      <c r="C2310" s="138">
        <v>0.85</v>
      </c>
      <c r="D2310" s="138">
        <v>51</v>
      </c>
      <c r="E2310" s="138">
        <v>70.588235294117652</v>
      </c>
      <c r="F2310" s="139">
        <v>0.85</v>
      </c>
    </row>
    <row r="2311" spans="1:6" x14ac:dyDescent="0.25">
      <c r="A2311" s="110"/>
      <c r="B2311" s="125" t="s">
        <v>2165</v>
      </c>
      <c r="C2311" s="138">
        <v>0.85</v>
      </c>
      <c r="D2311" s="138">
        <v>51</v>
      </c>
      <c r="E2311" s="138">
        <v>70.588235294117652</v>
      </c>
      <c r="F2311" s="139">
        <v>0.85</v>
      </c>
    </row>
    <row r="2312" spans="1:6" x14ac:dyDescent="0.25">
      <c r="A2312" s="110"/>
      <c r="B2312" s="125" t="s">
        <v>2166</v>
      </c>
      <c r="C2312" s="138">
        <v>0.85</v>
      </c>
      <c r="D2312" s="138">
        <v>51</v>
      </c>
      <c r="E2312" s="138">
        <v>70.588235294117652</v>
      </c>
      <c r="F2312" s="139">
        <v>0.85</v>
      </c>
    </row>
    <row r="2313" spans="1:6" x14ac:dyDescent="0.25">
      <c r="A2313" s="110"/>
      <c r="B2313" s="125" t="s">
        <v>2167</v>
      </c>
      <c r="C2313" s="138">
        <v>0.85</v>
      </c>
      <c r="D2313" s="138">
        <v>51</v>
      </c>
      <c r="E2313" s="138">
        <v>70.588235294117652</v>
      </c>
      <c r="F2313" s="139">
        <v>0.85</v>
      </c>
    </row>
    <row r="2314" spans="1:6" x14ac:dyDescent="0.25">
      <c r="A2314" s="110"/>
      <c r="B2314" s="125" t="s">
        <v>2168</v>
      </c>
      <c r="C2314" s="138">
        <v>0.85</v>
      </c>
      <c r="D2314" s="138">
        <v>51</v>
      </c>
      <c r="E2314" s="138">
        <v>70.588235294117652</v>
      </c>
      <c r="F2314" s="139">
        <v>0.85</v>
      </c>
    </row>
    <row r="2315" spans="1:6" x14ac:dyDescent="0.25">
      <c r="A2315" s="110"/>
      <c r="B2315" s="125" t="s">
        <v>2169</v>
      </c>
      <c r="C2315" s="138">
        <v>0.85</v>
      </c>
      <c r="D2315" s="138">
        <v>51</v>
      </c>
      <c r="E2315" s="138">
        <v>70.588235294117652</v>
      </c>
      <c r="F2315" s="139">
        <v>0.85</v>
      </c>
    </row>
    <row r="2316" spans="1:6" x14ac:dyDescent="0.25">
      <c r="A2316" s="110"/>
      <c r="B2316" s="125" t="s">
        <v>2170</v>
      </c>
      <c r="C2316" s="138">
        <v>0.85</v>
      </c>
      <c r="D2316" s="138">
        <v>51</v>
      </c>
      <c r="E2316" s="138">
        <v>70.588235294117652</v>
      </c>
      <c r="F2316" s="139">
        <v>0.85</v>
      </c>
    </row>
    <row r="2317" spans="1:6" x14ac:dyDescent="0.25">
      <c r="A2317" s="110"/>
      <c r="B2317" s="125" t="s">
        <v>2171</v>
      </c>
      <c r="C2317" s="138">
        <v>0.85</v>
      </c>
      <c r="D2317" s="138">
        <v>51</v>
      </c>
      <c r="E2317" s="138">
        <v>70.588235294117652</v>
      </c>
      <c r="F2317" s="139">
        <v>0.85</v>
      </c>
    </row>
    <row r="2318" spans="1:6" x14ac:dyDescent="0.25">
      <c r="A2318" s="110"/>
      <c r="B2318" s="125" t="s">
        <v>2172</v>
      </c>
      <c r="C2318" s="138">
        <v>0.85</v>
      </c>
      <c r="D2318" s="138">
        <v>51</v>
      </c>
      <c r="E2318" s="138">
        <v>70.588235294117652</v>
      </c>
      <c r="F2318" s="139">
        <v>0.85</v>
      </c>
    </row>
    <row r="2319" spans="1:6" x14ac:dyDescent="0.25">
      <c r="A2319" s="110"/>
      <c r="B2319" s="125" t="s">
        <v>2173</v>
      </c>
      <c r="C2319" s="138">
        <v>0.85</v>
      </c>
      <c r="D2319" s="138">
        <v>51</v>
      </c>
      <c r="E2319" s="138">
        <v>70.588235294117652</v>
      </c>
      <c r="F2319" s="139">
        <v>0.85</v>
      </c>
    </row>
    <row r="2320" spans="1:6" x14ac:dyDescent="0.25">
      <c r="A2320" s="110"/>
      <c r="B2320" s="125" t="s">
        <v>2174</v>
      </c>
      <c r="C2320" s="138">
        <v>0.85</v>
      </c>
      <c r="D2320" s="138">
        <v>51</v>
      </c>
      <c r="E2320" s="138">
        <v>70.588235294117652</v>
      </c>
      <c r="F2320" s="139">
        <v>0.85</v>
      </c>
    </row>
    <row r="2321" spans="1:6" x14ac:dyDescent="0.25">
      <c r="A2321" s="110"/>
      <c r="B2321" s="125" t="s">
        <v>2175</v>
      </c>
      <c r="C2321" s="138">
        <v>0.85</v>
      </c>
      <c r="D2321" s="138">
        <v>51</v>
      </c>
      <c r="E2321" s="138">
        <v>70.588235294117652</v>
      </c>
      <c r="F2321" s="139">
        <v>0.85</v>
      </c>
    </row>
    <row r="2322" spans="1:6" x14ac:dyDescent="0.25">
      <c r="A2322" s="110"/>
      <c r="B2322" s="125" t="s">
        <v>2176</v>
      </c>
      <c r="C2322" s="138">
        <v>0.85</v>
      </c>
      <c r="D2322" s="138">
        <v>51</v>
      </c>
      <c r="E2322" s="138">
        <v>70.588235294117652</v>
      </c>
      <c r="F2322" s="139">
        <v>0.85</v>
      </c>
    </row>
    <row r="2323" spans="1:6" x14ac:dyDescent="0.25">
      <c r="A2323" s="110"/>
      <c r="B2323" s="125" t="s">
        <v>2177</v>
      </c>
      <c r="C2323" s="138">
        <v>0.85</v>
      </c>
      <c r="D2323" s="138">
        <v>51</v>
      </c>
      <c r="E2323" s="138">
        <v>70.588235294117652</v>
      </c>
      <c r="F2323" s="139">
        <v>0.85</v>
      </c>
    </row>
    <row r="2324" spans="1:6" x14ac:dyDescent="0.25">
      <c r="A2324" s="110"/>
      <c r="B2324" s="125" t="s">
        <v>2178</v>
      </c>
      <c r="C2324" s="138">
        <v>0.85</v>
      </c>
      <c r="D2324" s="138">
        <v>51</v>
      </c>
      <c r="E2324" s="138">
        <v>70.588235294117652</v>
      </c>
      <c r="F2324" s="139">
        <v>0.85</v>
      </c>
    </row>
    <row r="2325" spans="1:6" x14ac:dyDescent="0.25">
      <c r="A2325" s="110"/>
      <c r="B2325" s="125" t="s">
        <v>2178</v>
      </c>
      <c r="C2325" s="138">
        <v>0.85</v>
      </c>
      <c r="D2325" s="138">
        <v>51</v>
      </c>
      <c r="E2325" s="138">
        <v>70.588235294117652</v>
      </c>
      <c r="F2325" s="139">
        <v>0.85</v>
      </c>
    </row>
    <row r="2326" spans="1:6" x14ac:dyDescent="0.25">
      <c r="A2326" s="110"/>
      <c r="B2326" s="125" t="s">
        <v>2179</v>
      </c>
      <c r="C2326" s="138">
        <v>0.85</v>
      </c>
      <c r="D2326" s="138">
        <v>51</v>
      </c>
      <c r="E2326" s="138">
        <v>70.588235294117652</v>
      </c>
      <c r="F2326" s="139">
        <v>0.85</v>
      </c>
    </row>
    <row r="2327" spans="1:6" x14ac:dyDescent="0.25">
      <c r="A2327" s="110"/>
      <c r="B2327" s="125" t="s">
        <v>2180</v>
      </c>
      <c r="C2327" s="138">
        <v>0.85</v>
      </c>
      <c r="D2327" s="138">
        <v>51</v>
      </c>
      <c r="E2327" s="138">
        <v>70.588235294117652</v>
      </c>
      <c r="F2327" s="139">
        <v>0.85</v>
      </c>
    </row>
    <row r="2328" spans="1:6" x14ac:dyDescent="0.25">
      <c r="A2328" s="110"/>
      <c r="B2328" s="125" t="s">
        <v>2181</v>
      </c>
      <c r="C2328" s="138">
        <v>0.85</v>
      </c>
      <c r="D2328" s="138">
        <v>51</v>
      </c>
      <c r="E2328" s="138">
        <v>70.588235294117652</v>
      </c>
      <c r="F2328" s="139">
        <v>0.85</v>
      </c>
    </row>
    <row r="2329" spans="1:6" x14ac:dyDescent="0.25">
      <c r="A2329" s="110"/>
      <c r="B2329" s="125" t="s">
        <v>2182</v>
      </c>
      <c r="C2329" s="138">
        <v>0.85</v>
      </c>
      <c r="D2329" s="138">
        <v>51</v>
      </c>
      <c r="E2329" s="138">
        <v>70.588235294117652</v>
      </c>
      <c r="F2329" s="139">
        <v>0.85</v>
      </c>
    </row>
    <row r="2330" spans="1:6" x14ac:dyDescent="0.25">
      <c r="A2330" s="110"/>
      <c r="B2330" s="125" t="s">
        <v>2183</v>
      </c>
      <c r="C2330" s="138">
        <v>0.85</v>
      </c>
      <c r="D2330" s="138">
        <v>51</v>
      </c>
      <c r="E2330" s="138">
        <v>70.588235294117652</v>
      </c>
      <c r="F2330" s="139">
        <v>0.85</v>
      </c>
    </row>
    <row r="2331" spans="1:6" x14ac:dyDescent="0.25">
      <c r="A2331" s="110"/>
      <c r="B2331" s="125" t="s">
        <v>2184</v>
      </c>
      <c r="C2331" s="138">
        <v>0.85</v>
      </c>
      <c r="D2331" s="138">
        <v>51</v>
      </c>
      <c r="E2331" s="138">
        <v>70.588235294117652</v>
      </c>
      <c r="F2331" s="139">
        <v>0.85</v>
      </c>
    </row>
    <row r="2332" spans="1:6" x14ac:dyDescent="0.25">
      <c r="A2332" s="110"/>
      <c r="B2332" s="125" t="s">
        <v>2185</v>
      </c>
      <c r="C2332" s="138">
        <v>0.85</v>
      </c>
      <c r="D2332" s="138">
        <v>51</v>
      </c>
      <c r="E2332" s="138">
        <v>70.588235294117652</v>
      </c>
      <c r="F2332" s="139">
        <v>0.85</v>
      </c>
    </row>
    <row r="2333" spans="1:6" x14ac:dyDescent="0.25">
      <c r="A2333" s="110"/>
      <c r="B2333" s="125" t="s">
        <v>2186</v>
      </c>
      <c r="C2333" s="138">
        <v>0.85</v>
      </c>
      <c r="D2333" s="138">
        <v>51</v>
      </c>
      <c r="E2333" s="138">
        <v>70.588235294117652</v>
      </c>
      <c r="F2333" s="139">
        <v>0.85</v>
      </c>
    </row>
    <row r="2334" spans="1:6" x14ac:dyDescent="0.25">
      <c r="A2334" s="110"/>
      <c r="B2334" s="125" t="s">
        <v>2187</v>
      </c>
      <c r="C2334" s="138">
        <v>0.85</v>
      </c>
      <c r="D2334" s="138">
        <v>51</v>
      </c>
      <c r="E2334" s="138">
        <v>70.588235294117652</v>
      </c>
      <c r="F2334" s="139">
        <v>0.85</v>
      </c>
    </row>
    <row r="2335" spans="1:6" x14ac:dyDescent="0.25">
      <c r="A2335" s="110"/>
      <c r="B2335" s="125" t="s">
        <v>2188</v>
      </c>
      <c r="C2335" s="138">
        <v>0.85</v>
      </c>
      <c r="D2335" s="138">
        <v>51</v>
      </c>
      <c r="E2335" s="138">
        <v>70.588235294117652</v>
      </c>
      <c r="F2335" s="139">
        <v>0.85</v>
      </c>
    </row>
    <row r="2336" spans="1:6" x14ac:dyDescent="0.25">
      <c r="A2336" s="110"/>
      <c r="B2336" s="125" t="s">
        <v>2189</v>
      </c>
      <c r="C2336" s="138">
        <v>0.85</v>
      </c>
      <c r="D2336" s="138">
        <v>51</v>
      </c>
      <c r="E2336" s="138">
        <v>70.588235294117652</v>
      </c>
      <c r="F2336" s="139">
        <v>0.85</v>
      </c>
    </row>
    <row r="2337" spans="1:6" x14ac:dyDescent="0.25">
      <c r="A2337" s="110"/>
      <c r="B2337" s="125" t="s">
        <v>2190</v>
      </c>
      <c r="C2337" s="138">
        <v>0.85</v>
      </c>
      <c r="D2337" s="138">
        <v>51</v>
      </c>
      <c r="E2337" s="138">
        <v>70.588235294117652</v>
      </c>
      <c r="F2337" s="139">
        <v>0.85</v>
      </c>
    </row>
    <row r="2338" spans="1:6" x14ac:dyDescent="0.25">
      <c r="A2338" s="110"/>
      <c r="B2338" s="125" t="s">
        <v>2191</v>
      </c>
      <c r="C2338" s="138">
        <v>0.85</v>
      </c>
      <c r="D2338" s="138">
        <v>51</v>
      </c>
      <c r="E2338" s="138">
        <v>70.588235294117652</v>
      </c>
      <c r="F2338" s="139">
        <v>0.85</v>
      </c>
    </row>
    <row r="2339" spans="1:6" x14ac:dyDescent="0.25">
      <c r="A2339" s="110"/>
      <c r="B2339" s="125" t="s">
        <v>2192</v>
      </c>
      <c r="C2339" s="138">
        <v>0.85</v>
      </c>
      <c r="D2339" s="138">
        <v>51</v>
      </c>
      <c r="E2339" s="138">
        <v>70.588235294117652</v>
      </c>
      <c r="F2339" s="139">
        <v>0.85</v>
      </c>
    </row>
    <row r="2340" spans="1:6" x14ac:dyDescent="0.25">
      <c r="A2340" s="110"/>
      <c r="B2340" s="125" t="s">
        <v>2193</v>
      </c>
      <c r="C2340" s="138">
        <v>0.85</v>
      </c>
      <c r="D2340" s="138">
        <v>51</v>
      </c>
      <c r="E2340" s="138">
        <v>70.588235294117652</v>
      </c>
      <c r="F2340" s="139">
        <v>0.85</v>
      </c>
    </row>
    <row r="2341" spans="1:6" x14ac:dyDescent="0.25">
      <c r="A2341" s="110"/>
      <c r="B2341" s="125" t="s">
        <v>2192</v>
      </c>
      <c r="C2341" s="138">
        <v>0.85</v>
      </c>
      <c r="D2341" s="138">
        <v>51</v>
      </c>
      <c r="E2341" s="138">
        <v>70.588235294117652</v>
      </c>
      <c r="F2341" s="139">
        <v>0.85</v>
      </c>
    </row>
    <row r="2342" spans="1:6" x14ac:dyDescent="0.25">
      <c r="A2342" s="110"/>
      <c r="B2342" s="125" t="s">
        <v>2193</v>
      </c>
      <c r="C2342" s="138">
        <v>0.85</v>
      </c>
      <c r="D2342" s="138">
        <v>51</v>
      </c>
      <c r="E2342" s="138">
        <v>70.588235294117652</v>
      </c>
      <c r="F2342" s="139">
        <v>0.85</v>
      </c>
    </row>
    <row r="2343" spans="1:6" x14ac:dyDescent="0.25">
      <c r="A2343" s="110"/>
      <c r="B2343" s="125" t="s">
        <v>2194</v>
      </c>
      <c r="C2343" s="138">
        <v>0.85</v>
      </c>
      <c r="D2343" s="138">
        <v>51</v>
      </c>
      <c r="E2343" s="138">
        <v>70.588235294117652</v>
      </c>
      <c r="F2343" s="139">
        <v>0.85</v>
      </c>
    </row>
    <row r="2344" spans="1:6" x14ac:dyDescent="0.25">
      <c r="A2344" s="110"/>
      <c r="B2344" s="125" t="s">
        <v>2195</v>
      </c>
      <c r="C2344" s="138">
        <v>0.85</v>
      </c>
      <c r="D2344" s="138">
        <v>51</v>
      </c>
      <c r="E2344" s="138">
        <v>70.588235294117652</v>
      </c>
      <c r="F2344" s="139">
        <v>0.85</v>
      </c>
    </row>
    <row r="2345" spans="1:6" x14ac:dyDescent="0.25">
      <c r="A2345" s="110"/>
      <c r="B2345" s="125" t="s">
        <v>2194</v>
      </c>
      <c r="C2345" s="138">
        <v>0.85</v>
      </c>
      <c r="D2345" s="138">
        <v>51</v>
      </c>
      <c r="E2345" s="138">
        <v>70.588235294117652</v>
      </c>
      <c r="F2345" s="139">
        <v>0.85</v>
      </c>
    </row>
    <row r="2346" spans="1:6" x14ac:dyDescent="0.25">
      <c r="A2346" s="110"/>
      <c r="B2346" s="125" t="s">
        <v>2195</v>
      </c>
      <c r="C2346" s="138">
        <v>0.85</v>
      </c>
      <c r="D2346" s="138">
        <v>51</v>
      </c>
      <c r="E2346" s="138">
        <v>70.588235294117652</v>
      </c>
      <c r="F2346" s="139">
        <v>0.85</v>
      </c>
    </row>
    <row r="2347" spans="1:6" x14ac:dyDescent="0.25">
      <c r="A2347" s="110"/>
      <c r="B2347" s="125" t="s">
        <v>2186</v>
      </c>
      <c r="C2347" s="138">
        <v>0.85</v>
      </c>
      <c r="D2347" s="138">
        <v>51</v>
      </c>
      <c r="E2347" s="138">
        <v>70.588235294117652</v>
      </c>
      <c r="F2347" s="139">
        <v>0.85</v>
      </c>
    </row>
    <row r="2348" spans="1:6" x14ac:dyDescent="0.25">
      <c r="A2348" s="110"/>
      <c r="B2348" s="125" t="s">
        <v>2187</v>
      </c>
      <c r="C2348" s="138">
        <v>0.85</v>
      </c>
      <c r="D2348" s="138">
        <v>51</v>
      </c>
      <c r="E2348" s="138">
        <v>70.588235294117652</v>
      </c>
      <c r="F2348" s="139">
        <v>0.85</v>
      </c>
    </row>
    <row r="2349" spans="1:6" x14ac:dyDescent="0.25">
      <c r="A2349" s="110"/>
      <c r="B2349" s="125" t="s">
        <v>2192</v>
      </c>
      <c r="C2349" s="138">
        <v>0.85</v>
      </c>
      <c r="D2349" s="138">
        <v>51</v>
      </c>
      <c r="E2349" s="138">
        <v>70.588235294117652</v>
      </c>
      <c r="F2349" s="139">
        <v>0.85</v>
      </c>
    </row>
    <row r="2350" spans="1:6" x14ac:dyDescent="0.25">
      <c r="A2350" s="110"/>
      <c r="B2350" s="125" t="s">
        <v>2193</v>
      </c>
      <c r="C2350" s="138">
        <v>0.85</v>
      </c>
      <c r="D2350" s="138">
        <v>51</v>
      </c>
      <c r="E2350" s="138">
        <v>70.588235294117652</v>
      </c>
      <c r="F2350" s="139">
        <v>0.85</v>
      </c>
    </row>
    <row r="2351" spans="1:6" x14ac:dyDescent="0.25">
      <c r="A2351" s="110"/>
      <c r="B2351" s="125" t="s">
        <v>2196</v>
      </c>
      <c r="C2351" s="138">
        <v>0.85</v>
      </c>
      <c r="D2351" s="138">
        <v>51</v>
      </c>
      <c r="E2351" s="138">
        <v>70.588235294117652</v>
      </c>
      <c r="F2351" s="139">
        <v>0.85</v>
      </c>
    </row>
    <row r="2352" spans="1:6" x14ac:dyDescent="0.25">
      <c r="A2352" s="110"/>
      <c r="B2352" s="125" t="s">
        <v>2197</v>
      </c>
      <c r="C2352" s="138">
        <v>0.85</v>
      </c>
      <c r="D2352" s="138">
        <v>51</v>
      </c>
      <c r="E2352" s="138">
        <v>70.588235294117652</v>
      </c>
      <c r="F2352" s="139">
        <v>0.85</v>
      </c>
    </row>
    <row r="2353" spans="1:6" x14ac:dyDescent="0.25">
      <c r="A2353" s="110"/>
      <c r="B2353" s="125" t="s">
        <v>2198</v>
      </c>
      <c r="C2353" s="138">
        <v>0.85</v>
      </c>
      <c r="D2353" s="138">
        <v>51</v>
      </c>
      <c r="E2353" s="138">
        <v>70.588235294117652</v>
      </c>
      <c r="F2353" s="139">
        <v>0.85</v>
      </c>
    </row>
    <row r="2354" spans="1:6" x14ac:dyDescent="0.25">
      <c r="A2354" s="110"/>
      <c r="B2354" s="125" t="s">
        <v>2199</v>
      </c>
      <c r="C2354" s="138">
        <v>0.85</v>
      </c>
      <c r="D2354" s="138">
        <v>51</v>
      </c>
      <c r="E2354" s="138">
        <v>70.588235294117652</v>
      </c>
      <c r="F2354" s="139">
        <v>0.85</v>
      </c>
    </row>
    <row r="2355" spans="1:6" x14ac:dyDescent="0.25">
      <c r="A2355" s="110"/>
      <c r="B2355" s="125" t="s">
        <v>2182</v>
      </c>
      <c r="C2355" s="138">
        <v>0.85</v>
      </c>
      <c r="D2355" s="138">
        <v>51</v>
      </c>
      <c r="E2355" s="138">
        <v>70.588235294117652</v>
      </c>
      <c r="F2355" s="139">
        <v>0.85</v>
      </c>
    </row>
    <row r="2356" spans="1:6" x14ac:dyDescent="0.25">
      <c r="A2356" s="110"/>
      <c r="B2356" s="125" t="s">
        <v>2183</v>
      </c>
      <c r="C2356" s="138">
        <v>0.85</v>
      </c>
      <c r="D2356" s="138">
        <v>51</v>
      </c>
      <c r="E2356" s="138">
        <v>70.588235294117652</v>
      </c>
      <c r="F2356" s="139">
        <v>0.85</v>
      </c>
    </row>
    <row r="2357" spans="1:6" x14ac:dyDescent="0.25">
      <c r="A2357" s="110"/>
      <c r="B2357" s="125" t="s">
        <v>2184</v>
      </c>
      <c r="C2357" s="138">
        <v>0.85</v>
      </c>
      <c r="D2357" s="138">
        <v>51</v>
      </c>
      <c r="E2357" s="138">
        <v>70.588235294117652</v>
      </c>
      <c r="F2357" s="139">
        <v>0.85</v>
      </c>
    </row>
    <row r="2358" spans="1:6" x14ac:dyDescent="0.25">
      <c r="A2358" s="110"/>
      <c r="B2358" s="125" t="s">
        <v>2185</v>
      </c>
      <c r="C2358" s="138">
        <v>0.85</v>
      </c>
      <c r="D2358" s="138">
        <v>51</v>
      </c>
      <c r="E2358" s="138">
        <v>70.588235294117652</v>
      </c>
      <c r="F2358" s="139">
        <v>0.85</v>
      </c>
    </row>
    <row r="2359" spans="1:6" x14ac:dyDescent="0.25">
      <c r="A2359" s="110"/>
      <c r="B2359" s="125" t="s">
        <v>2200</v>
      </c>
      <c r="C2359" s="138">
        <v>0.85</v>
      </c>
      <c r="D2359" s="138">
        <v>51</v>
      </c>
      <c r="E2359" s="138">
        <v>70.588235294117652</v>
      </c>
      <c r="F2359" s="139">
        <v>0.85</v>
      </c>
    </row>
    <row r="2360" spans="1:6" x14ac:dyDescent="0.25">
      <c r="A2360" s="110"/>
      <c r="B2360" s="125" t="s">
        <v>2201</v>
      </c>
      <c r="C2360" s="138">
        <v>0.85</v>
      </c>
      <c r="D2360" s="138">
        <v>51</v>
      </c>
      <c r="E2360" s="138">
        <v>70.588235294117652</v>
      </c>
      <c r="F2360" s="139">
        <v>0.85</v>
      </c>
    </row>
    <row r="2361" spans="1:6" x14ac:dyDescent="0.25">
      <c r="A2361" s="110"/>
      <c r="B2361" s="125" t="s">
        <v>2202</v>
      </c>
      <c r="C2361" s="138">
        <v>0.85</v>
      </c>
      <c r="D2361" s="138">
        <v>51</v>
      </c>
      <c r="E2361" s="138">
        <v>70.588235294117652</v>
      </c>
      <c r="F2361" s="139">
        <v>0.85</v>
      </c>
    </row>
    <row r="2362" spans="1:6" x14ac:dyDescent="0.25">
      <c r="A2362" s="110"/>
      <c r="B2362" s="125" t="s">
        <v>2203</v>
      </c>
      <c r="C2362" s="138">
        <v>0.85</v>
      </c>
      <c r="D2362" s="138">
        <v>51</v>
      </c>
      <c r="E2362" s="138">
        <v>70.588235294117652</v>
      </c>
      <c r="F2362" s="139">
        <v>0.85</v>
      </c>
    </row>
    <row r="2363" spans="1:6" x14ac:dyDescent="0.25">
      <c r="A2363" s="110"/>
      <c r="B2363" s="125" t="s">
        <v>2204</v>
      </c>
      <c r="C2363" s="138">
        <v>0.85</v>
      </c>
      <c r="D2363" s="138">
        <v>51</v>
      </c>
      <c r="E2363" s="138">
        <v>70.588235294117652</v>
      </c>
      <c r="F2363" s="139">
        <v>0.85</v>
      </c>
    </row>
    <row r="2364" spans="1:6" x14ac:dyDescent="0.25">
      <c r="A2364" s="110"/>
      <c r="B2364" s="125" t="s">
        <v>2205</v>
      </c>
      <c r="C2364" s="138">
        <v>0.85</v>
      </c>
      <c r="D2364" s="138">
        <v>51</v>
      </c>
      <c r="E2364" s="138">
        <v>70.588235294117652</v>
      </c>
      <c r="F2364" s="139">
        <v>0.85</v>
      </c>
    </row>
    <row r="2365" spans="1:6" x14ac:dyDescent="0.25">
      <c r="A2365" s="110"/>
      <c r="B2365" s="125" t="s">
        <v>2206</v>
      </c>
      <c r="C2365" s="138">
        <v>0.85</v>
      </c>
      <c r="D2365" s="138">
        <v>51</v>
      </c>
      <c r="E2365" s="138">
        <v>70.588235294117652</v>
      </c>
      <c r="F2365" s="139">
        <v>0.85</v>
      </c>
    </row>
    <row r="2366" spans="1:6" x14ac:dyDescent="0.25">
      <c r="A2366" s="110"/>
      <c r="B2366" s="125" t="s">
        <v>2207</v>
      </c>
      <c r="C2366" s="138">
        <v>0.85</v>
      </c>
      <c r="D2366" s="138">
        <v>51</v>
      </c>
      <c r="E2366" s="138">
        <v>70.588235294117652</v>
      </c>
      <c r="F2366" s="139">
        <v>0.85</v>
      </c>
    </row>
    <row r="2367" spans="1:6" x14ac:dyDescent="0.25">
      <c r="A2367" s="110"/>
      <c r="B2367" s="125" t="s">
        <v>2208</v>
      </c>
      <c r="C2367" s="138">
        <v>0.85</v>
      </c>
      <c r="D2367" s="138">
        <v>51</v>
      </c>
      <c r="E2367" s="138">
        <v>70.588235294117652</v>
      </c>
      <c r="F2367" s="139">
        <v>0.85</v>
      </c>
    </row>
    <row r="2368" spans="1:6" x14ac:dyDescent="0.25">
      <c r="A2368" s="110"/>
      <c r="B2368" s="125" t="s">
        <v>2209</v>
      </c>
      <c r="C2368" s="138">
        <v>0.85</v>
      </c>
      <c r="D2368" s="138">
        <v>51</v>
      </c>
      <c r="E2368" s="138">
        <v>70.588235294117652</v>
      </c>
      <c r="F2368" s="139">
        <v>0.85</v>
      </c>
    </row>
    <row r="2369" spans="1:6" x14ac:dyDescent="0.25">
      <c r="A2369" s="110"/>
      <c r="B2369" s="125" t="s">
        <v>2210</v>
      </c>
      <c r="C2369" s="138">
        <v>0.85</v>
      </c>
      <c r="D2369" s="138">
        <v>51</v>
      </c>
      <c r="E2369" s="138">
        <v>70.588235294117652</v>
      </c>
      <c r="F2369" s="139">
        <v>0.85</v>
      </c>
    </row>
    <row r="2370" spans="1:6" x14ac:dyDescent="0.25">
      <c r="A2370" s="110"/>
      <c r="B2370" s="125" t="s">
        <v>2211</v>
      </c>
      <c r="C2370" s="138">
        <v>0.85</v>
      </c>
      <c r="D2370" s="138">
        <v>51</v>
      </c>
      <c r="E2370" s="138">
        <v>70.588235294117652</v>
      </c>
      <c r="F2370" s="139">
        <v>0.85</v>
      </c>
    </row>
    <row r="2371" spans="1:6" x14ac:dyDescent="0.25">
      <c r="A2371" s="110"/>
      <c r="B2371" s="125" t="s">
        <v>2212</v>
      </c>
      <c r="C2371" s="138">
        <v>0.85</v>
      </c>
      <c r="D2371" s="138">
        <v>51</v>
      </c>
      <c r="E2371" s="138">
        <v>70.588235294117652</v>
      </c>
      <c r="F2371" s="139">
        <v>0.85</v>
      </c>
    </row>
    <row r="2372" spans="1:6" x14ac:dyDescent="0.25">
      <c r="A2372" s="110"/>
      <c r="B2372" s="125" t="s">
        <v>2213</v>
      </c>
      <c r="C2372" s="138">
        <v>0.85</v>
      </c>
      <c r="D2372" s="138">
        <v>51</v>
      </c>
      <c r="E2372" s="138">
        <v>70.588235294117652</v>
      </c>
      <c r="F2372" s="139">
        <v>0.85</v>
      </c>
    </row>
    <row r="2373" spans="1:6" x14ac:dyDescent="0.25">
      <c r="A2373" s="110"/>
      <c r="B2373" s="125" t="s">
        <v>2214</v>
      </c>
      <c r="C2373" s="138">
        <v>0.85</v>
      </c>
      <c r="D2373" s="138">
        <v>51</v>
      </c>
      <c r="E2373" s="138">
        <v>70.588235294117652</v>
      </c>
      <c r="F2373" s="139">
        <v>0.85</v>
      </c>
    </row>
    <row r="2374" spans="1:6" x14ac:dyDescent="0.25">
      <c r="A2374" s="110"/>
      <c r="B2374" s="125" t="s">
        <v>2215</v>
      </c>
      <c r="C2374" s="138">
        <v>0.85</v>
      </c>
      <c r="D2374" s="138">
        <v>51</v>
      </c>
      <c r="E2374" s="138">
        <v>70.588235294117652</v>
      </c>
      <c r="F2374" s="139">
        <v>0.85</v>
      </c>
    </row>
    <row r="2375" spans="1:6" x14ac:dyDescent="0.25">
      <c r="A2375" s="110"/>
      <c r="B2375" s="125" t="s">
        <v>2216</v>
      </c>
      <c r="C2375" s="138">
        <v>0.85</v>
      </c>
      <c r="D2375" s="138">
        <v>51</v>
      </c>
      <c r="E2375" s="138">
        <v>70.588235294117652</v>
      </c>
      <c r="F2375" s="139">
        <v>0.85</v>
      </c>
    </row>
    <row r="2376" spans="1:6" x14ac:dyDescent="0.25">
      <c r="A2376" s="110"/>
      <c r="B2376" s="125" t="s">
        <v>2217</v>
      </c>
      <c r="C2376" s="138">
        <v>0.85</v>
      </c>
      <c r="D2376" s="138">
        <v>51</v>
      </c>
      <c r="E2376" s="138">
        <v>70.588235294117652</v>
      </c>
      <c r="F2376" s="139">
        <v>0.85</v>
      </c>
    </row>
    <row r="2377" spans="1:6" x14ac:dyDescent="0.25">
      <c r="A2377" s="110"/>
      <c r="B2377" s="125" t="s">
        <v>2218</v>
      </c>
      <c r="C2377" s="138">
        <v>0.85</v>
      </c>
      <c r="D2377" s="138">
        <v>51</v>
      </c>
      <c r="E2377" s="138">
        <v>70.588235294117652</v>
      </c>
      <c r="F2377" s="139">
        <v>0.85</v>
      </c>
    </row>
    <row r="2378" spans="1:6" x14ac:dyDescent="0.25">
      <c r="A2378" s="110"/>
      <c r="B2378" s="125" t="s">
        <v>2219</v>
      </c>
      <c r="C2378" s="138">
        <v>0.85</v>
      </c>
      <c r="D2378" s="138">
        <v>51</v>
      </c>
      <c r="E2378" s="138">
        <v>70.588235294117652</v>
      </c>
      <c r="F2378" s="139">
        <v>0.85</v>
      </c>
    </row>
    <row r="2379" spans="1:6" x14ac:dyDescent="0.25">
      <c r="A2379" s="110"/>
      <c r="B2379" s="125" t="s">
        <v>2220</v>
      </c>
      <c r="C2379" s="138">
        <v>0.85</v>
      </c>
      <c r="D2379" s="138">
        <v>51</v>
      </c>
      <c r="E2379" s="138">
        <v>70.588235294117652</v>
      </c>
      <c r="F2379" s="139">
        <v>0.85</v>
      </c>
    </row>
    <row r="2380" spans="1:6" x14ac:dyDescent="0.25">
      <c r="A2380" s="110"/>
      <c r="B2380" s="125" t="s">
        <v>2221</v>
      </c>
      <c r="C2380" s="138">
        <v>0.85</v>
      </c>
      <c r="D2380" s="138">
        <v>51</v>
      </c>
      <c r="E2380" s="138">
        <v>70.588235294117652</v>
      </c>
      <c r="F2380" s="139">
        <v>0.85</v>
      </c>
    </row>
    <row r="2381" spans="1:6" x14ac:dyDescent="0.25">
      <c r="A2381" s="110"/>
      <c r="B2381" s="125" t="s">
        <v>2222</v>
      </c>
      <c r="C2381" s="138">
        <v>0.85</v>
      </c>
      <c r="D2381" s="138">
        <v>51</v>
      </c>
      <c r="E2381" s="138">
        <v>70.588235294117652</v>
      </c>
      <c r="F2381" s="139">
        <v>0.85</v>
      </c>
    </row>
    <row r="2382" spans="1:6" x14ac:dyDescent="0.25">
      <c r="A2382" s="110"/>
      <c r="B2382" s="125" t="s">
        <v>2223</v>
      </c>
      <c r="C2382" s="138">
        <v>0.85</v>
      </c>
      <c r="D2382" s="138">
        <v>51</v>
      </c>
      <c r="E2382" s="138">
        <v>70.588235294117652</v>
      </c>
      <c r="F2382" s="139">
        <v>0.85</v>
      </c>
    </row>
    <row r="2383" spans="1:6" x14ac:dyDescent="0.25">
      <c r="A2383" s="110"/>
      <c r="B2383" s="125" t="s">
        <v>2224</v>
      </c>
      <c r="C2383" s="138">
        <v>0.85</v>
      </c>
      <c r="D2383" s="138">
        <v>51</v>
      </c>
      <c r="E2383" s="138">
        <v>70.588235294117652</v>
      </c>
      <c r="F2383" s="139">
        <v>0.85</v>
      </c>
    </row>
    <row r="2384" spans="1:6" x14ac:dyDescent="0.25">
      <c r="A2384" s="110"/>
      <c r="B2384" s="125" t="s">
        <v>2225</v>
      </c>
      <c r="C2384" s="138">
        <v>0.85</v>
      </c>
      <c r="D2384" s="138">
        <v>51</v>
      </c>
      <c r="E2384" s="138">
        <v>70.588235294117652</v>
      </c>
      <c r="F2384" s="139">
        <v>0.85</v>
      </c>
    </row>
    <row r="2385" spans="1:6" x14ac:dyDescent="0.25">
      <c r="A2385" s="110"/>
      <c r="B2385" s="125" t="s">
        <v>2226</v>
      </c>
      <c r="C2385" s="138">
        <v>0.85</v>
      </c>
      <c r="D2385" s="138">
        <v>51</v>
      </c>
      <c r="E2385" s="138">
        <v>70.588235294117652</v>
      </c>
      <c r="F2385" s="139">
        <v>0.85</v>
      </c>
    </row>
    <row r="2386" spans="1:6" x14ac:dyDescent="0.25">
      <c r="A2386" s="110"/>
      <c r="B2386" s="125" t="s">
        <v>2227</v>
      </c>
      <c r="C2386" s="138">
        <v>0.85</v>
      </c>
      <c r="D2386" s="138">
        <v>51</v>
      </c>
      <c r="E2386" s="138">
        <v>70.588235294117652</v>
      </c>
      <c r="F2386" s="139">
        <v>0.85</v>
      </c>
    </row>
    <row r="2387" spans="1:6" x14ac:dyDescent="0.25">
      <c r="A2387" s="110"/>
      <c r="B2387" s="125" t="s">
        <v>2228</v>
      </c>
      <c r="C2387" s="138">
        <v>0.85</v>
      </c>
      <c r="D2387" s="138">
        <v>51</v>
      </c>
      <c r="E2387" s="138">
        <v>70.588235294117652</v>
      </c>
      <c r="F2387" s="139">
        <v>0.85</v>
      </c>
    </row>
    <row r="2388" spans="1:6" x14ac:dyDescent="0.25">
      <c r="A2388" s="110"/>
      <c r="B2388" s="125" t="s">
        <v>2229</v>
      </c>
      <c r="C2388" s="138">
        <v>0.85</v>
      </c>
      <c r="D2388" s="138">
        <v>51</v>
      </c>
      <c r="E2388" s="138">
        <v>70.588235294117652</v>
      </c>
      <c r="F2388" s="139">
        <v>0.85</v>
      </c>
    </row>
    <row r="2389" spans="1:6" x14ac:dyDescent="0.25">
      <c r="A2389" s="110"/>
      <c r="B2389" s="125" t="s">
        <v>2230</v>
      </c>
      <c r="C2389" s="138">
        <v>1.21</v>
      </c>
      <c r="D2389" s="138">
        <v>72.599999999999994</v>
      </c>
      <c r="E2389" s="138">
        <v>49.586776859504134</v>
      </c>
      <c r="F2389" s="139">
        <v>1.21</v>
      </c>
    </row>
    <row r="2390" spans="1:6" x14ac:dyDescent="0.25">
      <c r="A2390" s="110"/>
      <c r="B2390" s="125" t="s">
        <v>2231</v>
      </c>
      <c r="C2390" s="138">
        <v>0.86</v>
      </c>
      <c r="D2390" s="138">
        <v>51.6</v>
      </c>
      <c r="E2390" s="138">
        <v>69.767441860465112</v>
      </c>
      <c r="F2390" s="139">
        <v>0.86</v>
      </c>
    </row>
    <row r="2391" spans="1:6" x14ac:dyDescent="0.25">
      <c r="A2391" s="110"/>
      <c r="B2391" s="125" t="s">
        <v>2232</v>
      </c>
      <c r="C2391" s="138">
        <v>0.69</v>
      </c>
      <c r="D2391" s="138">
        <v>41.4</v>
      </c>
      <c r="E2391" s="138">
        <v>86.956521739130437</v>
      </c>
      <c r="F2391" s="139">
        <v>0.69</v>
      </c>
    </row>
    <row r="2392" spans="1:6" x14ac:dyDescent="0.25">
      <c r="A2392" s="110"/>
      <c r="B2392" s="125" t="s">
        <v>2233</v>
      </c>
      <c r="C2392" s="138">
        <v>2.41</v>
      </c>
      <c r="D2392" s="138">
        <v>144.60000000000002</v>
      </c>
      <c r="E2392" s="138">
        <v>24.896265560165972</v>
      </c>
      <c r="F2392" s="139">
        <v>2.41</v>
      </c>
    </row>
    <row r="2393" spans="1:6" x14ac:dyDescent="0.25">
      <c r="A2393" s="110"/>
      <c r="B2393" s="125" t="s">
        <v>2234</v>
      </c>
      <c r="C2393" s="138">
        <v>0.77</v>
      </c>
      <c r="D2393" s="138">
        <v>46.2</v>
      </c>
      <c r="E2393" s="138">
        <v>77.922077922077918</v>
      </c>
      <c r="F2393" s="139">
        <v>0.77</v>
      </c>
    </row>
    <row r="2394" spans="1:6" x14ac:dyDescent="0.25">
      <c r="A2394" s="110"/>
      <c r="B2394" s="125" t="s">
        <v>190</v>
      </c>
      <c r="C2394" s="138">
        <v>0.35</v>
      </c>
      <c r="D2394" s="138">
        <v>21</v>
      </c>
      <c r="E2394" s="138">
        <v>171.42857142857142</v>
      </c>
      <c r="F2394" s="139">
        <v>0.35</v>
      </c>
    </row>
    <row r="2395" spans="1:6" x14ac:dyDescent="0.25">
      <c r="A2395" s="110"/>
      <c r="B2395" s="125" t="s">
        <v>2235</v>
      </c>
      <c r="C2395" s="138">
        <v>0.83</v>
      </c>
      <c r="D2395" s="138">
        <v>49.8</v>
      </c>
      <c r="E2395" s="138">
        <v>72.289156626506028</v>
      </c>
      <c r="F2395" s="139">
        <v>0.83</v>
      </c>
    </row>
    <row r="2396" spans="1:6" x14ac:dyDescent="0.25">
      <c r="A2396" s="110"/>
      <c r="B2396" s="125" t="s">
        <v>2236</v>
      </c>
      <c r="C2396" s="138">
        <v>0.77</v>
      </c>
      <c r="D2396" s="138">
        <v>46.2</v>
      </c>
      <c r="E2396" s="138">
        <v>77.922077922077918</v>
      </c>
      <c r="F2396" s="139">
        <v>0.77</v>
      </c>
    </row>
    <row r="2397" spans="1:6" x14ac:dyDescent="0.25">
      <c r="A2397" s="110"/>
      <c r="B2397" s="125" t="s">
        <v>2237</v>
      </c>
      <c r="C2397" s="138">
        <v>0.23</v>
      </c>
      <c r="D2397" s="138">
        <v>13.8</v>
      </c>
      <c r="E2397" s="138">
        <v>260.86956521739131</v>
      </c>
      <c r="F2397" s="139">
        <v>0.23</v>
      </c>
    </row>
    <row r="2398" spans="1:6" x14ac:dyDescent="0.25">
      <c r="A2398" s="110"/>
      <c r="B2398" s="125" t="s">
        <v>2238</v>
      </c>
      <c r="C2398" s="138">
        <v>0.23</v>
      </c>
      <c r="D2398" s="138">
        <v>13.8</v>
      </c>
      <c r="E2398" s="138">
        <v>260.86956521739131</v>
      </c>
      <c r="F2398" s="139">
        <v>0.23</v>
      </c>
    </row>
    <row r="2399" spans="1:6" x14ac:dyDescent="0.25">
      <c r="A2399" s="110"/>
      <c r="B2399" s="125" t="s">
        <v>2239</v>
      </c>
      <c r="C2399" s="138">
        <v>0.54</v>
      </c>
      <c r="D2399" s="138">
        <v>32.400000000000006</v>
      </c>
      <c r="E2399" s="138">
        <v>111.11111111111109</v>
      </c>
      <c r="F2399" s="139">
        <v>0.54</v>
      </c>
    </row>
    <row r="2400" spans="1:6" x14ac:dyDescent="0.25">
      <c r="A2400" s="110"/>
      <c r="B2400" s="125" t="s">
        <v>2240</v>
      </c>
      <c r="C2400" s="138">
        <v>0.54</v>
      </c>
      <c r="D2400" s="138">
        <v>32.400000000000006</v>
      </c>
      <c r="E2400" s="138">
        <v>111.11111111111109</v>
      </c>
      <c r="F2400" s="139">
        <v>0.54</v>
      </c>
    </row>
    <row r="2401" spans="1:6" x14ac:dyDescent="0.25">
      <c r="A2401" s="110"/>
      <c r="B2401" s="125" t="s">
        <v>2241</v>
      </c>
      <c r="C2401" s="138">
        <v>0.28000000000000003</v>
      </c>
      <c r="D2401" s="138">
        <v>16.8</v>
      </c>
      <c r="E2401" s="138">
        <v>214.28571428571428</v>
      </c>
      <c r="F2401" s="139">
        <v>0.28000000000000003</v>
      </c>
    </row>
    <row r="2402" spans="1:6" x14ac:dyDescent="0.25">
      <c r="A2402" s="110"/>
      <c r="B2402" s="125" t="s">
        <v>213</v>
      </c>
      <c r="C2402" s="138">
        <v>0.28000000000000003</v>
      </c>
      <c r="D2402" s="138">
        <v>16.8</v>
      </c>
      <c r="E2402" s="138">
        <v>214.28571428571428</v>
      </c>
      <c r="F2402" s="139">
        <v>0.28000000000000003</v>
      </c>
    </row>
    <row r="2403" spans="1:6" x14ac:dyDescent="0.25">
      <c r="A2403" s="110"/>
      <c r="B2403" s="125" t="s">
        <v>23</v>
      </c>
      <c r="C2403" s="138">
        <v>0.28000000000000003</v>
      </c>
      <c r="D2403" s="138">
        <v>16.8</v>
      </c>
      <c r="E2403" s="138">
        <v>214.28571428571428</v>
      </c>
      <c r="F2403" s="139">
        <v>0.28000000000000003</v>
      </c>
    </row>
    <row r="2404" spans="1:6" x14ac:dyDescent="0.25">
      <c r="A2404" s="110"/>
      <c r="B2404" s="125" t="s">
        <v>24</v>
      </c>
      <c r="C2404" s="138">
        <v>0.28000000000000003</v>
      </c>
      <c r="D2404" s="138">
        <v>16.8</v>
      </c>
      <c r="E2404" s="138">
        <v>214.28571428571428</v>
      </c>
      <c r="F2404" s="139">
        <v>0.28000000000000003</v>
      </c>
    </row>
    <row r="2405" spans="1:6" x14ac:dyDescent="0.25">
      <c r="A2405" s="110"/>
      <c r="B2405" s="125" t="s">
        <v>2242</v>
      </c>
      <c r="C2405" s="138">
        <v>0.36</v>
      </c>
      <c r="D2405" s="138">
        <v>21.599999999999998</v>
      </c>
      <c r="E2405" s="138">
        <v>166.66666666666669</v>
      </c>
      <c r="F2405" s="139">
        <v>0.36</v>
      </c>
    </row>
    <row r="2406" spans="1:6" x14ac:dyDescent="0.25">
      <c r="A2406" s="110"/>
      <c r="B2406" s="125" t="s">
        <v>2243</v>
      </c>
      <c r="C2406" s="138">
        <v>0.23</v>
      </c>
      <c r="D2406" s="138">
        <v>13.8</v>
      </c>
      <c r="E2406" s="138">
        <v>260.86956521739131</v>
      </c>
      <c r="F2406" s="139">
        <v>0.23</v>
      </c>
    </row>
    <row r="2407" spans="1:6" x14ac:dyDescent="0.25">
      <c r="A2407" s="110"/>
      <c r="B2407" s="125" t="s">
        <v>191</v>
      </c>
      <c r="C2407" s="138">
        <v>0.36</v>
      </c>
      <c r="D2407" s="138">
        <v>21.599999999999998</v>
      </c>
      <c r="E2407" s="138">
        <v>166.66666666666669</v>
      </c>
      <c r="F2407" s="139">
        <v>0.36</v>
      </c>
    </row>
    <row r="2408" spans="1:6" x14ac:dyDescent="0.25">
      <c r="A2408" s="110"/>
      <c r="B2408" s="125" t="s">
        <v>2244</v>
      </c>
      <c r="C2408" s="138">
        <v>0.23</v>
      </c>
      <c r="D2408" s="138">
        <v>13.8</v>
      </c>
      <c r="E2408" s="138">
        <v>260.86956521739131</v>
      </c>
      <c r="F2408" s="139">
        <v>0.23</v>
      </c>
    </row>
    <row r="2409" spans="1:6" x14ac:dyDescent="0.25">
      <c r="A2409" s="110"/>
      <c r="B2409" s="125" t="s">
        <v>192</v>
      </c>
      <c r="C2409" s="138">
        <v>0.36</v>
      </c>
      <c r="D2409" s="138">
        <v>21.599999999999998</v>
      </c>
      <c r="E2409" s="138">
        <v>166.66666666666669</v>
      </c>
      <c r="F2409" s="139">
        <v>0.36</v>
      </c>
    </row>
    <row r="2410" spans="1:6" x14ac:dyDescent="0.25">
      <c r="A2410" s="110"/>
      <c r="B2410" s="125" t="s">
        <v>25</v>
      </c>
      <c r="C2410" s="138">
        <v>0.36</v>
      </c>
      <c r="D2410" s="138">
        <v>21.599999999999998</v>
      </c>
      <c r="E2410" s="138">
        <v>166.66666666666669</v>
      </c>
      <c r="F2410" s="139">
        <v>0.36</v>
      </c>
    </row>
    <row r="2411" spans="1:6" x14ac:dyDescent="0.25">
      <c r="A2411" s="110"/>
      <c r="B2411" s="125" t="s">
        <v>193</v>
      </c>
      <c r="C2411" s="138">
        <v>0.36</v>
      </c>
      <c r="D2411" s="138">
        <v>21.599999999999998</v>
      </c>
      <c r="E2411" s="138">
        <v>166.66666666666669</v>
      </c>
      <c r="F2411" s="139">
        <v>0.36</v>
      </c>
    </row>
    <row r="2412" spans="1:6" x14ac:dyDescent="0.25">
      <c r="A2412" s="110"/>
      <c r="B2412" s="125" t="s">
        <v>26</v>
      </c>
      <c r="C2412" s="138">
        <v>0.36</v>
      </c>
      <c r="D2412" s="138">
        <v>21.599999999999998</v>
      </c>
      <c r="E2412" s="138">
        <v>166.66666666666669</v>
      </c>
      <c r="F2412" s="139">
        <v>0.36</v>
      </c>
    </row>
    <row r="2413" spans="1:6" x14ac:dyDescent="0.25">
      <c r="A2413" s="110"/>
      <c r="B2413" s="125" t="s">
        <v>2245</v>
      </c>
      <c r="C2413" s="138">
        <v>0.23</v>
      </c>
      <c r="D2413" s="138">
        <v>13.8</v>
      </c>
      <c r="E2413" s="138">
        <v>260.86956521739131</v>
      </c>
      <c r="F2413" s="139">
        <v>0.23</v>
      </c>
    </row>
    <row r="2414" spans="1:6" x14ac:dyDescent="0.25">
      <c r="A2414" s="110"/>
      <c r="B2414" s="125" t="s">
        <v>194</v>
      </c>
      <c r="C2414" s="138">
        <v>0.23</v>
      </c>
      <c r="D2414" s="138">
        <v>13.8</v>
      </c>
      <c r="E2414" s="138">
        <v>260.86956521739131</v>
      </c>
      <c r="F2414" s="139">
        <v>0.23</v>
      </c>
    </row>
    <row r="2415" spans="1:6" x14ac:dyDescent="0.25">
      <c r="A2415" s="110"/>
      <c r="B2415" s="125" t="s">
        <v>195</v>
      </c>
      <c r="C2415" s="138">
        <v>0.36</v>
      </c>
      <c r="D2415" s="138">
        <v>21.599999999999998</v>
      </c>
      <c r="E2415" s="138">
        <v>166.66666666666669</v>
      </c>
      <c r="F2415" s="139">
        <v>0.36</v>
      </c>
    </row>
    <row r="2416" spans="1:6" x14ac:dyDescent="0.25">
      <c r="A2416" s="110"/>
      <c r="B2416" s="125" t="s">
        <v>196</v>
      </c>
      <c r="C2416" s="138">
        <v>0.36</v>
      </c>
      <c r="D2416" s="138">
        <v>21.599999999999998</v>
      </c>
      <c r="E2416" s="138">
        <v>166.66666666666669</v>
      </c>
      <c r="F2416" s="139">
        <v>0.36</v>
      </c>
    </row>
    <row r="2417" spans="1:6" x14ac:dyDescent="0.25">
      <c r="A2417" s="110"/>
      <c r="B2417" s="125" t="s">
        <v>2246</v>
      </c>
      <c r="C2417" s="138">
        <v>0</v>
      </c>
      <c r="D2417" s="138">
        <v>0</v>
      </c>
      <c r="E2417" s="138" t="e">
        <v>#DIV/0!</v>
      </c>
      <c r="F2417" s="139">
        <v>0</v>
      </c>
    </row>
    <row r="2418" spans="1:6" x14ac:dyDescent="0.25">
      <c r="A2418" s="110"/>
      <c r="B2418" s="125" t="s">
        <v>2246</v>
      </c>
      <c r="C2418" s="138">
        <v>0</v>
      </c>
      <c r="D2418" s="138">
        <v>0</v>
      </c>
      <c r="E2418" s="138" t="e">
        <v>#DIV/0!</v>
      </c>
      <c r="F2418" s="139">
        <v>0</v>
      </c>
    </row>
    <row r="2419" spans="1:6" x14ac:dyDescent="0.25">
      <c r="A2419" s="110"/>
      <c r="B2419" s="125" t="s">
        <v>2247</v>
      </c>
      <c r="C2419" s="138">
        <v>0</v>
      </c>
      <c r="D2419" s="138">
        <v>0</v>
      </c>
      <c r="E2419" s="138" t="e">
        <v>#DIV/0!</v>
      </c>
      <c r="F2419" s="139">
        <v>0</v>
      </c>
    </row>
    <row r="2420" spans="1:6" x14ac:dyDescent="0.25">
      <c r="A2420" s="110"/>
      <c r="B2420" s="125" t="s">
        <v>2247</v>
      </c>
      <c r="C2420" s="138">
        <v>0</v>
      </c>
      <c r="D2420" s="138">
        <v>0</v>
      </c>
      <c r="E2420" s="138" t="e">
        <v>#DIV/0!</v>
      </c>
      <c r="F2420" s="139">
        <v>0</v>
      </c>
    </row>
    <row r="2421" spans="1:6" x14ac:dyDescent="0.25">
      <c r="A2421" s="110"/>
      <c r="B2421" s="125" t="s">
        <v>2248</v>
      </c>
      <c r="C2421" s="138">
        <v>0</v>
      </c>
      <c r="D2421" s="138">
        <v>0</v>
      </c>
      <c r="E2421" s="138" t="e">
        <v>#DIV/0!</v>
      </c>
      <c r="F2421" s="139">
        <v>0</v>
      </c>
    </row>
    <row r="2422" spans="1:6" x14ac:dyDescent="0.25">
      <c r="A2422" s="110"/>
      <c r="B2422" s="125" t="s">
        <v>2249</v>
      </c>
      <c r="C2422" s="138">
        <v>0</v>
      </c>
      <c r="D2422" s="138">
        <v>0</v>
      </c>
      <c r="E2422" s="138" t="e">
        <v>#DIV/0!</v>
      </c>
      <c r="F2422" s="139">
        <v>0</v>
      </c>
    </row>
    <row r="2423" spans="1:6" x14ac:dyDescent="0.25">
      <c r="A2423" s="110"/>
      <c r="B2423" s="125" t="s">
        <v>2250</v>
      </c>
      <c r="C2423" s="138">
        <v>0</v>
      </c>
      <c r="D2423" s="138">
        <v>0</v>
      </c>
      <c r="E2423" s="138" t="e">
        <v>#DIV/0!</v>
      </c>
      <c r="F2423" s="139">
        <v>0</v>
      </c>
    </row>
    <row r="2424" spans="1:6" x14ac:dyDescent="0.25">
      <c r="A2424" s="110"/>
      <c r="B2424" s="125" t="s">
        <v>2251</v>
      </c>
      <c r="C2424" s="138">
        <v>0</v>
      </c>
      <c r="D2424" s="138">
        <v>0</v>
      </c>
      <c r="E2424" s="138" t="e">
        <v>#DIV/0!</v>
      </c>
      <c r="F2424" s="139">
        <v>0</v>
      </c>
    </row>
    <row r="2425" spans="1:6" x14ac:dyDescent="0.25">
      <c r="A2425" s="110"/>
      <c r="B2425" s="125" t="s">
        <v>2252</v>
      </c>
      <c r="C2425" s="138">
        <v>0</v>
      </c>
      <c r="D2425" s="138">
        <v>0</v>
      </c>
      <c r="E2425" s="138" t="e">
        <v>#DIV/0!</v>
      </c>
      <c r="F2425" s="139">
        <v>0</v>
      </c>
    </row>
    <row r="2426" spans="1:6" x14ac:dyDescent="0.25">
      <c r="A2426" s="110"/>
      <c r="B2426" s="125" t="s">
        <v>2253</v>
      </c>
      <c r="C2426" s="138">
        <v>0</v>
      </c>
      <c r="D2426" s="138">
        <v>0</v>
      </c>
      <c r="E2426" s="138" t="e">
        <v>#DIV/0!</v>
      </c>
      <c r="F2426" s="139">
        <v>0</v>
      </c>
    </row>
    <row r="2427" spans="1:6" x14ac:dyDescent="0.25">
      <c r="A2427" s="110"/>
      <c r="B2427" s="125" t="s">
        <v>2254</v>
      </c>
      <c r="C2427" s="138">
        <v>0</v>
      </c>
      <c r="D2427" s="138">
        <v>0</v>
      </c>
      <c r="E2427" s="138" t="e">
        <v>#DIV/0!</v>
      </c>
      <c r="F2427" s="139">
        <v>0</v>
      </c>
    </row>
    <row r="2428" spans="1:6" x14ac:dyDescent="0.25">
      <c r="A2428" s="110"/>
      <c r="B2428" s="125" t="s">
        <v>2255</v>
      </c>
      <c r="C2428" s="138">
        <v>0</v>
      </c>
      <c r="D2428" s="138">
        <v>0</v>
      </c>
      <c r="E2428" s="138" t="e">
        <v>#DIV/0!</v>
      </c>
      <c r="F2428" s="139">
        <v>0</v>
      </c>
    </row>
    <row r="2429" spans="1:6" x14ac:dyDescent="0.25">
      <c r="A2429" s="110"/>
      <c r="B2429" s="125" t="s">
        <v>1</v>
      </c>
      <c r="C2429" s="138">
        <v>0.7</v>
      </c>
      <c r="D2429" s="138">
        <v>42</v>
      </c>
      <c r="E2429" s="138">
        <v>85.714285714285708</v>
      </c>
      <c r="F2429" s="139">
        <v>0.7</v>
      </c>
    </row>
    <row r="2430" spans="1:6" x14ac:dyDescent="0.25">
      <c r="A2430" s="110"/>
      <c r="B2430" s="125" t="s">
        <v>2256</v>
      </c>
      <c r="C2430" s="138">
        <v>1.7</v>
      </c>
      <c r="D2430" s="138">
        <v>102</v>
      </c>
      <c r="E2430" s="138">
        <v>35.294117647058826</v>
      </c>
      <c r="F2430" s="139">
        <v>1.7</v>
      </c>
    </row>
    <row r="2431" spans="1:6" x14ac:dyDescent="0.25">
      <c r="A2431" s="110"/>
      <c r="B2431" s="125" t="s">
        <v>1</v>
      </c>
      <c r="C2431" s="138">
        <v>0.7</v>
      </c>
      <c r="D2431" s="138">
        <v>42</v>
      </c>
      <c r="E2431" s="138">
        <v>85.714285714285708</v>
      </c>
      <c r="F2431" s="139">
        <v>0.7</v>
      </c>
    </row>
    <row r="2432" spans="1:6" x14ac:dyDescent="0.25">
      <c r="A2432" s="110"/>
      <c r="B2432" s="125" t="s">
        <v>1</v>
      </c>
      <c r="C2432" s="138">
        <v>0.25</v>
      </c>
      <c r="D2432" s="138">
        <v>15</v>
      </c>
      <c r="E2432" s="138">
        <v>240</v>
      </c>
      <c r="F2432" s="139">
        <v>0.25</v>
      </c>
    </row>
    <row r="2433" spans="1:6" x14ac:dyDescent="0.25">
      <c r="A2433" s="110"/>
      <c r="B2433" s="125" t="s">
        <v>1</v>
      </c>
      <c r="C2433" s="138">
        <v>0.23</v>
      </c>
      <c r="D2433" s="138">
        <v>13.8</v>
      </c>
      <c r="E2433" s="138">
        <v>260.86956521739131</v>
      </c>
      <c r="F2433" s="139">
        <v>0.23</v>
      </c>
    </row>
    <row r="2434" spans="1:6" x14ac:dyDescent="0.25">
      <c r="A2434" s="110"/>
      <c r="B2434" s="125" t="s">
        <v>2</v>
      </c>
      <c r="C2434" s="138">
        <v>0.42</v>
      </c>
      <c r="D2434" s="138">
        <v>25.2</v>
      </c>
      <c r="E2434" s="138">
        <v>142.85714285714286</v>
      </c>
      <c r="F2434" s="139">
        <v>0.42</v>
      </c>
    </row>
    <row r="2435" spans="1:6" x14ac:dyDescent="0.25">
      <c r="A2435" s="110"/>
      <c r="B2435" s="125" t="s">
        <v>3</v>
      </c>
      <c r="C2435" s="138">
        <v>0.33</v>
      </c>
      <c r="D2435" s="138">
        <v>19.8</v>
      </c>
      <c r="E2435" s="138">
        <v>181.81818181818181</v>
      </c>
      <c r="F2435" s="139">
        <v>0.33</v>
      </c>
    </row>
    <row r="2436" spans="1:6" x14ac:dyDescent="0.25">
      <c r="A2436" s="110"/>
      <c r="B2436" s="125" t="s">
        <v>4</v>
      </c>
      <c r="C2436" s="138">
        <v>0.33</v>
      </c>
      <c r="D2436" s="138">
        <v>19.8</v>
      </c>
      <c r="E2436" s="138">
        <v>181.81818181818181</v>
      </c>
      <c r="F2436" s="139">
        <v>0.33</v>
      </c>
    </row>
    <row r="2437" spans="1:6" x14ac:dyDescent="0.25">
      <c r="A2437" s="110"/>
      <c r="B2437" s="125" t="s">
        <v>2257</v>
      </c>
      <c r="C2437" s="138">
        <v>1.4</v>
      </c>
      <c r="D2437" s="138">
        <v>84</v>
      </c>
      <c r="E2437" s="138">
        <v>42.857142857142854</v>
      </c>
      <c r="F2437" s="139">
        <v>1.4</v>
      </c>
    </row>
    <row r="2438" spans="1:6" x14ac:dyDescent="0.25">
      <c r="A2438" s="110"/>
      <c r="B2438" s="125" t="s">
        <v>197</v>
      </c>
      <c r="C2438" s="138">
        <v>1.4</v>
      </c>
      <c r="D2438" s="138">
        <v>84</v>
      </c>
      <c r="E2438" s="138">
        <v>42.857142857142854</v>
      </c>
      <c r="F2438" s="139">
        <v>1.4</v>
      </c>
    </row>
    <row r="2439" spans="1:6" x14ac:dyDescent="0.25">
      <c r="A2439" s="110"/>
      <c r="B2439" s="125" t="s">
        <v>55</v>
      </c>
      <c r="C2439" s="138">
        <v>0.32</v>
      </c>
      <c r="D2439" s="138">
        <v>19.2</v>
      </c>
      <c r="E2439" s="138">
        <v>187.5</v>
      </c>
      <c r="F2439" s="139">
        <v>0.32</v>
      </c>
    </row>
    <row r="2440" spans="1:6" x14ac:dyDescent="0.25">
      <c r="A2440" s="110"/>
      <c r="B2440" s="125" t="s">
        <v>56</v>
      </c>
      <c r="C2440" s="138">
        <v>0.32</v>
      </c>
      <c r="D2440" s="138">
        <v>19.2</v>
      </c>
      <c r="E2440" s="138">
        <v>187.5</v>
      </c>
      <c r="F2440" s="139">
        <v>0.32</v>
      </c>
    </row>
    <row r="2441" spans="1:6" x14ac:dyDescent="0.25">
      <c r="A2441" s="110"/>
      <c r="B2441" s="125" t="s">
        <v>57</v>
      </c>
      <c r="C2441" s="138">
        <v>0.34</v>
      </c>
      <c r="D2441" s="138">
        <v>20.400000000000002</v>
      </c>
      <c r="E2441" s="138">
        <v>176.47058823529409</v>
      </c>
      <c r="F2441" s="139">
        <v>0.34</v>
      </c>
    </row>
    <row r="2442" spans="1:6" x14ac:dyDescent="0.25">
      <c r="A2442" s="110"/>
      <c r="B2442" s="125" t="s">
        <v>198</v>
      </c>
      <c r="C2442" s="138">
        <v>0.4</v>
      </c>
      <c r="D2442" s="138">
        <v>24</v>
      </c>
      <c r="E2442" s="138">
        <v>150</v>
      </c>
      <c r="F2442" s="139">
        <v>0.4</v>
      </c>
    </row>
    <row r="2443" spans="1:6" x14ac:dyDescent="0.25">
      <c r="A2443" s="110"/>
      <c r="B2443" s="125" t="s">
        <v>198</v>
      </c>
      <c r="C2443" s="138">
        <v>0.4</v>
      </c>
      <c r="D2443" s="138">
        <v>24</v>
      </c>
      <c r="E2443" s="138">
        <v>150</v>
      </c>
      <c r="F2443" s="139">
        <v>0.4</v>
      </c>
    </row>
    <row r="2444" spans="1:6" x14ac:dyDescent="0.25">
      <c r="A2444" s="110"/>
      <c r="B2444" s="125" t="s">
        <v>2258</v>
      </c>
      <c r="C2444" s="138">
        <v>0</v>
      </c>
      <c r="D2444" s="138">
        <v>0</v>
      </c>
      <c r="E2444" s="138" t="e">
        <v>#DIV/0!</v>
      </c>
      <c r="F2444" s="139">
        <v>0</v>
      </c>
    </row>
    <row r="2445" spans="1:6" x14ac:dyDescent="0.25">
      <c r="A2445" s="110"/>
      <c r="B2445" s="125" t="s">
        <v>199</v>
      </c>
      <c r="C2445" s="138">
        <v>0.4</v>
      </c>
      <c r="D2445" s="138">
        <v>24</v>
      </c>
      <c r="E2445" s="138">
        <v>150</v>
      </c>
      <c r="F2445" s="139">
        <v>0.4</v>
      </c>
    </row>
    <row r="2446" spans="1:6" x14ac:dyDescent="0.25">
      <c r="A2446" s="110"/>
      <c r="B2446" s="125" t="s">
        <v>199</v>
      </c>
      <c r="C2446" s="138">
        <v>0.4</v>
      </c>
      <c r="D2446" s="138">
        <v>24</v>
      </c>
      <c r="E2446" s="138">
        <v>150</v>
      </c>
      <c r="F2446" s="139">
        <v>0.4</v>
      </c>
    </row>
    <row r="2447" spans="1:6" x14ac:dyDescent="0.25">
      <c r="A2447" s="110"/>
      <c r="B2447" s="125" t="s">
        <v>2259</v>
      </c>
      <c r="C2447" s="138">
        <v>0</v>
      </c>
      <c r="D2447" s="138">
        <v>0</v>
      </c>
      <c r="E2447" s="138" t="e">
        <v>#DIV/0!</v>
      </c>
      <c r="F2447" s="139">
        <v>0</v>
      </c>
    </row>
    <row r="2448" spans="1:6" x14ac:dyDescent="0.25">
      <c r="A2448" s="110"/>
      <c r="B2448" s="125" t="s">
        <v>2260</v>
      </c>
      <c r="C2448" s="138">
        <v>0</v>
      </c>
      <c r="D2448" s="138">
        <v>0</v>
      </c>
      <c r="E2448" s="138" t="e">
        <v>#DIV/0!</v>
      </c>
      <c r="F2448" s="139">
        <v>0</v>
      </c>
    </row>
    <row r="2449" spans="1:6" x14ac:dyDescent="0.25">
      <c r="A2449" s="110"/>
      <c r="B2449" s="125" t="s">
        <v>2261</v>
      </c>
      <c r="C2449" s="138">
        <v>0</v>
      </c>
      <c r="D2449" s="138">
        <v>0</v>
      </c>
      <c r="E2449" s="138" t="e">
        <v>#DIV/0!</v>
      </c>
      <c r="F2449" s="139">
        <v>0</v>
      </c>
    </row>
    <row r="2450" spans="1:6" x14ac:dyDescent="0.25">
      <c r="A2450" s="110"/>
      <c r="B2450" s="125" t="s">
        <v>60</v>
      </c>
      <c r="C2450" s="138">
        <v>0.42</v>
      </c>
      <c r="D2450" s="138">
        <v>25.2</v>
      </c>
      <c r="E2450" s="138">
        <v>142.85714285714286</v>
      </c>
      <c r="F2450" s="139">
        <v>0.42</v>
      </c>
    </row>
    <row r="2451" spans="1:6" x14ac:dyDescent="0.25">
      <c r="A2451" s="110"/>
      <c r="B2451" s="125" t="s">
        <v>61</v>
      </c>
      <c r="C2451" s="138">
        <v>0.42</v>
      </c>
      <c r="D2451" s="138">
        <v>25.2</v>
      </c>
      <c r="E2451" s="138">
        <v>142.85714285714286</v>
      </c>
      <c r="F2451" s="139">
        <v>0.42</v>
      </c>
    </row>
    <row r="2452" spans="1:6" x14ac:dyDescent="0.25">
      <c r="A2452" s="110"/>
      <c r="B2452" s="125" t="s">
        <v>321</v>
      </c>
      <c r="C2452" s="138">
        <v>0.42</v>
      </c>
      <c r="D2452" s="138">
        <v>25.2</v>
      </c>
      <c r="E2452" s="138">
        <v>142.85714285714286</v>
      </c>
      <c r="F2452" s="139">
        <v>0.42</v>
      </c>
    </row>
    <row r="2453" spans="1:6" x14ac:dyDescent="0.25">
      <c r="A2453" s="110"/>
      <c r="B2453" s="125" t="s">
        <v>322</v>
      </c>
      <c r="C2453" s="138">
        <v>0.42</v>
      </c>
      <c r="D2453" s="138">
        <v>25.2</v>
      </c>
      <c r="E2453" s="138">
        <v>142.85714285714286</v>
      </c>
      <c r="F2453" s="139">
        <v>0.42</v>
      </c>
    </row>
    <row r="2454" spans="1:6" x14ac:dyDescent="0.25">
      <c r="A2454" s="110"/>
      <c r="B2454" s="125" t="s">
        <v>200</v>
      </c>
      <c r="C2454" s="138">
        <v>0.4</v>
      </c>
      <c r="D2454" s="138">
        <v>24</v>
      </c>
      <c r="E2454" s="138">
        <v>150</v>
      </c>
      <c r="F2454" s="139">
        <v>0.4</v>
      </c>
    </row>
    <row r="2455" spans="1:6" x14ac:dyDescent="0.25">
      <c r="A2455" s="110"/>
      <c r="B2455" s="125" t="s">
        <v>201</v>
      </c>
      <c r="C2455" s="138">
        <v>0.4</v>
      </c>
      <c r="D2455" s="138">
        <v>24</v>
      </c>
      <c r="E2455" s="138">
        <v>150</v>
      </c>
      <c r="F2455" s="139">
        <v>0.4</v>
      </c>
    </row>
    <row r="2456" spans="1:6" x14ac:dyDescent="0.25">
      <c r="A2456" s="110"/>
      <c r="B2456" s="125" t="s">
        <v>202</v>
      </c>
      <c r="C2456" s="138">
        <v>0.4</v>
      </c>
      <c r="D2456" s="138">
        <v>24</v>
      </c>
      <c r="E2456" s="138">
        <v>150</v>
      </c>
      <c r="F2456" s="139">
        <v>0.4</v>
      </c>
    </row>
    <row r="2457" spans="1:6" x14ac:dyDescent="0.25">
      <c r="A2457" s="110"/>
      <c r="B2457" s="125" t="s">
        <v>203</v>
      </c>
      <c r="C2457" s="138">
        <v>0.4</v>
      </c>
      <c r="D2457" s="138">
        <v>24</v>
      </c>
      <c r="E2457" s="138">
        <v>150</v>
      </c>
      <c r="F2457" s="139">
        <v>0.4</v>
      </c>
    </row>
    <row r="2458" spans="1:6" x14ac:dyDescent="0.25">
      <c r="A2458" s="110"/>
      <c r="B2458" s="125" t="s">
        <v>204</v>
      </c>
      <c r="C2458" s="138">
        <v>0.4</v>
      </c>
      <c r="D2458" s="138">
        <v>24</v>
      </c>
      <c r="E2458" s="138">
        <v>150</v>
      </c>
      <c r="F2458" s="139">
        <v>0.4</v>
      </c>
    </row>
    <row r="2459" spans="1:6" x14ac:dyDescent="0.25">
      <c r="A2459" s="110"/>
      <c r="B2459" s="125" t="s">
        <v>205</v>
      </c>
      <c r="C2459" s="138">
        <v>0.4</v>
      </c>
      <c r="D2459" s="138">
        <v>24</v>
      </c>
      <c r="E2459" s="138">
        <v>150</v>
      </c>
      <c r="F2459" s="139">
        <v>0.4</v>
      </c>
    </row>
    <row r="2460" spans="1:6" x14ac:dyDescent="0.25">
      <c r="A2460" s="110"/>
      <c r="B2460" s="125" t="s">
        <v>206</v>
      </c>
      <c r="C2460" s="138">
        <v>0.38</v>
      </c>
      <c r="D2460" s="138">
        <v>22.8</v>
      </c>
      <c r="E2460" s="138">
        <v>157.89473684210526</v>
      </c>
      <c r="F2460" s="139">
        <v>0.38</v>
      </c>
    </row>
    <row r="2461" spans="1:6" x14ac:dyDescent="0.25">
      <c r="A2461" s="110"/>
      <c r="B2461" s="125" t="s">
        <v>207</v>
      </c>
      <c r="C2461" s="138">
        <v>0.38</v>
      </c>
      <c r="D2461" s="138">
        <v>22.8</v>
      </c>
      <c r="E2461" s="138">
        <v>157.89473684210526</v>
      </c>
      <c r="F2461" s="139">
        <v>0.38</v>
      </c>
    </row>
    <row r="2462" spans="1:6" x14ac:dyDescent="0.25">
      <c r="A2462" s="110"/>
      <c r="B2462" s="125" t="s">
        <v>69</v>
      </c>
      <c r="C2462" s="138">
        <v>0.39</v>
      </c>
      <c r="D2462" s="138">
        <v>23.400000000000002</v>
      </c>
      <c r="E2462" s="138">
        <v>153.84615384615384</v>
      </c>
      <c r="F2462" s="139">
        <v>0.39</v>
      </c>
    </row>
    <row r="2463" spans="1:6" x14ac:dyDescent="0.25">
      <c r="A2463" s="110"/>
      <c r="B2463" s="125" t="s">
        <v>70</v>
      </c>
      <c r="C2463" s="138">
        <v>0.39</v>
      </c>
      <c r="D2463" s="138">
        <v>23.400000000000002</v>
      </c>
      <c r="E2463" s="138">
        <v>153.84615384615384</v>
      </c>
      <c r="F2463" s="139">
        <v>0.39</v>
      </c>
    </row>
    <row r="2464" spans="1:6" x14ac:dyDescent="0.25">
      <c r="A2464" s="110"/>
      <c r="B2464" s="125" t="s">
        <v>604</v>
      </c>
      <c r="C2464" s="138">
        <v>1</v>
      </c>
      <c r="D2464" s="138">
        <v>60</v>
      </c>
      <c r="E2464" s="138">
        <v>60</v>
      </c>
      <c r="F2464" s="139">
        <v>1</v>
      </c>
    </row>
    <row r="2465" spans="1:6" x14ac:dyDescent="0.25">
      <c r="A2465" s="110"/>
      <c r="B2465" s="125" t="s">
        <v>605</v>
      </c>
      <c r="C2465" s="138">
        <v>0.5</v>
      </c>
      <c r="D2465" s="138">
        <v>30</v>
      </c>
      <c r="E2465" s="138">
        <v>120</v>
      </c>
      <c r="F2465" s="139">
        <v>0.5</v>
      </c>
    </row>
    <row r="2466" spans="1:6" x14ac:dyDescent="0.25">
      <c r="A2466" s="110"/>
      <c r="B2466" s="125" t="s">
        <v>606</v>
      </c>
      <c r="C2466" s="138">
        <v>0.5</v>
      </c>
      <c r="D2466" s="138">
        <v>30</v>
      </c>
      <c r="E2466" s="138">
        <v>120</v>
      </c>
      <c r="F2466" s="139">
        <v>0.5</v>
      </c>
    </row>
    <row r="2467" spans="1:6" x14ac:dyDescent="0.25">
      <c r="A2467" s="110"/>
      <c r="B2467" s="125" t="s">
        <v>607</v>
      </c>
      <c r="C2467" s="138">
        <v>0.5</v>
      </c>
      <c r="D2467" s="138">
        <v>30</v>
      </c>
      <c r="E2467" s="138">
        <v>120</v>
      </c>
      <c r="F2467" s="139">
        <v>0.5</v>
      </c>
    </row>
    <row r="2468" spans="1:6" x14ac:dyDescent="0.25">
      <c r="A2468" s="110"/>
      <c r="B2468" s="125" t="s">
        <v>608</v>
      </c>
      <c r="C2468" s="138">
        <v>0.5</v>
      </c>
      <c r="D2468" s="138">
        <v>30</v>
      </c>
      <c r="E2468" s="138">
        <v>120</v>
      </c>
      <c r="F2468" s="139">
        <v>0.5</v>
      </c>
    </row>
    <row r="2469" spans="1:6" x14ac:dyDescent="0.25">
      <c r="A2469" s="110"/>
      <c r="B2469" s="125" t="s">
        <v>736</v>
      </c>
      <c r="C2469" s="138">
        <v>0.5</v>
      </c>
      <c r="D2469" s="138">
        <v>30</v>
      </c>
      <c r="E2469" s="138">
        <v>120</v>
      </c>
      <c r="F2469" s="139">
        <v>0.5</v>
      </c>
    </row>
    <row r="2470" spans="1:6" x14ac:dyDescent="0.25">
      <c r="A2470" s="110"/>
      <c r="B2470" s="125" t="s">
        <v>1470</v>
      </c>
      <c r="C2470" s="138">
        <v>0.5</v>
      </c>
      <c r="D2470" s="138">
        <v>30</v>
      </c>
      <c r="E2470" s="138">
        <v>120</v>
      </c>
      <c r="F2470" s="139">
        <v>0.5</v>
      </c>
    </row>
    <row r="2471" spans="1:6" x14ac:dyDescent="0.25">
      <c r="A2471" s="110"/>
      <c r="B2471" s="125" t="s">
        <v>737</v>
      </c>
      <c r="C2471" s="138">
        <v>3</v>
      </c>
      <c r="D2471" s="138">
        <v>180</v>
      </c>
      <c r="E2471" s="138">
        <v>20</v>
      </c>
      <c r="F2471" s="139">
        <v>3</v>
      </c>
    </row>
    <row r="2472" spans="1:6" x14ac:dyDescent="0.25">
      <c r="A2472" s="110"/>
      <c r="B2472" s="125" t="s">
        <v>1471</v>
      </c>
      <c r="C2472" s="138">
        <v>3</v>
      </c>
      <c r="D2472" s="138">
        <v>180</v>
      </c>
      <c r="E2472" s="138">
        <v>20</v>
      </c>
      <c r="F2472" s="139">
        <v>3</v>
      </c>
    </row>
    <row r="2473" spans="1:6" x14ac:dyDescent="0.25">
      <c r="A2473" s="110"/>
      <c r="B2473" s="125" t="s">
        <v>798</v>
      </c>
      <c r="C2473" s="138">
        <v>1</v>
      </c>
      <c r="D2473" s="138">
        <v>60</v>
      </c>
      <c r="E2473" s="138">
        <v>60</v>
      </c>
      <c r="F2473" s="139">
        <v>1</v>
      </c>
    </row>
    <row r="2474" spans="1:6" x14ac:dyDescent="0.25">
      <c r="A2474" s="110"/>
      <c r="B2474" s="125" t="s">
        <v>799</v>
      </c>
      <c r="C2474" s="138">
        <v>1</v>
      </c>
      <c r="D2474" s="138">
        <v>60</v>
      </c>
      <c r="E2474" s="138">
        <v>60</v>
      </c>
      <c r="F2474" s="139">
        <v>1</v>
      </c>
    </row>
    <row r="2475" spans="1:6" x14ac:dyDescent="0.25">
      <c r="A2475" s="110"/>
      <c r="B2475" s="125" t="s">
        <v>800</v>
      </c>
      <c r="C2475" s="138">
        <v>9.6</v>
      </c>
      <c r="D2475" s="138">
        <v>576</v>
      </c>
      <c r="E2475" s="138">
        <v>6.25</v>
      </c>
      <c r="F2475" s="139">
        <v>9.6</v>
      </c>
    </row>
    <row r="2476" spans="1:6" x14ac:dyDescent="0.25">
      <c r="A2476" s="110"/>
      <c r="B2476" s="125" t="s">
        <v>801</v>
      </c>
      <c r="C2476" s="138">
        <v>9.6</v>
      </c>
      <c r="D2476" s="138">
        <v>576</v>
      </c>
      <c r="E2476" s="138">
        <v>6.25</v>
      </c>
      <c r="F2476" s="139">
        <v>9.6</v>
      </c>
    </row>
    <row r="2477" spans="1:6" x14ac:dyDescent="0.25">
      <c r="A2477" s="110"/>
      <c r="B2477" s="125" t="s">
        <v>802</v>
      </c>
      <c r="C2477" s="138">
        <v>0.42</v>
      </c>
      <c r="D2477" s="138">
        <v>25.2</v>
      </c>
      <c r="E2477" s="138">
        <v>142.85714285714286</v>
      </c>
      <c r="F2477" s="139">
        <v>0.42</v>
      </c>
    </row>
    <row r="2478" spans="1:6" x14ac:dyDescent="0.25">
      <c r="A2478" s="110"/>
      <c r="B2478" s="125" t="s">
        <v>803</v>
      </c>
      <c r="C2478" s="138">
        <v>0.42</v>
      </c>
      <c r="D2478" s="138">
        <v>25.2</v>
      </c>
      <c r="E2478" s="138">
        <v>142.85714285714286</v>
      </c>
      <c r="F2478" s="139">
        <v>0.42</v>
      </c>
    </row>
    <row r="2479" spans="1:6" x14ac:dyDescent="0.25">
      <c r="A2479" s="110"/>
      <c r="B2479" s="125" t="s">
        <v>804</v>
      </c>
      <c r="C2479" s="138">
        <v>0.42</v>
      </c>
      <c r="D2479" s="138">
        <v>25.2</v>
      </c>
      <c r="E2479" s="138">
        <v>142.85714285714286</v>
      </c>
      <c r="F2479" s="139">
        <v>0.42</v>
      </c>
    </row>
    <row r="2480" spans="1:6" x14ac:dyDescent="0.25">
      <c r="A2480" s="110"/>
      <c r="B2480" s="125" t="s">
        <v>805</v>
      </c>
      <c r="C2480" s="138">
        <v>0.42</v>
      </c>
      <c r="D2480" s="138">
        <v>25.2</v>
      </c>
      <c r="E2480" s="138">
        <v>142.85714285714286</v>
      </c>
      <c r="F2480" s="139">
        <v>0.42</v>
      </c>
    </row>
    <row r="2481" spans="1:6" x14ac:dyDescent="0.25">
      <c r="A2481" s="110"/>
      <c r="B2481" s="125" t="s">
        <v>806</v>
      </c>
      <c r="C2481" s="138">
        <v>0.42</v>
      </c>
      <c r="D2481" s="138">
        <v>25.2</v>
      </c>
      <c r="E2481" s="138">
        <v>142.85714285714286</v>
      </c>
      <c r="F2481" s="139">
        <v>0.42</v>
      </c>
    </row>
    <row r="2482" spans="1:6" x14ac:dyDescent="0.25">
      <c r="A2482" s="110"/>
      <c r="B2482" s="125" t="s">
        <v>807</v>
      </c>
      <c r="C2482" s="138">
        <v>0.42</v>
      </c>
      <c r="D2482" s="138">
        <v>25.2</v>
      </c>
      <c r="E2482" s="138">
        <v>142.85714285714286</v>
      </c>
      <c r="F2482" s="139">
        <v>0.42</v>
      </c>
    </row>
    <row r="2483" spans="1:6" x14ac:dyDescent="0.25">
      <c r="A2483" s="114"/>
      <c r="B2483" s="131" t="s">
        <v>3236</v>
      </c>
      <c r="C2483" s="138">
        <v>0.7</v>
      </c>
      <c r="D2483" s="142">
        <v>42</v>
      </c>
      <c r="E2483" s="142">
        <v>85.714285714285708</v>
      </c>
      <c r="F2483" s="143">
        <v>0.7</v>
      </c>
    </row>
    <row r="2484" spans="1:6" x14ac:dyDescent="0.25">
      <c r="A2484" s="114"/>
      <c r="B2484" s="131" t="s">
        <v>3237</v>
      </c>
      <c r="C2484" s="138">
        <v>0.7</v>
      </c>
      <c r="D2484" s="142">
        <v>42</v>
      </c>
      <c r="E2484" s="142">
        <v>85.714285714285708</v>
      </c>
      <c r="F2484" s="143">
        <v>0.7</v>
      </c>
    </row>
    <row r="2485" spans="1:6" x14ac:dyDescent="0.25">
      <c r="A2485" s="118"/>
      <c r="B2485" s="135" t="s">
        <v>3323</v>
      </c>
      <c r="C2485" s="138">
        <v>0.5</v>
      </c>
      <c r="D2485" s="138">
        <v>30</v>
      </c>
      <c r="E2485" s="138">
        <v>120</v>
      </c>
      <c r="F2485" s="144">
        <v>0.5</v>
      </c>
    </row>
    <row r="2486" spans="1:6" x14ac:dyDescent="0.25">
      <c r="A2486" s="118"/>
      <c r="B2486" s="135" t="s">
        <v>3324</v>
      </c>
      <c r="C2486" s="138">
        <v>0.5</v>
      </c>
      <c r="D2486" s="138">
        <v>30</v>
      </c>
      <c r="E2486" s="138">
        <v>120</v>
      </c>
      <c r="F2486" s="144">
        <v>0.5</v>
      </c>
    </row>
    <row r="2487" spans="1:6" x14ac:dyDescent="0.25">
      <c r="A2487" s="110"/>
      <c r="B2487" s="125" t="s">
        <v>859</v>
      </c>
      <c r="C2487" s="138">
        <v>0</v>
      </c>
      <c r="D2487" s="138">
        <v>0</v>
      </c>
      <c r="E2487" s="138" t="e">
        <v>#DIV/0!</v>
      </c>
      <c r="F2487" s="139">
        <v>0</v>
      </c>
    </row>
    <row r="2488" spans="1:6" x14ac:dyDescent="0.25">
      <c r="A2488" s="110"/>
      <c r="B2488" s="125" t="s">
        <v>883</v>
      </c>
      <c r="C2488" s="138">
        <v>0</v>
      </c>
      <c r="D2488" s="138">
        <v>0</v>
      </c>
      <c r="E2488" s="138" t="e">
        <v>#DIV/0!</v>
      </c>
      <c r="F2488" s="139">
        <v>0</v>
      </c>
    </row>
    <row r="2489" spans="1:6" x14ac:dyDescent="0.25">
      <c r="A2489" s="110"/>
      <c r="B2489" s="125" t="s">
        <v>3188</v>
      </c>
      <c r="C2489" s="138">
        <v>0.4</v>
      </c>
      <c r="D2489" s="138">
        <v>24</v>
      </c>
      <c r="E2489" s="138">
        <v>150</v>
      </c>
      <c r="F2489" s="141">
        <v>0.4</v>
      </c>
    </row>
    <row r="2490" spans="1:6" x14ac:dyDescent="0.25">
      <c r="A2490" s="118"/>
      <c r="B2490" s="135" t="s">
        <v>3356</v>
      </c>
      <c r="C2490" s="138">
        <v>0</v>
      </c>
      <c r="D2490" s="138">
        <v>0</v>
      </c>
      <c r="E2490" s="138">
        <v>0</v>
      </c>
      <c r="F2490" s="144">
        <v>0</v>
      </c>
    </row>
    <row r="2491" spans="1:6" x14ac:dyDescent="0.25">
      <c r="A2491" s="110"/>
      <c r="B2491" s="125" t="s">
        <v>1045</v>
      </c>
      <c r="C2491" s="138">
        <v>0</v>
      </c>
      <c r="D2491" s="138">
        <v>0</v>
      </c>
      <c r="E2491" s="138" t="e">
        <v>#DIV/0!</v>
      </c>
      <c r="F2491" s="139">
        <v>0</v>
      </c>
    </row>
    <row r="2492" spans="1:6" x14ac:dyDescent="0.25">
      <c r="A2492" s="110"/>
      <c r="B2492" s="125" t="s">
        <v>822</v>
      </c>
      <c r="C2492" s="138">
        <v>1.9</v>
      </c>
      <c r="D2492" s="138">
        <v>114</v>
      </c>
      <c r="E2492" s="138">
        <v>31.578947368421051</v>
      </c>
      <c r="F2492" s="139">
        <v>1.9</v>
      </c>
    </row>
    <row r="2493" spans="1:6" x14ac:dyDescent="0.25">
      <c r="A2493" s="110"/>
      <c r="B2493" s="125" t="s">
        <v>898</v>
      </c>
      <c r="C2493" s="138">
        <v>1.9</v>
      </c>
      <c r="D2493" s="138">
        <v>114</v>
      </c>
      <c r="E2493" s="138">
        <v>31.578947368421051</v>
      </c>
      <c r="F2493" s="139">
        <v>1.9</v>
      </c>
    </row>
    <row r="2494" spans="1:6" x14ac:dyDescent="0.25">
      <c r="A2494" s="110"/>
      <c r="B2494" s="125" t="s">
        <v>874</v>
      </c>
      <c r="C2494" s="138">
        <v>1.9</v>
      </c>
      <c r="D2494" s="138">
        <v>114</v>
      </c>
      <c r="E2494" s="138">
        <v>31.578947368421051</v>
      </c>
      <c r="F2494" s="139">
        <v>1.9</v>
      </c>
    </row>
    <row r="2495" spans="1:6" x14ac:dyDescent="0.25">
      <c r="A2495" s="110"/>
      <c r="B2495" s="125" t="s">
        <v>876</v>
      </c>
      <c r="C2495" s="138">
        <v>1.9</v>
      </c>
      <c r="D2495" s="138">
        <v>114</v>
      </c>
      <c r="E2495" s="138">
        <v>31.578947368421051</v>
      </c>
      <c r="F2495" s="139">
        <v>1.9</v>
      </c>
    </row>
    <row r="2496" spans="1:6" x14ac:dyDescent="0.25">
      <c r="A2496" s="110"/>
      <c r="B2496" s="125" t="s">
        <v>835</v>
      </c>
      <c r="C2496" s="138">
        <v>1.0900000000000001</v>
      </c>
      <c r="D2496" s="138">
        <v>65.400000000000006</v>
      </c>
      <c r="E2496" s="138">
        <v>55.045871559633021</v>
      </c>
      <c r="F2496" s="139">
        <v>1.0900000000000001</v>
      </c>
    </row>
    <row r="2497" spans="1:6" x14ac:dyDescent="0.25">
      <c r="A2497" s="110"/>
      <c r="B2497" s="125" t="s">
        <v>856</v>
      </c>
      <c r="C2497" s="138">
        <v>1.9</v>
      </c>
      <c r="D2497" s="138">
        <v>114</v>
      </c>
      <c r="E2497" s="138">
        <v>31.578947368421051</v>
      </c>
      <c r="F2497" s="139">
        <v>1.9</v>
      </c>
    </row>
    <row r="2498" spans="1:6" x14ac:dyDescent="0.25">
      <c r="A2498" s="110"/>
      <c r="B2498" s="125" t="s">
        <v>878</v>
      </c>
      <c r="C2498" s="138">
        <v>1.9</v>
      </c>
      <c r="D2498" s="138">
        <v>114</v>
      </c>
      <c r="E2498" s="138">
        <v>31.578947368421051</v>
      </c>
      <c r="F2498" s="139">
        <v>1.9</v>
      </c>
    </row>
    <row r="2499" spans="1:6" x14ac:dyDescent="0.25">
      <c r="A2499" s="110"/>
      <c r="B2499" s="125" t="s">
        <v>825</v>
      </c>
      <c r="C2499" s="138">
        <v>1.9</v>
      </c>
      <c r="D2499" s="138">
        <v>114</v>
      </c>
      <c r="E2499" s="138">
        <v>31.578947368421051</v>
      </c>
      <c r="F2499" s="139">
        <v>1.9</v>
      </c>
    </row>
    <row r="2500" spans="1:6" x14ac:dyDescent="0.25">
      <c r="A2500" s="110"/>
      <c r="B2500" s="125" t="s">
        <v>932</v>
      </c>
      <c r="C2500" s="138">
        <v>1.9</v>
      </c>
      <c r="D2500" s="138">
        <v>114</v>
      </c>
      <c r="E2500" s="138">
        <v>31.578947368421051</v>
      </c>
      <c r="F2500" s="139">
        <v>1.9</v>
      </c>
    </row>
    <row r="2501" spans="1:6" x14ac:dyDescent="0.25">
      <c r="A2501" s="110"/>
      <c r="B2501" s="125" t="s">
        <v>921</v>
      </c>
      <c r="C2501" s="138">
        <v>1.9</v>
      </c>
      <c r="D2501" s="138">
        <v>114</v>
      </c>
      <c r="E2501" s="138">
        <v>31.578947368421051</v>
      </c>
      <c r="F2501" s="139">
        <v>1.9</v>
      </c>
    </row>
    <row r="2502" spans="1:6" x14ac:dyDescent="0.25">
      <c r="A2502" s="110"/>
      <c r="B2502" s="125" t="s">
        <v>1007</v>
      </c>
      <c r="C2502" s="138">
        <v>1.9</v>
      </c>
      <c r="D2502" s="138">
        <v>114</v>
      </c>
      <c r="E2502" s="138">
        <v>31.578947368421051</v>
      </c>
      <c r="F2502" s="139">
        <v>1.9</v>
      </c>
    </row>
    <row r="2503" spans="1:6" x14ac:dyDescent="0.25">
      <c r="A2503" s="110"/>
      <c r="B2503" s="125" t="s">
        <v>865</v>
      </c>
      <c r="C2503" s="138">
        <v>1.9</v>
      </c>
      <c r="D2503" s="138">
        <v>114</v>
      </c>
      <c r="E2503" s="138">
        <v>31.578947368421051</v>
      </c>
      <c r="F2503" s="139">
        <v>1.9</v>
      </c>
    </row>
    <row r="2504" spans="1:6" x14ac:dyDescent="0.25">
      <c r="A2504" s="110"/>
      <c r="B2504" s="125" t="s">
        <v>888</v>
      </c>
      <c r="C2504" s="138">
        <v>1.9</v>
      </c>
      <c r="D2504" s="138">
        <v>114</v>
      </c>
      <c r="E2504" s="138">
        <v>31.578947368421051</v>
      </c>
      <c r="F2504" s="139">
        <v>1.9</v>
      </c>
    </row>
    <row r="2505" spans="1:6" x14ac:dyDescent="0.25">
      <c r="A2505" s="110"/>
      <c r="B2505" s="125" t="s">
        <v>1368</v>
      </c>
      <c r="C2505" s="138">
        <v>1.9</v>
      </c>
      <c r="D2505" s="138">
        <v>114</v>
      </c>
      <c r="E2505" s="138">
        <v>31.578947368421051</v>
      </c>
      <c r="F2505" s="139">
        <v>1.9</v>
      </c>
    </row>
    <row r="2506" spans="1:6" x14ac:dyDescent="0.25">
      <c r="A2506" s="110"/>
      <c r="B2506" s="125" t="s">
        <v>1373</v>
      </c>
      <c r="C2506" s="138">
        <v>1.9</v>
      </c>
      <c r="D2506" s="138">
        <v>114</v>
      </c>
      <c r="E2506" s="138">
        <v>31.578947368421051</v>
      </c>
      <c r="F2506" s="139">
        <v>1.9</v>
      </c>
    </row>
    <row r="2507" spans="1:6" x14ac:dyDescent="0.25">
      <c r="A2507" s="110"/>
      <c r="B2507" s="125" t="s">
        <v>1039</v>
      </c>
      <c r="C2507" s="138">
        <v>1.9</v>
      </c>
      <c r="D2507" s="138">
        <v>114</v>
      </c>
      <c r="E2507" s="138">
        <v>31.578947368421051</v>
      </c>
      <c r="F2507" s="139">
        <v>1.9</v>
      </c>
    </row>
    <row r="2508" spans="1:6" x14ac:dyDescent="0.25">
      <c r="A2508" s="110"/>
      <c r="B2508" s="125" t="s">
        <v>869</v>
      </c>
      <c r="C2508" s="138">
        <v>1.9</v>
      </c>
      <c r="D2508" s="138">
        <v>114</v>
      </c>
      <c r="E2508" s="138">
        <v>31.578947368421051</v>
      </c>
      <c r="F2508" s="139">
        <v>1.9</v>
      </c>
    </row>
    <row r="2509" spans="1:6" x14ac:dyDescent="0.25">
      <c r="A2509" s="110"/>
      <c r="B2509" s="125" t="s">
        <v>855</v>
      </c>
      <c r="C2509" s="138">
        <v>0</v>
      </c>
      <c r="D2509" s="138">
        <v>0</v>
      </c>
      <c r="E2509" s="138" t="e">
        <v>#DIV/0!</v>
      </c>
      <c r="F2509" s="139">
        <v>0</v>
      </c>
    </row>
    <row r="2510" spans="1:6" x14ac:dyDescent="0.25">
      <c r="A2510" s="110"/>
      <c r="B2510" s="125" t="s">
        <v>864</v>
      </c>
      <c r="C2510" s="138">
        <v>0</v>
      </c>
      <c r="D2510" s="138">
        <v>0</v>
      </c>
      <c r="E2510" s="138" t="e">
        <v>#DIV/0!</v>
      </c>
      <c r="F2510" s="139">
        <v>0</v>
      </c>
    </row>
    <row r="2511" spans="1:6" x14ac:dyDescent="0.25">
      <c r="A2511" s="110"/>
      <c r="B2511" s="125" t="s">
        <v>901</v>
      </c>
      <c r="C2511" s="138">
        <v>0</v>
      </c>
      <c r="D2511" s="138">
        <v>0</v>
      </c>
      <c r="E2511" s="138" t="e">
        <v>#DIV/0!</v>
      </c>
      <c r="F2511" s="139">
        <v>0</v>
      </c>
    </row>
    <row r="2512" spans="1:6" x14ac:dyDescent="0.25">
      <c r="A2512" s="110"/>
      <c r="B2512" s="125" t="s">
        <v>850</v>
      </c>
      <c r="C2512" s="138">
        <v>0.09</v>
      </c>
      <c r="D2512" s="138">
        <v>5.3999999999999995</v>
      </c>
      <c r="E2512" s="138">
        <v>666.66666666666674</v>
      </c>
      <c r="F2512" s="139">
        <v>0.09</v>
      </c>
    </row>
    <row r="2513" spans="1:6" x14ac:dyDescent="0.25">
      <c r="A2513" s="110"/>
      <c r="B2513" s="125" t="s">
        <v>848</v>
      </c>
      <c r="C2513" s="138">
        <v>0.01</v>
      </c>
      <c r="D2513" s="138">
        <v>0.6</v>
      </c>
      <c r="E2513" s="138">
        <v>6000</v>
      </c>
      <c r="F2513" s="139">
        <v>0.01</v>
      </c>
    </row>
    <row r="2514" spans="1:6" x14ac:dyDescent="0.25">
      <c r="A2514" s="110"/>
      <c r="B2514" s="125" t="s">
        <v>849</v>
      </c>
      <c r="C2514" s="138">
        <v>0.08</v>
      </c>
      <c r="D2514" s="138">
        <v>4.8</v>
      </c>
      <c r="E2514" s="138">
        <v>750</v>
      </c>
      <c r="F2514" s="139">
        <v>0.08</v>
      </c>
    </row>
    <row r="2515" spans="1:6" x14ac:dyDescent="0.25">
      <c r="A2515" s="110"/>
      <c r="B2515" s="125" t="s">
        <v>853</v>
      </c>
      <c r="C2515" s="138">
        <v>0.08</v>
      </c>
      <c r="D2515" s="138">
        <v>4.8</v>
      </c>
      <c r="E2515" s="138">
        <v>750</v>
      </c>
      <c r="F2515" s="139">
        <v>0.08</v>
      </c>
    </row>
    <row r="2516" spans="1:6" x14ac:dyDescent="0.25">
      <c r="A2516" s="110"/>
      <c r="B2516" s="125" t="s">
        <v>854</v>
      </c>
      <c r="C2516" s="138">
        <v>0.08</v>
      </c>
      <c r="D2516" s="138">
        <v>4.8</v>
      </c>
      <c r="E2516" s="138">
        <v>750</v>
      </c>
      <c r="F2516" s="139">
        <v>0.08</v>
      </c>
    </row>
    <row r="2517" spans="1:6" x14ac:dyDescent="0.25">
      <c r="A2517" s="110"/>
      <c r="B2517" s="125" t="s">
        <v>857</v>
      </c>
      <c r="C2517" s="138">
        <v>0.01</v>
      </c>
      <c r="D2517" s="138">
        <v>0.6</v>
      </c>
      <c r="E2517" s="138">
        <v>6000</v>
      </c>
      <c r="F2517" s="139">
        <v>0.01</v>
      </c>
    </row>
    <row r="2518" spans="1:6" x14ac:dyDescent="0.25">
      <c r="A2518" s="110"/>
      <c r="B2518" s="125" t="s">
        <v>858</v>
      </c>
      <c r="C2518" s="138">
        <v>0.08</v>
      </c>
      <c r="D2518" s="138">
        <v>4.8</v>
      </c>
      <c r="E2518" s="138">
        <v>750</v>
      </c>
      <c r="F2518" s="139">
        <v>0.08</v>
      </c>
    </row>
    <row r="2519" spans="1:6" x14ac:dyDescent="0.25">
      <c r="A2519" s="110"/>
      <c r="B2519" s="125" t="s">
        <v>860</v>
      </c>
      <c r="C2519" s="138">
        <v>0.08</v>
      </c>
      <c r="D2519" s="138">
        <v>4.8</v>
      </c>
      <c r="E2519" s="138">
        <v>750</v>
      </c>
      <c r="F2519" s="139">
        <v>0.08</v>
      </c>
    </row>
    <row r="2520" spans="1:6" x14ac:dyDescent="0.25">
      <c r="A2520" s="110"/>
      <c r="B2520" s="125" t="s">
        <v>879</v>
      </c>
      <c r="C2520" s="138">
        <v>0.08</v>
      </c>
      <c r="D2520" s="138">
        <v>4.8</v>
      </c>
      <c r="E2520" s="138">
        <v>750</v>
      </c>
      <c r="F2520" s="139">
        <v>0.08</v>
      </c>
    </row>
    <row r="2521" spans="1:6" x14ac:dyDescent="0.25">
      <c r="A2521" s="110"/>
      <c r="B2521" s="125" t="s">
        <v>880</v>
      </c>
      <c r="C2521" s="138">
        <v>0.08</v>
      </c>
      <c r="D2521" s="138">
        <v>4.8</v>
      </c>
      <c r="E2521" s="138">
        <v>750</v>
      </c>
      <c r="F2521" s="139">
        <v>0.08</v>
      </c>
    </row>
    <row r="2522" spans="1:6" x14ac:dyDescent="0.25">
      <c r="A2522" s="110"/>
      <c r="B2522" s="125" t="s">
        <v>881</v>
      </c>
      <c r="C2522" s="138">
        <v>0.08</v>
      </c>
      <c r="D2522" s="138">
        <v>4.8</v>
      </c>
      <c r="E2522" s="138">
        <v>750</v>
      </c>
      <c r="F2522" s="139">
        <v>0.08</v>
      </c>
    </row>
    <row r="2523" spans="1:6" x14ac:dyDescent="0.25">
      <c r="A2523" s="110"/>
      <c r="B2523" s="125" t="s">
        <v>885</v>
      </c>
      <c r="C2523" s="138">
        <v>7.0000000000000007E-2</v>
      </c>
      <c r="D2523" s="138">
        <v>4.2</v>
      </c>
      <c r="E2523" s="138">
        <v>857.14285714285711</v>
      </c>
      <c r="F2523" s="139">
        <v>7.0000000000000007E-2</v>
      </c>
    </row>
    <row r="2524" spans="1:6" x14ac:dyDescent="0.25">
      <c r="A2524" s="110"/>
      <c r="B2524" s="125" t="s">
        <v>886</v>
      </c>
      <c r="C2524" s="138">
        <v>7.0000000000000007E-2</v>
      </c>
      <c r="D2524" s="138">
        <v>4.2</v>
      </c>
      <c r="E2524" s="138">
        <v>857.14285714285711</v>
      </c>
      <c r="F2524" s="139">
        <v>7.0000000000000007E-2</v>
      </c>
    </row>
    <row r="2525" spans="1:6" x14ac:dyDescent="0.25">
      <c r="A2525" s="114"/>
      <c r="B2525" s="130" t="s">
        <v>3232</v>
      </c>
      <c r="C2525" s="138">
        <v>0.6</v>
      </c>
      <c r="D2525" s="142">
        <v>36</v>
      </c>
      <c r="E2525" s="142">
        <v>100</v>
      </c>
      <c r="F2525" s="143">
        <v>0.6</v>
      </c>
    </row>
    <row r="2526" spans="1:6" x14ac:dyDescent="0.25">
      <c r="A2526" s="114"/>
      <c r="B2526" s="130" t="s">
        <v>3233</v>
      </c>
      <c r="C2526" s="138">
        <v>0.6</v>
      </c>
      <c r="D2526" s="142">
        <v>36</v>
      </c>
      <c r="E2526" s="142">
        <v>100</v>
      </c>
      <c r="F2526" s="143">
        <v>0.6</v>
      </c>
    </row>
    <row r="2527" spans="1:6" x14ac:dyDescent="0.25">
      <c r="A2527" s="114"/>
      <c r="B2527" s="131" t="s">
        <v>3250</v>
      </c>
      <c r="C2527" s="138">
        <v>0.4</v>
      </c>
      <c r="D2527" s="142">
        <v>24</v>
      </c>
      <c r="E2527" s="142">
        <v>150</v>
      </c>
      <c r="F2527" s="143">
        <v>0.4</v>
      </c>
    </row>
    <row r="2528" spans="1:6" x14ac:dyDescent="0.25">
      <c r="A2528" s="114"/>
      <c r="B2528" s="131" t="s">
        <v>3251</v>
      </c>
      <c r="C2528" s="138">
        <v>0.4</v>
      </c>
      <c r="D2528" s="142">
        <v>24</v>
      </c>
      <c r="E2528" s="142">
        <v>150</v>
      </c>
      <c r="F2528" s="143">
        <v>0.4</v>
      </c>
    </row>
    <row r="2529" spans="1:6" x14ac:dyDescent="0.25">
      <c r="A2529" s="114"/>
      <c r="B2529" s="131" t="s">
        <v>3252</v>
      </c>
      <c r="C2529" s="138">
        <v>0.4</v>
      </c>
      <c r="D2529" s="142">
        <v>24</v>
      </c>
      <c r="E2529" s="142">
        <v>150</v>
      </c>
      <c r="F2529" s="143">
        <v>0.4</v>
      </c>
    </row>
    <row r="2530" spans="1:6" x14ac:dyDescent="0.25">
      <c r="A2530" s="114"/>
      <c r="B2530" s="131" t="s">
        <v>3253</v>
      </c>
      <c r="C2530" s="138">
        <v>0.4</v>
      </c>
      <c r="D2530" s="142">
        <v>24</v>
      </c>
      <c r="E2530" s="142">
        <v>150</v>
      </c>
      <c r="F2530" s="143">
        <v>0.4</v>
      </c>
    </row>
    <row r="2531" spans="1:6" x14ac:dyDescent="0.25">
      <c r="A2531" s="110"/>
      <c r="B2531" s="125" t="s">
        <v>827</v>
      </c>
      <c r="C2531" s="138">
        <v>0.02</v>
      </c>
      <c r="D2531" s="138">
        <v>1.2</v>
      </c>
      <c r="E2531" s="138">
        <v>3000</v>
      </c>
      <c r="F2531" s="139">
        <v>0.02</v>
      </c>
    </row>
    <row r="2532" spans="1:6" x14ac:dyDescent="0.25">
      <c r="A2532" s="110"/>
      <c r="B2532" s="125" t="s">
        <v>827</v>
      </c>
      <c r="C2532" s="138">
        <v>7.0000000000000007E-2</v>
      </c>
      <c r="D2532" s="138">
        <v>4.2</v>
      </c>
      <c r="E2532" s="138">
        <v>857.14285714285711</v>
      </c>
      <c r="F2532" s="139">
        <v>7.0000000000000007E-2</v>
      </c>
    </row>
    <row r="2533" spans="1:6" x14ac:dyDescent="0.25">
      <c r="A2533" s="110"/>
      <c r="B2533" s="125" t="s">
        <v>827</v>
      </c>
      <c r="C2533" s="138">
        <v>0.14000000000000001</v>
      </c>
      <c r="D2533" s="138">
        <v>8.4</v>
      </c>
      <c r="E2533" s="138">
        <v>428.57142857142856</v>
      </c>
      <c r="F2533" s="139">
        <v>0.14000000000000001</v>
      </c>
    </row>
    <row r="2534" spans="1:6" x14ac:dyDescent="0.25">
      <c r="A2534" s="114"/>
      <c r="B2534" s="131" t="s">
        <v>715</v>
      </c>
      <c r="C2534" s="138">
        <v>0.6</v>
      </c>
      <c r="D2534" s="142">
        <v>36</v>
      </c>
      <c r="E2534" s="142">
        <v>100</v>
      </c>
      <c r="F2534" s="143">
        <v>0.6</v>
      </c>
    </row>
    <row r="2535" spans="1:6" x14ac:dyDescent="0.25">
      <c r="A2535" s="110"/>
      <c r="B2535" s="125" t="s">
        <v>2262</v>
      </c>
      <c r="C2535" s="138">
        <v>0.45</v>
      </c>
      <c r="D2535" s="138">
        <v>27</v>
      </c>
      <c r="E2535" s="138">
        <v>133.33333333333334</v>
      </c>
      <c r="F2535" s="139">
        <v>0.45</v>
      </c>
    </row>
    <row r="2536" spans="1:6" x14ac:dyDescent="0.25">
      <c r="A2536" s="110"/>
      <c r="B2536" s="125" t="s">
        <v>2263</v>
      </c>
      <c r="C2536" s="138">
        <v>0.17</v>
      </c>
      <c r="D2536" s="138">
        <v>10.200000000000001</v>
      </c>
      <c r="E2536" s="138">
        <v>352.94117647058818</v>
      </c>
      <c r="F2536" s="139">
        <v>0.17</v>
      </c>
    </row>
    <row r="2537" spans="1:6" x14ac:dyDescent="0.25">
      <c r="A2537" s="110"/>
      <c r="B2537" s="125" t="s">
        <v>2264</v>
      </c>
      <c r="C2537" s="138">
        <v>0.15</v>
      </c>
      <c r="D2537" s="138">
        <v>9</v>
      </c>
      <c r="E2537" s="138">
        <v>400</v>
      </c>
      <c r="F2537" s="139">
        <v>0.15</v>
      </c>
    </row>
    <row r="2538" spans="1:6" x14ac:dyDescent="0.25">
      <c r="A2538" s="110"/>
      <c r="B2538" s="125" t="s">
        <v>2265</v>
      </c>
      <c r="C2538" s="138">
        <v>0.37</v>
      </c>
      <c r="D2538" s="138">
        <v>22.2</v>
      </c>
      <c r="E2538" s="138">
        <v>162.16216216216216</v>
      </c>
      <c r="F2538" s="139">
        <v>0.37</v>
      </c>
    </row>
    <row r="2539" spans="1:6" x14ac:dyDescent="0.25">
      <c r="A2539" s="110"/>
      <c r="B2539" s="125" t="s">
        <v>2266</v>
      </c>
      <c r="C2539" s="138">
        <v>0.49</v>
      </c>
      <c r="D2539" s="138">
        <v>29.4</v>
      </c>
      <c r="E2539" s="138">
        <v>122.44897959183675</v>
      </c>
      <c r="F2539" s="139">
        <v>0.49</v>
      </c>
    </row>
    <row r="2540" spans="1:6" x14ac:dyDescent="0.25">
      <c r="A2540" s="110"/>
      <c r="B2540" s="125" t="s">
        <v>2267</v>
      </c>
      <c r="C2540" s="138">
        <v>0.49</v>
      </c>
      <c r="D2540" s="138">
        <v>29.4</v>
      </c>
      <c r="E2540" s="138">
        <v>122.44897959183675</v>
      </c>
      <c r="F2540" s="139">
        <v>0.49</v>
      </c>
    </row>
    <row r="2541" spans="1:6" x14ac:dyDescent="0.25">
      <c r="A2541" s="110"/>
      <c r="B2541" s="125" t="s">
        <v>2268</v>
      </c>
      <c r="C2541" s="138">
        <v>0.49</v>
      </c>
      <c r="D2541" s="138">
        <v>29.4</v>
      </c>
      <c r="E2541" s="138">
        <v>122.44897959183675</v>
      </c>
      <c r="F2541" s="139">
        <v>0.49</v>
      </c>
    </row>
    <row r="2542" spans="1:6" x14ac:dyDescent="0.25">
      <c r="A2542" s="110"/>
      <c r="B2542" s="125" t="s">
        <v>2269</v>
      </c>
      <c r="C2542" s="138">
        <v>0.49</v>
      </c>
      <c r="D2542" s="138">
        <v>29.4</v>
      </c>
      <c r="E2542" s="138">
        <v>122.44897959183675</v>
      </c>
      <c r="F2542" s="139">
        <v>0.49</v>
      </c>
    </row>
    <row r="2543" spans="1:6" x14ac:dyDescent="0.25">
      <c r="A2543" s="110"/>
      <c r="B2543" s="125" t="s">
        <v>2270</v>
      </c>
      <c r="C2543" s="138">
        <v>0.49</v>
      </c>
      <c r="D2543" s="138">
        <v>29.4</v>
      </c>
      <c r="E2543" s="138">
        <v>122.44897959183675</v>
      </c>
      <c r="F2543" s="139">
        <v>0.49</v>
      </c>
    </row>
    <row r="2544" spans="1:6" x14ac:dyDescent="0.25">
      <c r="A2544" s="110"/>
      <c r="B2544" s="125" t="s">
        <v>2271</v>
      </c>
      <c r="C2544" s="138">
        <v>1.88</v>
      </c>
      <c r="D2544" s="138">
        <v>112.8</v>
      </c>
      <c r="E2544" s="138">
        <v>31.914893617021278</v>
      </c>
      <c r="F2544" s="139">
        <v>1.88</v>
      </c>
    </row>
    <row r="2545" spans="1:6" x14ac:dyDescent="0.25">
      <c r="A2545" s="110"/>
      <c r="B2545" s="125" t="s">
        <v>2271</v>
      </c>
      <c r="C2545" s="138">
        <v>1.88</v>
      </c>
      <c r="D2545" s="138">
        <v>112.8</v>
      </c>
      <c r="E2545" s="138">
        <v>31.914893617021278</v>
      </c>
      <c r="F2545" s="139">
        <v>1.88</v>
      </c>
    </row>
    <row r="2546" spans="1:6" x14ac:dyDescent="0.25">
      <c r="A2546" s="110"/>
      <c r="B2546" s="125" t="s">
        <v>2271</v>
      </c>
      <c r="C2546" s="138">
        <v>1.88</v>
      </c>
      <c r="D2546" s="138">
        <v>112.8</v>
      </c>
      <c r="E2546" s="138">
        <v>31.914893617021278</v>
      </c>
      <c r="F2546" s="139">
        <v>1.88</v>
      </c>
    </row>
    <row r="2547" spans="1:6" x14ac:dyDescent="0.25">
      <c r="A2547" s="110"/>
      <c r="B2547" s="125" t="s">
        <v>2272</v>
      </c>
      <c r="C2547" s="138">
        <v>1.88</v>
      </c>
      <c r="D2547" s="138">
        <v>112.8</v>
      </c>
      <c r="E2547" s="138">
        <v>31.914893617021278</v>
      </c>
      <c r="F2547" s="139">
        <v>1.88</v>
      </c>
    </row>
    <row r="2548" spans="1:6" x14ac:dyDescent="0.25">
      <c r="A2548" s="110"/>
      <c r="B2548" s="125" t="s">
        <v>2272</v>
      </c>
      <c r="C2548" s="138">
        <v>1.88</v>
      </c>
      <c r="D2548" s="138">
        <v>112.8</v>
      </c>
      <c r="E2548" s="138">
        <v>31.914893617021278</v>
      </c>
      <c r="F2548" s="139">
        <v>1.88</v>
      </c>
    </row>
    <row r="2549" spans="1:6" x14ac:dyDescent="0.25">
      <c r="A2549" s="110"/>
      <c r="B2549" s="125" t="s">
        <v>2272</v>
      </c>
      <c r="C2549" s="138">
        <v>1.88</v>
      </c>
      <c r="D2549" s="138">
        <v>112.8</v>
      </c>
      <c r="E2549" s="138">
        <v>31.914893617021278</v>
      </c>
      <c r="F2549" s="139">
        <v>1.88</v>
      </c>
    </row>
    <row r="2550" spans="1:6" x14ac:dyDescent="0.25">
      <c r="A2550" s="110"/>
      <c r="B2550" s="125" t="s">
        <v>2273</v>
      </c>
      <c r="C2550" s="138">
        <v>2</v>
      </c>
      <c r="D2550" s="138">
        <v>120</v>
      </c>
      <c r="E2550" s="138">
        <v>30</v>
      </c>
      <c r="F2550" s="139">
        <v>2</v>
      </c>
    </row>
    <row r="2551" spans="1:6" x14ac:dyDescent="0.25">
      <c r="A2551" s="110"/>
      <c r="B2551" s="125" t="s">
        <v>2273</v>
      </c>
      <c r="C2551" s="138">
        <v>2</v>
      </c>
      <c r="D2551" s="138">
        <v>120</v>
      </c>
      <c r="E2551" s="138">
        <v>30</v>
      </c>
      <c r="F2551" s="139">
        <v>2</v>
      </c>
    </row>
    <row r="2552" spans="1:6" x14ac:dyDescent="0.25">
      <c r="A2552" s="110"/>
      <c r="B2552" s="125" t="s">
        <v>2273</v>
      </c>
      <c r="C2552" s="138">
        <v>2</v>
      </c>
      <c r="D2552" s="138">
        <v>120</v>
      </c>
      <c r="E2552" s="138">
        <v>30</v>
      </c>
      <c r="F2552" s="139">
        <v>2</v>
      </c>
    </row>
    <row r="2553" spans="1:6" x14ac:dyDescent="0.25">
      <c r="A2553" s="110"/>
      <c r="B2553" s="125" t="s">
        <v>2274</v>
      </c>
      <c r="C2553" s="138">
        <v>2</v>
      </c>
      <c r="D2553" s="138">
        <v>120</v>
      </c>
      <c r="E2553" s="138">
        <v>30</v>
      </c>
      <c r="F2553" s="139">
        <v>2</v>
      </c>
    </row>
    <row r="2554" spans="1:6" x14ac:dyDescent="0.25">
      <c r="A2554" s="110"/>
      <c r="B2554" s="125" t="s">
        <v>2274</v>
      </c>
      <c r="C2554" s="138">
        <v>2</v>
      </c>
      <c r="D2554" s="138">
        <v>120</v>
      </c>
      <c r="E2554" s="138">
        <v>30</v>
      </c>
      <c r="F2554" s="139">
        <v>2</v>
      </c>
    </row>
    <row r="2555" spans="1:6" x14ac:dyDescent="0.25">
      <c r="A2555" s="110"/>
      <c r="B2555" s="125" t="s">
        <v>2274</v>
      </c>
      <c r="C2555" s="138">
        <v>2</v>
      </c>
      <c r="D2555" s="138">
        <v>120</v>
      </c>
      <c r="E2555" s="138">
        <v>30</v>
      </c>
      <c r="F2555" s="139">
        <v>2</v>
      </c>
    </row>
    <row r="2556" spans="1:6" x14ac:dyDescent="0.25">
      <c r="A2556" s="110"/>
      <c r="B2556" s="125" t="s">
        <v>2275</v>
      </c>
      <c r="C2556" s="138">
        <v>3.03</v>
      </c>
      <c r="D2556" s="138">
        <v>181.79999999999998</v>
      </c>
      <c r="E2556" s="138">
        <v>19.801980198019805</v>
      </c>
      <c r="F2556" s="139">
        <v>3.03</v>
      </c>
    </row>
    <row r="2557" spans="1:6" x14ac:dyDescent="0.25">
      <c r="A2557" s="110"/>
      <c r="B2557" s="125" t="s">
        <v>2275</v>
      </c>
      <c r="C2557" s="138">
        <v>3.03</v>
      </c>
      <c r="D2557" s="138">
        <v>181.79999999999998</v>
      </c>
      <c r="E2557" s="138">
        <v>19.801980198019805</v>
      </c>
      <c r="F2557" s="139">
        <v>3.03</v>
      </c>
    </row>
    <row r="2558" spans="1:6" x14ac:dyDescent="0.25">
      <c r="A2558" s="110"/>
      <c r="B2558" s="125" t="s">
        <v>2275</v>
      </c>
      <c r="C2558" s="138">
        <v>3.33</v>
      </c>
      <c r="D2558" s="138">
        <v>199.8</v>
      </c>
      <c r="E2558" s="138">
        <v>18.018018018018019</v>
      </c>
      <c r="F2558" s="139">
        <v>3.33</v>
      </c>
    </row>
    <row r="2559" spans="1:6" x14ac:dyDescent="0.25">
      <c r="A2559" s="110"/>
      <c r="B2559" s="125" t="s">
        <v>2276</v>
      </c>
      <c r="C2559" s="138">
        <v>3.03</v>
      </c>
      <c r="D2559" s="138">
        <v>181.79999999999998</v>
      </c>
      <c r="E2559" s="138">
        <v>19.801980198019805</v>
      </c>
      <c r="F2559" s="139">
        <v>3.03</v>
      </c>
    </row>
    <row r="2560" spans="1:6" x14ac:dyDescent="0.25">
      <c r="A2560" s="110"/>
      <c r="B2560" s="125" t="s">
        <v>2276</v>
      </c>
      <c r="C2560" s="138">
        <v>3.03</v>
      </c>
      <c r="D2560" s="138">
        <v>181.79999999999998</v>
      </c>
      <c r="E2560" s="138">
        <v>19.801980198019805</v>
      </c>
      <c r="F2560" s="139">
        <v>3.03</v>
      </c>
    </row>
    <row r="2561" spans="1:6" x14ac:dyDescent="0.25">
      <c r="A2561" s="110"/>
      <c r="B2561" s="125" t="s">
        <v>2276</v>
      </c>
      <c r="C2561" s="138">
        <v>3.33</v>
      </c>
      <c r="D2561" s="138">
        <v>199.8</v>
      </c>
      <c r="E2561" s="138">
        <v>18.018018018018019</v>
      </c>
      <c r="F2561" s="139">
        <v>3.33</v>
      </c>
    </row>
    <row r="2562" spans="1:6" x14ac:dyDescent="0.25">
      <c r="A2562" s="110"/>
      <c r="B2562" s="125" t="s">
        <v>2277</v>
      </c>
      <c r="C2562" s="138">
        <v>1.76</v>
      </c>
      <c r="D2562" s="138">
        <v>105.6</v>
      </c>
      <c r="E2562" s="138">
        <v>34.090909090909093</v>
      </c>
      <c r="F2562" s="139">
        <v>1.76</v>
      </c>
    </row>
    <row r="2563" spans="1:6" x14ac:dyDescent="0.25">
      <c r="A2563" s="110"/>
      <c r="B2563" s="125" t="s">
        <v>2277</v>
      </c>
      <c r="C2563" s="138">
        <v>1.76</v>
      </c>
      <c r="D2563" s="138">
        <v>105.6</v>
      </c>
      <c r="E2563" s="138">
        <v>34.090909090909093</v>
      </c>
      <c r="F2563" s="139">
        <v>1.76</v>
      </c>
    </row>
    <row r="2564" spans="1:6" x14ac:dyDescent="0.25">
      <c r="A2564" s="110"/>
      <c r="B2564" s="125" t="s">
        <v>2278</v>
      </c>
      <c r="C2564" s="138">
        <v>1.76</v>
      </c>
      <c r="D2564" s="138">
        <v>105.6</v>
      </c>
      <c r="E2564" s="138">
        <v>34.090909090909093</v>
      </c>
      <c r="F2564" s="139">
        <v>1.76</v>
      </c>
    </row>
    <row r="2565" spans="1:6" x14ac:dyDescent="0.25">
      <c r="A2565" s="110"/>
      <c r="B2565" s="125" t="s">
        <v>2278</v>
      </c>
      <c r="C2565" s="138">
        <v>1.76</v>
      </c>
      <c r="D2565" s="138">
        <v>105.6</v>
      </c>
      <c r="E2565" s="138">
        <v>34.090909090909093</v>
      </c>
      <c r="F2565" s="139">
        <v>1.76</v>
      </c>
    </row>
    <row r="2566" spans="1:6" x14ac:dyDescent="0.25">
      <c r="A2566" s="110"/>
      <c r="B2566" s="125" t="s">
        <v>2279</v>
      </c>
      <c r="C2566" s="138">
        <v>1.76</v>
      </c>
      <c r="D2566" s="138">
        <v>105.6</v>
      </c>
      <c r="E2566" s="138">
        <v>34.090909090909093</v>
      </c>
      <c r="F2566" s="139">
        <v>1.76</v>
      </c>
    </row>
    <row r="2567" spans="1:6" x14ac:dyDescent="0.25">
      <c r="A2567" s="110"/>
      <c r="B2567" s="125" t="s">
        <v>2280</v>
      </c>
      <c r="C2567" s="138">
        <v>1.76</v>
      </c>
      <c r="D2567" s="138">
        <v>105.6</v>
      </c>
      <c r="E2567" s="138">
        <v>34.090909090909093</v>
      </c>
      <c r="F2567" s="139">
        <v>1.76</v>
      </c>
    </row>
    <row r="2568" spans="1:6" x14ac:dyDescent="0.25">
      <c r="A2568" s="110"/>
      <c r="B2568" s="125" t="s">
        <v>2281</v>
      </c>
      <c r="C2568" s="138">
        <v>0.7</v>
      </c>
      <c r="D2568" s="138">
        <v>42</v>
      </c>
      <c r="E2568" s="138">
        <v>85.714285714285708</v>
      </c>
      <c r="F2568" s="139">
        <v>0.7</v>
      </c>
    </row>
    <row r="2569" spans="1:6" x14ac:dyDescent="0.25">
      <c r="A2569" s="110"/>
      <c r="B2569" s="125" t="s">
        <v>2282</v>
      </c>
      <c r="C2569" s="138">
        <v>0.7</v>
      </c>
      <c r="D2569" s="138">
        <v>42</v>
      </c>
      <c r="E2569" s="138">
        <v>85.714285714285708</v>
      </c>
      <c r="F2569" s="139">
        <v>0.7</v>
      </c>
    </row>
    <row r="2570" spans="1:6" x14ac:dyDescent="0.25">
      <c r="A2570" s="110"/>
      <c r="B2570" s="125" t="s">
        <v>2283</v>
      </c>
      <c r="C2570" s="138">
        <v>0.7</v>
      </c>
      <c r="D2570" s="138">
        <v>42</v>
      </c>
      <c r="E2570" s="138">
        <v>85.714285714285708</v>
      </c>
      <c r="F2570" s="139">
        <v>0.7</v>
      </c>
    </row>
    <row r="2571" spans="1:6" x14ac:dyDescent="0.25">
      <c r="A2571" s="110"/>
      <c r="B2571" s="125" t="s">
        <v>2284</v>
      </c>
      <c r="C2571" s="138">
        <v>0.7</v>
      </c>
      <c r="D2571" s="138">
        <v>42</v>
      </c>
      <c r="E2571" s="138">
        <v>85.714285714285708</v>
      </c>
      <c r="F2571" s="139">
        <v>0.7</v>
      </c>
    </row>
    <row r="2572" spans="1:6" x14ac:dyDescent="0.25">
      <c r="A2572" s="110"/>
      <c r="B2572" s="125" t="s">
        <v>2285</v>
      </c>
      <c r="C2572" s="138">
        <v>0.7</v>
      </c>
      <c r="D2572" s="138">
        <v>42</v>
      </c>
      <c r="E2572" s="138">
        <v>85.714285714285708</v>
      </c>
      <c r="F2572" s="139">
        <v>0.7</v>
      </c>
    </row>
    <row r="2573" spans="1:6" x14ac:dyDescent="0.25">
      <c r="A2573" s="110"/>
      <c r="B2573" s="125" t="s">
        <v>2286</v>
      </c>
      <c r="C2573" s="138">
        <v>0.7</v>
      </c>
      <c r="D2573" s="138">
        <v>42</v>
      </c>
      <c r="E2573" s="138">
        <v>85.714285714285708</v>
      </c>
      <c r="F2573" s="139">
        <v>0.7</v>
      </c>
    </row>
    <row r="2574" spans="1:6" x14ac:dyDescent="0.25">
      <c r="A2574" s="110"/>
      <c r="B2574" s="125" t="s">
        <v>2287</v>
      </c>
      <c r="C2574" s="138">
        <v>0.8</v>
      </c>
      <c r="D2574" s="138">
        <v>48</v>
      </c>
      <c r="E2574" s="138">
        <v>75</v>
      </c>
      <c r="F2574" s="139">
        <v>0.8</v>
      </c>
    </row>
    <row r="2575" spans="1:6" x14ac:dyDescent="0.25">
      <c r="A2575" s="110"/>
      <c r="B2575" s="125" t="s">
        <v>2288</v>
      </c>
      <c r="C2575" s="138">
        <v>0.9</v>
      </c>
      <c r="D2575" s="138">
        <v>54</v>
      </c>
      <c r="E2575" s="138">
        <v>66.666666666666671</v>
      </c>
      <c r="F2575" s="139">
        <v>0.9</v>
      </c>
    </row>
    <row r="2576" spans="1:6" x14ac:dyDescent="0.25">
      <c r="A2576" s="110"/>
      <c r="B2576" s="125" t="s">
        <v>2289</v>
      </c>
      <c r="C2576" s="138">
        <v>1.2</v>
      </c>
      <c r="D2576" s="138">
        <v>72</v>
      </c>
      <c r="E2576" s="138">
        <v>50</v>
      </c>
      <c r="F2576" s="139">
        <v>1.2</v>
      </c>
    </row>
    <row r="2577" spans="1:6" x14ac:dyDescent="0.25">
      <c r="A2577" s="110"/>
      <c r="B2577" s="125" t="s">
        <v>2290</v>
      </c>
      <c r="C2577" s="138">
        <v>0.32</v>
      </c>
      <c r="D2577" s="138">
        <v>19.2</v>
      </c>
      <c r="E2577" s="138">
        <v>187.5</v>
      </c>
      <c r="F2577" s="139">
        <v>0.32</v>
      </c>
    </row>
    <row r="2578" spans="1:6" x14ac:dyDescent="0.25">
      <c r="A2578" s="110"/>
      <c r="B2578" s="125" t="s">
        <v>2291</v>
      </c>
      <c r="C2578" s="138">
        <v>0.32</v>
      </c>
      <c r="D2578" s="138">
        <v>19.2</v>
      </c>
      <c r="E2578" s="138">
        <v>187.5</v>
      </c>
      <c r="F2578" s="139">
        <v>0.32</v>
      </c>
    </row>
    <row r="2579" spans="1:6" x14ac:dyDescent="0.25">
      <c r="A2579" s="110"/>
      <c r="B2579" s="125" t="s">
        <v>2292</v>
      </c>
      <c r="C2579" s="138">
        <v>0.96</v>
      </c>
      <c r="D2579" s="138">
        <v>57.599999999999994</v>
      </c>
      <c r="E2579" s="138">
        <v>62.500000000000007</v>
      </c>
      <c r="F2579" s="139">
        <v>0.96</v>
      </c>
    </row>
    <row r="2580" spans="1:6" x14ac:dyDescent="0.25">
      <c r="A2580" s="110"/>
      <c r="B2580" s="125" t="s">
        <v>2293</v>
      </c>
      <c r="C2580" s="138">
        <v>0.9</v>
      </c>
      <c r="D2580" s="138">
        <v>54</v>
      </c>
      <c r="E2580" s="138">
        <v>66.666666666666671</v>
      </c>
      <c r="F2580" s="139">
        <v>0.9</v>
      </c>
    </row>
    <row r="2581" spans="1:6" x14ac:dyDescent="0.25">
      <c r="A2581" s="110"/>
      <c r="B2581" s="125" t="s">
        <v>2294</v>
      </c>
      <c r="C2581" s="138">
        <v>0.9</v>
      </c>
      <c r="D2581" s="138">
        <v>54</v>
      </c>
      <c r="E2581" s="138">
        <v>66.666666666666671</v>
      </c>
      <c r="F2581" s="139">
        <v>0.9</v>
      </c>
    </row>
    <row r="2582" spans="1:6" x14ac:dyDescent="0.25">
      <c r="A2582" s="110"/>
      <c r="B2582" s="125" t="s">
        <v>2293</v>
      </c>
      <c r="C2582" s="138">
        <v>0.9</v>
      </c>
      <c r="D2582" s="138">
        <v>54</v>
      </c>
      <c r="E2582" s="138">
        <v>66.666666666666671</v>
      </c>
      <c r="F2582" s="139">
        <v>0.9</v>
      </c>
    </row>
    <row r="2583" spans="1:6" x14ac:dyDescent="0.25">
      <c r="A2583" s="110"/>
      <c r="B2583" s="125" t="s">
        <v>2295</v>
      </c>
      <c r="C2583" s="138">
        <v>0.9</v>
      </c>
      <c r="D2583" s="138">
        <v>54</v>
      </c>
      <c r="E2583" s="138">
        <v>66.666666666666671</v>
      </c>
      <c r="F2583" s="139">
        <v>0.9</v>
      </c>
    </row>
    <row r="2584" spans="1:6" x14ac:dyDescent="0.25">
      <c r="A2584" s="110"/>
      <c r="B2584" s="125" t="s">
        <v>2295</v>
      </c>
      <c r="C2584" s="138">
        <v>0.9</v>
      </c>
      <c r="D2584" s="138">
        <v>54</v>
      </c>
      <c r="E2584" s="138">
        <v>66.666666666666671</v>
      </c>
      <c r="F2584" s="139">
        <v>0.9</v>
      </c>
    </row>
    <row r="2585" spans="1:6" x14ac:dyDescent="0.25">
      <c r="A2585" s="110"/>
      <c r="B2585" s="125" t="s">
        <v>2296</v>
      </c>
      <c r="C2585" s="138">
        <v>2.2000000000000002</v>
      </c>
      <c r="D2585" s="138">
        <v>132</v>
      </c>
      <c r="E2585" s="138">
        <v>27.272727272727273</v>
      </c>
      <c r="F2585" s="139">
        <v>2.2000000000000002</v>
      </c>
    </row>
    <row r="2586" spans="1:6" x14ac:dyDescent="0.25">
      <c r="A2586" s="110"/>
      <c r="B2586" s="125" t="s">
        <v>2296</v>
      </c>
      <c r="C2586" s="138">
        <v>2.2000000000000002</v>
      </c>
      <c r="D2586" s="138">
        <v>132</v>
      </c>
      <c r="E2586" s="138">
        <v>27.272727272727273</v>
      </c>
      <c r="F2586" s="139">
        <v>2.2000000000000002</v>
      </c>
    </row>
    <row r="2587" spans="1:6" x14ac:dyDescent="0.25">
      <c r="A2587" s="110"/>
      <c r="B2587" s="125" t="s">
        <v>2296</v>
      </c>
      <c r="C2587" s="138">
        <v>2.2000000000000002</v>
      </c>
      <c r="D2587" s="138">
        <v>132</v>
      </c>
      <c r="E2587" s="138">
        <v>27.272727272727273</v>
      </c>
      <c r="F2587" s="139">
        <v>2.2000000000000002</v>
      </c>
    </row>
    <row r="2588" spans="1:6" x14ac:dyDescent="0.25">
      <c r="A2588" s="110"/>
      <c r="B2588" s="125" t="s">
        <v>2297</v>
      </c>
      <c r="C2588" s="138">
        <v>2.2000000000000002</v>
      </c>
      <c r="D2588" s="138">
        <v>132</v>
      </c>
      <c r="E2588" s="138">
        <v>27.272727272727273</v>
      </c>
      <c r="F2588" s="139">
        <v>2.2000000000000002</v>
      </c>
    </row>
    <row r="2589" spans="1:6" x14ac:dyDescent="0.25">
      <c r="A2589" s="110"/>
      <c r="B2589" s="125" t="s">
        <v>2297</v>
      </c>
      <c r="C2589" s="138">
        <v>2.2000000000000002</v>
      </c>
      <c r="D2589" s="138">
        <v>132</v>
      </c>
      <c r="E2589" s="138">
        <v>27.272727272727273</v>
      </c>
      <c r="F2589" s="139">
        <v>2.2000000000000002</v>
      </c>
    </row>
    <row r="2590" spans="1:6" x14ac:dyDescent="0.25">
      <c r="A2590" s="110"/>
      <c r="B2590" s="125" t="s">
        <v>2297</v>
      </c>
      <c r="C2590" s="138">
        <v>2.2000000000000002</v>
      </c>
      <c r="D2590" s="138">
        <v>132</v>
      </c>
      <c r="E2590" s="138">
        <v>27.272727272727273</v>
      </c>
      <c r="F2590" s="139">
        <v>2.2000000000000002</v>
      </c>
    </row>
    <row r="2591" spans="1:6" x14ac:dyDescent="0.25">
      <c r="A2591" s="110"/>
      <c r="B2591" s="125" t="s">
        <v>2296</v>
      </c>
      <c r="C2591" s="138">
        <v>2.2000000000000002</v>
      </c>
      <c r="D2591" s="138">
        <v>132</v>
      </c>
      <c r="E2591" s="138">
        <v>27.272727272727273</v>
      </c>
      <c r="F2591" s="139">
        <v>2.2000000000000002</v>
      </c>
    </row>
    <row r="2592" spans="1:6" x14ac:dyDescent="0.25">
      <c r="A2592" s="110"/>
      <c r="B2592" s="125" t="s">
        <v>2297</v>
      </c>
      <c r="C2592" s="138">
        <v>2.2000000000000002</v>
      </c>
      <c r="D2592" s="138">
        <v>132</v>
      </c>
      <c r="E2592" s="138">
        <v>27.272727272727273</v>
      </c>
      <c r="F2592" s="139">
        <v>2.2000000000000002</v>
      </c>
    </row>
    <row r="2593" spans="1:6" x14ac:dyDescent="0.25">
      <c r="A2593" s="110"/>
      <c r="B2593" s="125" t="s">
        <v>2298</v>
      </c>
      <c r="C2593" s="138">
        <v>0.4</v>
      </c>
      <c r="D2593" s="138">
        <v>24</v>
      </c>
      <c r="E2593" s="138">
        <v>150</v>
      </c>
      <c r="F2593" s="139">
        <v>0.4</v>
      </c>
    </row>
    <row r="2594" spans="1:6" x14ac:dyDescent="0.25">
      <c r="A2594" s="110"/>
      <c r="B2594" s="125" t="s">
        <v>2299</v>
      </c>
      <c r="C2594" s="138">
        <v>0.4</v>
      </c>
      <c r="D2594" s="138">
        <v>24</v>
      </c>
      <c r="E2594" s="138">
        <v>150</v>
      </c>
      <c r="F2594" s="139">
        <v>0.4</v>
      </c>
    </row>
    <row r="2595" spans="1:6" x14ac:dyDescent="0.25">
      <c r="A2595" s="110"/>
      <c r="B2595" s="125" t="s">
        <v>2300</v>
      </c>
      <c r="C2595" s="138">
        <v>1</v>
      </c>
      <c r="D2595" s="138">
        <v>60</v>
      </c>
      <c r="E2595" s="138">
        <v>60</v>
      </c>
      <c r="F2595" s="139">
        <v>1</v>
      </c>
    </row>
    <row r="2596" spans="1:6" x14ac:dyDescent="0.25">
      <c r="A2596" s="110"/>
      <c r="B2596" s="125" t="s">
        <v>2301</v>
      </c>
      <c r="C2596" s="138">
        <v>1</v>
      </c>
      <c r="D2596" s="138">
        <v>60</v>
      </c>
      <c r="E2596" s="138">
        <v>60</v>
      </c>
      <c r="F2596" s="139">
        <v>1</v>
      </c>
    </row>
    <row r="2597" spans="1:6" x14ac:dyDescent="0.25">
      <c r="A2597" s="110"/>
      <c r="B2597" s="125" t="s">
        <v>2302</v>
      </c>
      <c r="C2597" s="138">
        <v>1.44</v>
      </c>
      <c r="D2597" s="138">
        <v>86.399999999999991</v>
      </c>
      <c r="E2597" s="138">
        <v>41.666666666666671</v>
      </c>
      <c r="F2597" s="139">
        <v>1.44</v>
      </c>
    </row>
    <row r="2598" spans="1:6" x14ac:dyDescent="0.25">
      <c r="A2598" s="110"/>
      <c r="B2598" s="125" t="s">
        <v>2303</v>
      </c>
      <c r="C2598" s="138">
        <v>1.44</v>
      </c>
      <c r="D2598" s="138">
        <v>86.399999999999991</v>
      </c>
      <c r="E2598" s="138">
        <v>41.666666666666671</v>
      </c>
      <c r="F2598" s="139">
        <v>1.44</v>
      </c>
    </row>
    <row r="2599" spans="1:6" x14ac:dyDescent="0.25">
      <c r="A2599" s="110"/>
      <c r="B2599" s="125" t="s">
        <v>2304</v>
      </c>
      <c r="C2599" s="138">
        <v>1.44</v>
      </c>
      <c r="D2599" s="138">
        <v>86.399999999999991</v>
      </c>
      <c r="E2599" s="138">
        <v>41.666666666666671</v>
      </c>
      <c r="F2599" s="139">
        <v>1.44</v>
      </c>
    </row>
    <row r="2600" spans="1:6" x14ac:dyDescent="0.25">
      <c r="A2600" s="110"/>
      <c r="B2600" s="125" t="s">
        <v>2305</v>
      </c>
      <c r="C2600" s="138">
        <v>1.44</v>
      </c>
      <c r="D2600" s="138">
        <v>86.399999999999991</v>
      </c>
      <c r="E2600" s="138">
        <v>41.666666666666671</v>
      </c>
      <c r="F2600" s="139">
        <v>1.44</v>
      </c>
    </row>
    <row r="2601" spans="1:6" x14ac:dyDescent="0.25">
      <c r="A2601" s="110"/>
      <c r="B2601" s="125" t="s">
        <v>2306</v>
      </c>
      <c r="C2601" s="138">
        <v>0.6</v>
      </c>
      <c r="D2601" s="138">
        <v>36</v>
      </c>
      <c r="E2601" s="138">
        <v>100</v>
      </c>
      <c r="F2601" s="139">
        <v>0.6</v>
      </c>
    </row>
    <row r="2602" spans="1:6" x14ac:dyDescent="0.25">
      <c r="A2602" s="110"/>
      <c r="B2602" s="125" t="s">
        <v>2307</v>
      </c>
      <c r="C2602" s="138">
        <v>0.6</v>
      </c>
      <c r="D2602" s="138">
        <v>36</v>
      </c>
      <c r="E2602" s="138">
        <v>100</v>
      </c>
      <c r="F2602" s="139">
        <v>0.6</v>
      </c>
    </row>
    <row r="2603" spans="1:6" x14ac:dyDescent="0.25">
      <c r="A2603" s="110"/>
      <c r="B2603" s="125" t="s">
        <v>2308</v>
      </c>
      <c r="C2603" s="138">
        <v>0.87</v>
      </c>
      <c r="D2603" s="138">
        <v>52.2</v>
      </c>
      <c r="E2603" s="138">
        <v>68.965517241379303</v>
      </c>
      <c r="F2603" s="139">
        <v>0.87</v>
      </c>
    </row>
    <row r="2604" spans="1:6" x14ac:dyDescent="0.25">
      <c r="A2604" s="110"/>
      <c r="B2604" s="125" t="s">
        <v>2309</v>
      </c>
      <c r="C2604" s="138">
        <v>1.1399999999999999</v>
      </c>
      <c r="D2604" s="138">
        <v>68.399999999999991</v>
      </c>
      <c r="E2604" s="138">
        <v>52.631578947368425</v>
      </c>
      <c r="F2604" s="139">
        <v>1.1399999999999999</v>
      </c>
    </row>
    <row r="2605" spans="1:6" x14ac:dyDescent="0.25">
      <c r="A2605" s="110"/>
      <c r="B2605" s="125" t="s">
        <v>2310</v>
      </c>
      <c r="C2605" s="138">
        <v>1.1399999999999999</v>
      </c>
      <c r="D2605" s="138">
        <v>68.399999999999991</v>
      </c>
      <c r="E2605" s="138">
        <v>52.631578947368425</v>
      </c>
      <c r="F2605" s="139">
        <v>1.1399999999999999</v>
      </c>
    </row>
    <row r="2606" spans="1:6" x14ac:dyDescent="0.25">
      <c r="A2606" s="110"/>
      <c r="B2606" s="125" t="s">
        <v>2311</v>
      </c>
      <c r="C2606" s="138">
        <v>0.87</v>
      </c>
      <c r="D2606" s="138">
        <v>52.2</v>
      </c>
      <c r="E2606" s="138">
        <v>68.965517241379303</v>
      </c>
      <c r="F2606" s="139">
        <v>0.87</v>
      </c>
    </row>
    <row r="2607" spans="1:6" x14ac:dyDescent="0.25">
      <c r="A2607" s="110"/>
      <c r="B2607" s="125" t="s">
        <v>2312</v>
      </c>
      <c r="C2607" s="138">
        <v>0.87</v>
      </c>
      <c r="D2607" s="138">
        <v>52.2</v>
      </c>
      <c r="E2607" s="138">
        <v>68.965517241379303</v>
      </c>
      <c r="F2607" s="139">
        <v>0.87</v>
      </c>
    </row>
    <row r="2608" spans="1:6" x14ac:dyDescent="0.25">
      <c r="A2608" s="110"/>
      <c r="B2608" s="125" t="s">
        <v>2311</v>
      </c>
      <c r="C2608" s="138">
        <v>0.87</v>
      </c>
      <c r="D2608" s="138">
        <v>52.2</v>
      </c>
      <c r="E2608" s="138">
        <v>68.965517241379303</v>
      </c>
      <c r="F2608" s="139">
        <v>0.87</v>
      </c>
    </row>
    <row r="2609" spans="1:6" x14ac:dyDescent="0.25">
      <c r="A2609" s="110"/>
      <c r="B2609" s="125" t="s">
        <v>2312</v>
      </c>
      <c r="C2609" s="138">
        <v>0.87</v>
      </c>
      <c r="D2609" s="138">
        <v>52.2</v>
      </c>
      <c r="E2609" s="138">
        <v>68.965517241379303</v>
      </c>
      <c r="F2609" s="139">
        <v>0.87</v>
      </c>
    </row>
    <row r="2610" spans="1:6" x14ac:dyDescent="0.25">
      <c r="A2610" s="110"/>
      <c r="B2610" s="125" t="s">
        <v>2311</v>
      </c>
      <c r="C2610" s="138">
        <v>0.87</v>
      </c>
      <c r="D2610" s="138">
        <v>52.2</v>
      </c>
      <c r="E2610" s="138">
        <v>68.965517241379303</v>
      </c>
      <c r="F2610" s="139">
        <v>0.87</v>
      </c>
    </row>
    <row r="2611" spans="1:6" x14ac:dyDescent="0.25">
      <c r="A2611" s="110"/>
      <c r="B2611" s="125" t="s">
        <v>2312</v>
      </c>
      <c r="C2611" s="138">
        <v>0.87</v>
      </c>
      <c r="D2611" s="138">
        <v>52.2</v>
      </c>
      <c r="E2611" s="138">
        <v>68.965517241379303</v>
      </c>
      <c r="F2611" s="139">
        <v>0.87</v>
      </c>
    </row>
    <row r="2612" spans="1:6" x14ac:dyDescent="0.25">
      <c r="A2612" s="110"/>
      <c r="B2612" s="125" t="s">
        <v>2313</v>
      </c>
      <c r="C2612" s="138">
        <v>1.1399999999999999</v>
      </c>
      <c r="D2612" s="138">
        <v>68.399999999999991</v>
      </c>
      <c r="E2612" s="138">
        <v>52.631578947368425</v>
      </c>
      <c r="F2612" s="139">
        <v>1.1399999999999999</v>
      </c>
    </row>
    <row r="2613" spans="1:6" x14ac:dyDescent="0.25">
      <c r="A2613" s="110"/>
      <c r="B2613" s="125" t="s">
        <v>2314</v>
      </c>
      <c r="C2613" s="138">
        <v>1.1399999999999999</v>
      </c>
      <c r="D2613" s="138">
        <v>68.399999999999991</v>
      </c>
      <c r="E2613" s="138">
        <v>52.631578947368425</v>
      </c>
      <c r="F2613" s="139">
        <v>1.1399999999999999</v>
      </c>
    </row>
    <row r="2614" spans="1:6" x14ac:dyDescent="0.25">
      <c r="A2614" s="110"/>
      <c r="B2614" s="125" t="s">
        <v>2315</v>
      </c>
      <c r="C2614" s="138">
        <v>1.1399999999999999</v>
      </c>
      <c r="D2614" s="138">
        <v>68.399999999999991</v>
      </c>
      <c r="E2614" s="138">
        <v>52.631578947368425</v>
      </c>
      <c r="F2614" s="139">
        <v>1.1399999999999999</v>
      </c>
    </row>
    <row r="2615" spans="1:6" x14ac:dyDescent="0.25">
      <c r="A2615" s="110"/>
      <c r="B2615" s="125" t="s">
        <v>2316</v>
      </c>
      <c r="C2615" s="138">
        <v>1.1399999999999999</v>
      </c>
      <c r="D2615" s="138">
        <v>68.399999999999991</v>
      </c>
      <c r="E2615" s="138">
        <v>52.631578947368425</v>
      </c>
      <c r="F2615" s="139">
        <v>1.1399999999999999</v>
      </c>
    </row>
    <row r="2616" spans="1:6" x14ac:dyDescent="0.25">
      <c r="A2616" s="110"/>
      <c r="B2616" s="125" t="s">
        <v>2317</v>
      </c>
      <c r="C2616" s="138">
        <v>1.1399999999999999</v>
      </c>
      <c r="D2616" s="138">
        <v>68.399999999999991</v>
      </c>
      <c r="E2616" s="138">
        <v>52.631578947368425</v>
      </c>
      <c r="F2616" s="139">
        <v>1.1399999999999999</v>
      </c>
    </row>
    <row r="2617" spans="1:6" x14ac:dyDescent="0.25">
      <c r="A2617" s="110"/>
      <c r="B2617" s="125" t="s">
        <v>2318</v>
      </c>
      <c r="C2617" s="138">
        <v>1.1399999999999999</v>
      </c>
      <c r="D2617" s="138">
        <v>68.399999999999991</v>
      </c>
      <c r="E2617" s="138">
        <v>52.631578947368425</v>
      </c>
      <c r="F2617" s="139">
        <v>1.1399999999999999</v>
      </c>
    </row>
    <row r="2618" spans="1:6" x14ac:dyDescent="0.25">
      <c r="A2618" s="110"/>
      <c r="B2618" s="125" t="s">
        <v>2317</v>
      </c>
      <c r="C2618" s="138">
        <v>1.1399999999999999</v>
      </c>
      <c r="D2618" s="138">
        <v>68.399999999999991</v>
      </c>
      <c r="E2618" s="138">
        <v>52.631578947368425</v>
      </c>
      <c r="F2618" s="139">
        <v>1.1399999999999999</v>
      </c>
    </row>
    <row r="2619" spans="1:6" x14ac:dyDescent="0.25">
      <c r="A2619" s="110"/>
      <c r="B2619" s="125" t="s">
        <v>2318</v>
      </c>
      <c r="C2619" s="138">
        <v>1.1399999999999999</v>
      </c>
      <c r="D2619" s="138">
        <v>68.399999999999991</v>
      </c>
      <c r="E2619" s="138">
        <v>52.631578947368425</v>
      </c>
      <c r="F2619" s="139">
        <v>1.1399999999999999</v>
      </c>
    </row>
    <row r="2620" spans="1:6" x14ac:dyDescent="0.25">
      <c r="A2620" s="110"/>
      <c r="B2620" s="125" t="s">
        <v>2319</v>
      </c>
      <c r="C2620" s="138">
        <v>1.8</v>
      </c>
      <c r="D2620" s="138">
        <v>108</v>
      </c>
      <c r="E2620" s="138">
        <v>33.333333333333336</v>
      </c>
      <c r="F2620" s="139">
        <v>1.8</v>
      </c>
    </row>
    <row r="2621" spans="1:6" x14ac:dyDescent="0.25">
      <c r="A2621" s="110"/>
      <c r="B2621" s="125" t="s">
        <v>2320</v>
      </c>
      <c r="C2621" s="138">
        <v>1.1399999999999999</v>
      </c>
      <c r="D2621" s="138">
        <v>68.399999999999991</v>
      </c>
      <c r="E2621" s="138">
        <v>52.631578947368425</v>
      </c>
      <c r="F2621" s="139">
        <v>1.1399999999999999</v>
      </c>
    </row>
    <row r="2622" spans="1:6" x14ac:dyDescent="0.25">
      <c r="A2622" s="110"/>
      <c r="B2622" s="125" t="s">
        <v>2314</v>
      </c>
      <c r="C2622" s="138">
        <v>1.1399999999999999</v>
      </c>
      <c r="D2622" s="138">
        <v>68.399999999999991</v>
      </c>
      <c r="E2622" s="138">
        <v>52.631578947368425</v>
      </c>
      <c r="F2622" s="139">
        <v>1.1399999999999999</v>
      </c>
    </row>
    <row r="2623" spans="1:6" x14ac:dyDescent="0.25">
      <c r="A2623" s="110"/>
      <c r="B2623" s="125" t="s">
        <v>2321</v>
      </c>
      <c r="C2623" s="138">
        <v>1.1399999999999999</v>
      </c>
      <c r="D2623" s="138">
        <v>68.399999999999991</v>
      </c>
      <c r="E2623" s="138">
        <v>52.631578947368425</v>
      </c>
      <c r="F2623" s="139">
        <v>1.1399999999999999</v>
      </c>
    </row>
    <row r="2624" spans="1:6" x14ac:dyDescent="0.25">
      <c r="A2624" s="110"/>
      <c r="B2624" s="125" t="s">
        <v>2322</v>
      </c>
      <c r="C2624" s="138">
        <v>1.1399999999999999</v>
      </c>
      <c r="D2624" s="138">
        <v>68.399999999999991</v>
      </c>
      <c r="E2624" s="138">
        <v>52.631578947368425</v>
      </c>
      <c r="F2624" s="139">
        <v>1.1399999999999999</v>
      </c>
    </row>
    <row r="2625" spans="1:6" x14ac:dyDescent="0.25">
      <c r="A2625" s="110"/>
      <c r="B2625" s="125" t="s">
        <v>2323</v>
      </c>
      <c r="C2625" s="138">
        <v>1.1399999999999999</v>
      </c>
      <c r="D2625" s="138">
        <v>68.399999999999991</v>
      </c>
      <c r="E2625" s="138">
        <v>52.631578947368425</v>
      </c>
      <c r="F2625" s="139">
        <v>1.1399999999999999</v>
      </c>
    </row>
    <row r="2626" spans="1:6" x14ac:dyDescent="0.25">
      <c r="A2626" s="110"/>
      <c r="B2626" s="125" t="s">
        <v>2324</v>
      </c>
      <c r="C2626" s="138">
        <v>1.1399999999999999</v>
      </c>
      <c r="D2626" s="138">
        <v>68.399999999999991</v>
      </c>
      <c r="E2626" s="138">
        <v>52.631578947368425</v>
      </c>
      <c r="F2626" s="139">
        <v>1.1399999999999999</v>
      </c>
    </row>
    <row r="2627" spans="1:6" x14ac:dyDescent="0.25">
      <c r="A2627" s="110"/>
      <c r="B2627" s="125" t="s">
        <v>2325</v>
      </c>
      <c r="C2627" s="138">
        <v>1.58</v>
      </c>
      <c r="D2627" s="138">
        <v>94.800000000000011</v>
      </c>
      <c r="E2627" s="138">
        <v>37.974683544303794</v>
      </c>
      <c r="F2627" s="139">
        <v>1.58</v>
      </c>
    </row>
    <row r="2628" spans="1:6" x14ac:dyDescent="0.25">
      <c r="A2628" s="110"/>
      <c r="B2628" s="125" t="s">
        <v>2326</v>
      </c>
      <c r="C2628" s="138">
        <v>2.4</v>
      </c>
      <c r="D2628" s="138">
        <v>144</v>
      </c>
      <c r="E2628" s="138">
        <v>25</v>
      </c>
      <c r="F2628" s="139">
        <v>2.4</v>
      </c>
    </row>
    <row r="2629" spans="1:6" x14ac:dyDescent="0.25">
      <c r="A2629" s="110"/>
      <c r="B2629" s="125" t="s">
        <v>2326</v>
      </c>
      <c r="C2629" s="138">
        <v>2.4</v>
      </c>
      <c r="D2629" s="138">
        <v>144</v>
      </c>
      <c r="E2629" s="138">
        <v>25</v>
      </c>
      <c r="F2629" s="139">
        <v>2.4</v>
      </c>
    </row>
    <row r="2630" spans="1:6" x14ac:dyDescent="0.25">
      <c r="A2630" s="110"/>
      <c r="B2630" s="125" t="s">
        <v>2327</v>
      </c>
      <c r="C2630" s="138">
        <v>2.4</v>
      </c>
      <c r="D2630" s="138">
        <v>144</v>
      </c>
      <c r="E2630" s="138">
        <v>25</v>
      </c>
      <c r="F2630" s="139">
        <v>2.4</v>
      </c>
    </row>
    <row r="2631" spans="1:6" x14ac:dyDescent="0.25">
      <c r="A2631" s="110"/>
      <c r="B2631" s="125" t="s">
        <v>2326</v>
      </c>
      <c r="C2631" s="138">
        <v>2.4</v>
      </c>
      <c r="D2631" s="138">
        <v>144</v>
      </c>
      <c r="E2631" s="138">
        <v>25</v>
      </c>
      <c r="F2631" s="139">
        <v>2.4</v>
      </c>
    </row>
    <row r="2632" spans="1:6" x14ac:dyDescent="0.25">
      <c r="A2632" s="110"/>
      <c r="B2632" s="125" t="s">
        <v>2328</v>
      </c>
      <c r="C2632" s="138">
        <v>1.58</v>
      </c>
      <c r="D2632" s="138">
        <v>94.800000000000011</v>
      </c>
      <c r="E2632" s="138">
        <v>37.974683544303794</v>
      </c>
      <c r="F2632" s="139">
        <v>1.58</v>
      </c>
    </row>
    <row r="2633" spans="1:6" x14ac:dyDescent="0.25">
      <c r="A2633" s="110"/>
      <c r="B2633" s="125" t="s">
        <v>2328</v>
      </c>
      <c r="C2633" s="138">
        <v>2.4</v>
      </c>
      <c r="D2633" s="138">
        <v>144</v>
      </c>
      <c r="E2633" s="138">
        <v>25</v>
      </c>
      <c r="F2633" s="139">
        <v>2.4</v>
      </c>
    </row>
    <row r="2634" spans="1:6" x14ac:dyDescent="0.25">
      <c r="A2634" s="110"/>
      <c r="B2634" s="125" t="s">
        <v>2328</v>
      </c>
      <c r="C2634" s="138">
        <v>2.4</v>
      </c>
      <c r="D2634" s="138">
        <v>144</v>
      </c>
      <c r="E2634" s="138">
        <v>25</v>
      </c>
      <c r="F2634" s="139">
        <v>2.4</v>
      </c>
    </row>
    <row r="2635" spans="1:6" x14ac:dyDescent="0.25">
      <c r="A2635" s="110"/>
      <c r="B2635" s="125" t="s">
        <v>2329</v>
      </c>
      <c r="C2635" s="138">
        <v>2.4</v>
      </c>
      <c r="D2635" s="138">
        <v>144</v>
      </c>
      <c r="E2635" s="138">
        <v>25</v>
      </c>
      <c r="F2635" s="139">
        <v>2.4</v>
      </c>
    </row>
    <row r="2636" spans="1:6" x14ac:dyDescent="0.25">
      <c r="A2636" s="110"/>
      <c r="B2636" s="125" t="s">
        <v>2328</v>
      </c>
      <c r="C2636" s="138">
        <v>2.4</v>
      </c>
      <c r="D2636" s="138">
        <v>144</v>
      </c>
      <c r="E2636" s="138">
        <v>25</v>
      </c>
      <c r="F2636" s="139">
        <v>2.4</v>
      </c>
    </row>
    <row r="2637" spans="1:6" x14ac:dyDescent="0.25">
      <c r="A2637" s="110"/>
      <c r="B2637" s="125" t="s">
        <v>2330</v>
      </c>
      <c r="C2637" s="138">
        <v>2.4</v>
      </c>
      <c r="D2637" s="138">
        <v>144</v>
      </c>
      <c r="E2637" s="138">
        <v>25</v>
      </c>
      <c r="F2637" s="139">
        <v>2.4</v>
      </c>
    </row>
    <row r="2638" spans="1:6" x14ac:dyDescent="0.25">
      <c r="A2638" s="110"/>
      <c r="B2638" s="125" t="s">
        <v>2331</v>
      </c>
      <c r="C2638" s="138">
        <v>1.58</v>
      </c>
      <c r="D2638" s="138">
        <v>94.800000000000011</v>
      </c>
      <c r="E2638" s="138">
        <v>37.974683544303794</v>
      </c>
      <c r="F2638" s="139">
        <v>1.58</v>
      </c>
    </row>
    <row r="2639" spans="1:6" x14ac:dyDescent="0.25">
      <c r="A2639" s="110"/>
      <c r="B2639" s="125" t="s">
        <v>2332</v>
      </c>
      <c r="C2639" s="138">
        <v>1.58</v>
      </c>
      <c r="D2639" s="138">
        <v>94.800000000000011</v>
      </c>
      <c r="E2639" s="138">
        <v>37.974683544303794</v>
      </c>
      <c r="F2639" s="139">
        <v>1.58</v>
      </c>
    </row>
    <row r="2640" spans="1:6" x14ac:dyDescent="0.25">
      <c r="A2640" s="110"/>
      <c r="B2640" s="125" t="s">
        <v>2330</v>
      </c>
      <c r="C2640" s="138">
        <v>2.4</v>
      </c>
      <c r="D2640" s="138">
        <v>144</v>
      </c>
      <c r="E2640" s="138">
        <v>25</v>
      </c>
      <c r="F2640" s="139">
        <v>2.4</v>
      </c>
    </row>
    <row r="2641" spans="1:6" x14ac:dyDescent="0.25">
      <c r="A2641" s="110"/>
      <c r="B2641" s="125" t="s">
        <v>2330</v>
      </c>
      <c r="C2641" s="138">
        <v>2.4</v>
      </c>
      <c r="D2641" s="138">
        <v>144</v>
      </c>
      <c r="E2641" s="138">
        <v>25</v>
      </c>
      <c r="F2641" s="139">
        <v>2.4</v>
      </c>
    </row>
    <row r="2642" spans="1:6" x14ac:dyDescent="0.25">
      <c r="A2642" s="110"/>
      <c r="B2642" s="125" t="s">
        <v>2333</v>
      </c>
      <c r="C2642" s="138">
        <v>2.4</v>
      </c>
      <c r="D2642" s="138">
        <v>144</v>
      </c>
      <c r="E2642" s="138">
        <v>25</v>
      </c>
      <c r="F2642" s="139">
        <v>2.4</v>
      </c>
    </row>
    <row r="2643" spans="1:6" x14ac:dyDescent="0.25">
      <c r="A2643" s="110"/>
      <c r="B2643" s="125" t="s">
        <v>2334</v>
      </c>
      <c r="C2643" s="138">
        <v>1.58</v>
      </c>
      <c r="D2643" s="138">
        <v>94.800000000000011</v>
      </c>
      <c r="E2643" s="138">
        <v>37.974683544303794</v>
      </c>
      <c r="F2643" s="139">
        <v>1.58</v>
      </c>
    </row>
    <row r="2644" spans="1:6" x14ac:dyDescent="0.25">
      <c r="A2644" s="110"/>
      <c r="B2644" s="125" t="s">
        <v>2335</v>
      </c>
      <c r="C2644" s="138">
        <v>1.58</v>
      </c>
      <c r="D2644" s="138">
        <v>94.800000000000011</v>
      </c>
      <c r="E2644" s="138">
        <v>37.974683544303794</v>
      </c>
      <c r="F2644" s="139">
        <v>1.58</v>
      </c>
    </row>
    <row r="2645" spans="1:6" x14ac:dyDescent="0.25">
      <c r="A2645" s="110"/>
      <c r="B2645" s="125" t="s">
        <v>2333</v>
      </c>
      <c r="C2645" s="138">
        <v>2.4</v>
      </c>
      <c r="D2645" s="138">
        <v>144</v>
      </c>
      <c r="E2645" s="138">
        <v>25</v>
      </c>
      <c r="F2645" s="139">
        <v>2.4</v>
      </c>
    </row>
    <row r="2646" spans="1:6" x14ac:dyDescent="0.25">
      <c r="A2646" s="110"/>
      <c r="B2646" s="125" t="s">
        <v>2333</v>
      </c>
      <c r="C2646" s="138">
        <v>2.4</v>
      </c>
      <c r="D2646" s="138">
        <v>144</v>
      </c>
      <c r="E2646" s="138">
        <v>25</v>
      </c>
      <c r="F2646" s="139">
        <v>2.4</v>
      </c>
    </row>
    <row r="2647" spans="1:6" x14ac:dyDescent="0.25">
      <c r="A2647" s="110"/>
      <c r="B2647" s="125" t="s">
        <v>2325</v>
      </c>
      <c r="C2647" s="138">
        <v>1.58</v>
      </c>
      <c r="D2647" s="138">
        <v>94.800000000000011</v>
      </c>
      <c r="E2647" s="138">
        <v>37.974683544303794</v>
      </c>
      <c r="F2647" s="139">
        <v>1.58</v>
      </c>
    </row>
    <row r="2648" spans="1:6" x14ac:dyDescent="0.25">
      <c r="A2648" s="110"/>
      <c r="B2648" s="125" t="s">
        <v>2336</v>
      </c>
      <c r="C2648" s="138">
        <v>1.58</v>
      </c>
      <c r="D2648" s="138">
        <v>94.800000000000011</v>
      </c>
      <c r="E2648" s="138">
        <v>37.974683544303794</v>
      </c>
      <c r="F2648" s="139">
        <v>1.58</v>
      </c>
    </row>
    <row r="2649" spans="1:6" x14ac:dyDescent="0.25">
      <c r="A2649" s="110"/>
      <c r="B2649" s="125" t="s">
        <v>2332</v>
      </c>
      <c r="C2649" s="138">
        <v>1.58</v>
      </c>
      <c r="D2649" s="138">
        <v>94.800000000000011</v>
      </c>
      <c r="E2649" s="138">
        <v>37.974683544303794</v>
      </c>
      <c r="F2649" s="139">
        <v>1.58</v>
      </c>
    </row>
    <row r="2650" spans="1:6" x14ac:dyDescent="0.25">
      <c r="A2650" s="110"/>
      <c r="B2650" s="125" t="s">
        <v>2335</v>
      </c>
      <c r="C2650" s="138">
        <v>1.58</v>
      </c>
      <c r="D2650" s="138">
        <v>94.800000000000011</v>
      </c>
      <c r="E2650" s="138">
        <v>37.974683544303794</v>
      </c>
      <c r="F2650" s="139">
        <v>1.58</v>
      </c>
    </row>
    <row r="2651" spans="1:6" x14ac:dyDescent="0.25">
      <c r="A2651" s="110"/>
      <c r="B2651" s="125" t="s">
        <v>2337</v>
      </c>
      <c r="C2651" s="138">
        <v>1</v>
      </c>
      <c r="D2651" s="138">
        <v>60</v>
      </c>
      <c r="E2651" s="138">
        <v>60</v>
      </c>
      <c r="F2651" s="139">
        <v>1</v>
      </c>
    </row>
    <row r="2652" spans="1:6" x14ac:dyDescent="0.25">
      <c r="A2652" s="110"/>
      <c r="B2652" s="125" t="s">
        <v>2338</v>
      </c>
      <c r="C2652" s="138">
        <v>1</v>
      </c>
      <c r="D2652" s="138">
        <v>60</v>
      </c>
      <c r="E2652" s="138">
        <v>60</v>
      </c>
      <c r="F2652" s="139">
        <v>1</v>
      </c>
    </row>
    <row r="2653" spans="1:6" x14ac:dyDescent="0.25">
      <c r="A2653" s="110"/>
      <c r="B2653" s="125" t="s">
        <v>2339</v>
      </c>
      <c r="C2653" s="138">
        <v>1.33</v>
      </c>
      <c r="D2653" s="138">
        <v>79.800000000000011</v>
      </c>
      <c r="E2653" s="138">
        <v>45.112781954887211</v>
      </c>
      <c r="F2653" s="139">
        <v>1.33</v>
      </c>
    </row>
    <row r="2654" spans="1:6" x14ac:dyDescent="0.25">
      <c r="A2654" s="110"/>
      <c r="B2654" s="125" t="s">
        <v>2340</v>
      </c>
      <c r="C2654" s="138">
        <v>1.33</v>
      </c>
      <c r="D2654" s="138">
        <v>79.800000000000011</v>
      </c>
      <c r="E2654" s="138">
        <v>45.112781954887211</v>
      </c>
      <c r="F2654" s="139">
        <v>1.33</v>
      </c>
    </row>
    <row r="2655" spans="1:6" x14ac:dyDescent="0.25">
      <c r="A2655" s="110"/>
      <c r="B2655" s="125" t="s">
        <v>2341</v>
      </c>
      <c r="C2655" s="138">
        <v>1.33</v>
      </c>
      <c r="D2655" s="138">
        <v>79.800000000000011</v>
      </c>
      <c r="E2655" s="138">
        <v>45.112781954887211</v>
      </c>
      <c r="F2655" s="139">
        <v>1.33</v>
      </c>
    </row>
    <row r="2656" spans="1:6" x14ac:dyDescent="0.25">
      <c r="A2656" s="110"/>
      <c r="B2656" s="125" t="s">
        <v>2342</v>
      </c>
      <c r="C2656" s="138">
        <v>1.33</v>
      </c>
      <c r="D2656" s="138">
        <v>79.800000000000011</v>
      </c>
      <c r="E2656" s="138">
        <v>45.112781954887211</v>
      </c>
      <c r="F2656" s="139">
        <v>1.33</v>
      </c>
    </row>
    <row r="2657" spans="1:6" x14ac:dyDescent="0.25">
      <c r="A2657" s="110"/>
      <c r="B2657" s="125" t="s">
        <v>2343</v>
      </c>
      <c r="C2657" s="138">
        <v>1.33</v>
      </c>
      <c r="D2657" s="138">
        <v>79.800000000000011</v>
      </c>
      <c r="E2657" s="138">
        <v>45.112781954887211</v>
      </c>
      <c r="F2657" s="139">
        <v>1.33</v>
      </c>
    </row>
    <row r="2658" spans="1:6" x14ac:dyDescent="0.25">
      <c r="A2658" s="110"/>
      <c r="B2658" s="125" t="s">
        <v>2344</v>
      </c>
      <c r="C2658" s="138">
        <v>1.33</v>
      </c>
      <c r="D2658" s="138">
        <v>79.800000000000011</v>
      </c>
      <c r="E2658" s="138">
        <v>45.112781954887211</v>
      </c>
      <c r="F2658" s="139">
        <v>1.33</v>
      </c>
    </row>
    <row r="2659" spans="1:6" x14ac:dyDescent="0.25">
      <c r="A2659" s="110"/>
      <c r="B2659" s="125" t="s">
        <v>2345</v>
      </c>
      <c r="C2659" s="138">
        <v>1.33</v>
      </c>
      <c r="D2659" s="138">
        <v>79.800000000000011</v>
      </c>
      <c r="E2659" s="138">
        <v>45.112781954887211</v>
      </c>
      <c r="F2659" s="139">
        <v>1.33</v>
      </c>
    </row>
    <row r="2660" spans="1:6" x14ac:dyDescent="0.25">
      <c r="A2660" s="110"/>
      <c r="B2660" s="125" t="s">
        <v>2346</v>
      </c>
      <c r="C2660" s="138">
        <v>1.33</v>
      </c>
      <c r="D2660" s="138">
        <v>79.800000000000011</v>
      </c>
      <c r="E2660" s="138">
        <v>45.112781954887211</v>
      </c>
      <c r="F2660" s="139">
        <v>1.33</v>
      </c>
    </row>
    <row r="2661" spans="1:6" x14ac:dyDescent="0.25">
      <c r="A2661" s="110"/>
      <c r="B2661" s="125" t="s">
        <v>2347</v>
      </c>
      <c r="C2661" s="138">
        <v>1.33</v>
      </c>
      <c r="D2661" s="138">
        <v>79.800000000000011</v>
      </c>
      <c r="E2661" s="138">
        <v>45.112781954887211</v>
      </c>
      <c r="F2661" s="139">
        <v>1.33</v>
      </c>
    </row>
    <row r="2662" spans="1:6" x14ac:dyDescent="0.25">
      <c r="A2662" s="110"/>
      <c r="B2662" s="125" t="s">
        <v>2348</v>
      </c>
      <c r="C2662" s="138">
        <v>13.94</v>
      </c>
      <c r="D2662" s="138">
        <v>836.4</v>
      </c>
      <c r="E2662" s="138">
        <v>4.3041606886657107</v>
      </c>
      <c r="F2662" s="139">
        <v>13.94</v>
      </c>
    </row>
    <row r="2663" spans="1:6" x14ac:dyDescent="0.25">
      <c r="A2663" s="110"/>
      <c r="B2663" s="125" t="s">
        <v>2349</v>
      </c>
      <c r="C2663" s="138">
        <v>9.58</v>
      </c>
      <c r="D2663" s="138">
        <v>574.79999999999995</v>
      </c>
      <c r="E2663" s="138">
        <v>6.2630480167014619</v>
      </c>
      <c r="F2663" s="139">
        <v>9.58</v>
      </c>
    </row>
    <row r="2664" spans="1:6" x14ac:dyDescent="0.25">
      <c r="A2664" s="110"/>
      <c r="B2664" s="125" t="s">
        <v>2350</v>
      </c>
      <c r="C2664" s="138">
        <v>11.13</v>
      </c>
      <c r="D2664" s="138">
        <v>667.80000000000007</v>
      </c>
      <c r="E2664" s="138">
        <v>5.3908355795148246</v>
      </c>
      <c r="F2664" s="139">
        <v>11.13</v>
      </c>
    </row>
    <row r="2665" spans="1:6" x14ac:dyDescent="0.25">
      <c r="A2665" s="110"/>
      <c r="B2665" s="125" t="s">
        <v>2351</v>
      </c>
      <c r="C2665" s="138">
        <v>3.81</v>
      </c>
      <c r="D2665" s="138">
        <v>228.6</v>
      </c>
      <c r="E2665" s="138">
        <v>15.748031496062993</v>
      </c>
      <c r="F2665" s="139">
        <v>3.81</v>
      </c>
    </row>
    <row r="2666" spans="1:6" x14ac:dyDescent="0.25">
      <c r="A2666" s="110"/>
      <c r="B2666" s="125" t="s">
        <v>2352</v>
      </c>
      <c r="C2666" s="138">
        <v>13.94</v>
      </c>
      <c r="D2666" s="138">
        <v>836.4</v>
      </c>
      <c r="E2666" s="138">
        <v>4.3041606886657107</v>
      </c>
      <c r="F2666" s="139">
        <v>13.94</v>
      </c>
    </row>
    <row r="2667" spans="1:6" x14ac:dyDescent="0.25">
      <c r="A2667" s="110"/>
      <c r="B2667" s="125" t="s">
        <v>2353</v>
      </c>
      <c r="C2667" s="138">
        <v>0.52</v>
      </c>
      <c r="D2667" s="138">
        <v>31.200000000000003</v>
      </c>
      <c r="E2667" s="138">
        <v>115.38461538461537</v>
      </c>
      <c r="F2667" s="139">
        <v>0.52</v>
      </c>
    </row>
    <row r="2668" spans="1:6" x14ac:dyDescent="0.25">
      <c r="A2668" s="110"/>
      <c r="B2668" s="125" t="s">
        <v>2354</v>
      </c>
      <c r="C2668" s="138">
        <v>0.52</v>
      </c>
      <c r="D2668" s="138">
        <v>31.200000000000003</v>
      </c>
      <c r="E2668" s="138">
        <v>115.38461538461537</v>
      </c>
      <c r="F2668" s="139">
        <v>0.52</v>
      </c>
    </row>
    <row r="2669" spans="1:6" x14ac:dyDescent="0.25">
      <c r="A2669" s="110"/>
      <c r="B2669" s="125" t="s">
        <v>2355</v>
      </c>
      <c r="C2669" s="138">
        <v>0.71</v>
      </c>
      <c r="D2669" s="138">
        <v>42.599999999999994</v>
      </c>
      <c r="E2669" s="138">
        <v>84.507042253521135</v>
      </c>
      <c r="F2669" s="139">
        <v>0.71</v>
      </c>
    </row>
    <row r="2670" spans="1:6" x14ac:dyDescent="0.25">
      <c r="A2670" s="110"/>
      <c r="B2670" s="125" t="s">
        <v>2356</v>
      </c>
      <c r="C2670" s="138">
        <v>0</v>
      </c>
      <c r="D2670" s="138">
        <v>0</v>
      </c>
      <c r="E2670" s="138" t="e">
        <v>#DIV/0!</v>
      </c>
      <c r="F2670" s="139">
        <v>0</v>
      </c>
    </row>
    <row r="2671" spans="1:6" x14ac:dyDescent="0.25">
      <c r="A2671" s="110"/>
      <c r="B2671" s="125" t="s">
        <v>2357</v>
      </c>
      <c r="C2671" s="138">
        <v>0.28999999999999998</v>
      </c>
      <c r="D2671" s="138">
        <v>17.399999999999999</v>
      </c>
      <c r="E2671" s="138">
        <v>206.89655172413794</v>
      </c>
      <c r="F2671" s="139">
        <v>0.28999999999999998</v>
      </c>
    </row>
    <row r="2672" spans="1:6" x14ac:dyDescent="0.25">
      <c r="A2672" s="110"/>
      <c r="B2672" s="125" t="s">
        <v>2358</v>
      </c>
      <c r="C2672" s="138">
        <v>0.28999999999999998</v>
      </c>
      <c r="D2672" s="138">
        <v>17.399999999999999</v>
      </c>
      <c r="E2672" s="138">
        <v>206.89655172413794</v>
      </c>
      <c r="F2672" s="139">
        <v>0.28999999999999998</v>
      </c>
    </row>
    <row r="2673" spans="1:6" x14ac:dyDescent="0.25">
      <c r="A2673" s="110"/>
      <c r="B2673" s="125" t="s">
        <v>2359</v>
      </c>
      <c r="C2673" s="138">
        <v>0.28999999999999998</v>
      </c>
      <c r="D2673" s="138">
        <v>17.399999999999999</v>
      </c>
      <c r="E2673" s="138">
        <v>206.89655172413794</v>
      </c>
      <c r="F2673" s="139">
        <v>0.28999999999999998</v>
      </c>
    </row>
    <row r="2674" spans="1:6" x14ac:dyDescent="0.25">
      <c r="A2674" s="110"/>
      <c r="B2674" s="125" t="s">
        <v>2360</v>
      </c>
      <c r="C2674" s="138">
        <v>0.36</v>
      </c>
      <c r="D2674" s="138">
        <v>21.599999999999998</v>
      </c>
      <c r="E2674" s="138">
        <v>166.66666666666669</v>
      </c>
      <c r="F2674" s="139">
        <v>0.36</v>
      </c>
    </row>
    <row r="2675" spans="1:6" x14ac:dyDescent="0.25">
      <c r="A2675" s="110"/>
      <c r="B2675" s="125" t="s">
        <v>2361</v>
      </c>
      <c r="C2675" s="138">
        <v>0.34</v>
      </c>
      <c r="D2675" s="138">
        <v>20.400000000000002</v>
      </c>
      <c r="E2675" s="138">
        <v>176.47058823529409</v>
      </c>
      <c r="F2675" s="139">
        <v>0.34</v>
      </c>
    </row>
    <row r="2676" spans="1:6" x14ac:dyDescent="0.25">
      <c r="A2676" s="110"/>
      <c r="B2676" s="125" t="s">
        <v>2362</v>
      </c>
      <c r="C2676" s="138">
        <v>0.34</v>
      </c>
      <c r="D2676" s="138">
        <v>20.400000000000002</v>
      </c>
      <c r="E2676" s="138">
        <v>176.47058823529409</v>
      </c>
      <c r="F2676" s="139">
        <v>0.34</v>
      </c>
    </row>
    <row r="2677" spans="1:6" x14ac:dyDescent="0.25">
      <c r="A2677" s="110"/>
      <c r="B2677" s="125" t="s">
        <v>2363</v>
      </c>
      <c r="C2677" s="138">
        <v>0.34</v>
      </c>
      <c r="D2677" s="138">
        <v>20.400000000000002</v>
      </c>
      <c r="E2677" s="138">
        <v>176.47058823529409</v>
      </c>
      <c r="F2677" s="139">
        <v>0.34</v>
      </c>
    </row>
    <row r="2678" spans="1:6" x14ac:dyDescent="0.25">
      <c r="A2678" s="110"/>
      <c r="B2678" s="125" t="s">
        <v>2364</v>
      </c>
      <c r="C2678" s="138">
        <v>0.34</v>
      </c>
      <c r="D2678" s="138">
        <v>20.400000000000002</v>
      </c>
      <c r="E2678" s="138">
        <v>176.47058823529409</v>
      </c>
      <c r="F2678" s="139">
        <v>0.34</v>
      </c>
    </row>
    <row r="2679" spans="1:6" x14ac:dyDescent="0.25">
      <c r="A2679" s="110"/>
      <c r="B2679" s="125" t="s">
        <v>2365</v>
      </c>
      <c r="C2679" s="138">
        <v>0.37</v>
      </c>
      <c r="D2679" s="138">
        <v>22.2</v>
      </c>
      <c r="E2679" s="138">
        <v>162.16216216216216</v>
      </c>
      <c r="F2679" s="139">
        <v>0.37</v>
      </c>
    </row>
    <row r="2680" spans="1:6" x14ac:dyDescent="0.25">
      <c r="A2680" s="110"/>
      <c r="B2680" s="125" t="s">
        <v>2366</v>
      </c>
      <c r="C2680" s="138">
        <v>0.37</v>
      </c>
      <c r="D2680" s="138">
        <v>22.2</v>
      </c>
      <c r="E2680" s="138">
        <v>162.16216216216216</v>
      </c>
      <c r="F2680" s="139">
        <v>0.37</v>
      </c>
    </row>
    <row r="2681" spans="1:6" x14ac:dyDescent="0.25">
      <c r="A2681" s="110"/>
      <c r="B2681" s="125" t="s">
        <v>2367</v>
      </c>
      <c r="C2681" s="138">
        <v>0.4</v>
      </c>
      <c r="D2681" s="138">
        <v>24</v>
      </c>
      <c r="E2681" s="138">
        <v>150</v>
      </c>
      <c r="F2681" s="139">
        <v>0.4</v>
      </c>
    </row>
    <row r="2682" spans="1:6" x14ac:dyDescent="0.25">
      <c r="A2682" s="110"/>
      <c r="B2682" s="125" t="s">
        <v>2368</v>
      </c>
      <c r="C2682" s="138">
        <v>1.53</v>
      </c>
      <c r="D2682" s="138">
        <v>91.8</v>
      </c>
      <c r="E2682" s="138">
        <v>39.215686274509807</v>
      </c>
      <c r="F2682" s="139">
        <v>1.53</v>
      </c>
    </row>
    <row r="2683" spans="1:6" x14ac:dyDescent="0.25">
      <c r="A2683" s="110"/>
      <c r="B2683" s="125" t="s">
        <v>2369</v>
      </c>
      <c r="C2683" s="138">
        <v>0.73</v>
      </c>
      <c r="D2683" s="138">
        <v>43.8</v>
      </c>
      <c r="E2683" s="138">
        <v>82.191780821917817</v>
      </c>
      <c r="F2683" s="139">
        <v>0.73</v>
      </c>
    </row>
    <row r="2684" spans="1:6" x14ac:dyDescent="0.25">
      <c r="A2684" s="110"/>
      <c r="B2684" s="125" t="s">
        <v>2370</v>
      </c>
      <c r="C2684" s="138">
        <v>0.82</v>
      </c>
      <c r="D2684" s="138">
        <v>49.199999999999996</v>
      </c>
      <c r="E2684" s="138">
        <v>73.170731707317074</v>
      </c>
      <c r="F2684" s="139">
        <v>0.82</v>
      </c>
    </row>
    <row r="2685" spans="1:6" x14ac:dyDescent="0.25">
      <c r="A2685" s="110"/>
      <c r="B2685" s="125" t="s">
        <v>2371</v>
      </c>
      <c r="C2685" s="138">
        <v>1.95</v>
      </c>
      <c r="D2685" s="138">
        <v>117</v>
      </c>
      <c r="E2685" s="138">
        <v>30.76923076923077</v>
      </c>
      <c r="F2685" s="139">
        <v>1.95</v>
      </c>
    </row>
    <row r="2686" spans="1:6" x14ac:dyDescent="0.25">
      <c r="A2686" s="110"/>
      <c r="B2686" s="125" t="s">
        <v>2372</v>
      </c>
      <c r="C2686" s="138">
        <v>0.72</v>
      </c>
      <c r="D2686" s="138">
        <v>43.199999999999996</v>
      </c>
      <c r="E2686" s="138">
        <v>83.333333333333343</v>
      </c>
      <c r="F2686" s="139">
        <v>0.72</v>
      </c>
    </row>
    <row r="2687" spans="1:6" x14ac:dyDescent="0.25">
      <c r="A2687" s="110"/>
      <c r="B2687" s="125" t="s">
        <v>2373</v>
      </c>
      <c r="C2687" s="138">
        <v>1</v>
      </c>
      <c r="D2687" s="138">
        <v>60</v>
      </c>
      <c r="E2687" s="138">
        <v>60</v>
      </c>
      <c r="F2687" s="139">
        <v>1</v>
      </c>
    </row>
    <row r="2688" spans="1:6" x14ac:dyDescent="0.25">
      <c r="A2688" s="110"/>
      <c r="B2688" s="125" t="s">
        <v>2374</v>
      </c>
      <c r="C2688" s="138">
        <v>1.1399999999999999</v>
      </c>
      <c r="D2688" s="138">
        <v>68.399999999999991</v>
      </c>
      <c r="E2688" s="138">
        <v>52.631578947368425</v>
      </c>
      <c r="F2688" s="139">
        <v>1.1399999999999999</v>
      </c>
    </row>
    <row r="2689" spans="1:6" x14ac:dyDescent="0.25">
      <c r="A2689" s="110"/>
      <c r="B2689" s="125" t="s">
        <v>2375</v>
      </c>
      <c r="C2689" s="138">
        <v>0.41</v>
      </c>
      <c r="D2689" s="138">
        <v>24.599999999999998</v>
      </c>
      <c r="E2689" s="138">
        <v>146.34146341463415</v>
      </c>
      <c r="F2689" s="139">
        <v>0.41</v>
      </c>
    </row>
    <row r="2690" spans="1:6" x14ac:dyDescent="0.25">
      <c r="A2690" s="110"/>
      <c r="B2690" s="125" t="s">
        <v>2376</v>
      </c>
      <c r="C2690" s="138">
        <v>0.79</v>
      </c>
      <c r="D2690" s="138">
        <v>47.400000000000006</v>
      </c>
      <c r="E2690" s="138">
        <v>75.949367088607588</v>
      </c>
      <c r="F2690" s="139">
        <v>0.79</v>
      </c>
    </row>
    <row r="2691" spans="1:6" x14ac:dyDescent="0.25">
      <c r="A2691" s="110"/>
      <c r="B2691" s="125" t="s">
        <v>2377</v>
      </c>
      <c r="C2691" s="138">
        <v>0.79</v>
      </c>
      <c r="D2691" s="138">
        <v>47.400000000000006</v>
      </c>
      <c r="E2691" s="138">
        <v>75.949367088607588</v>
      </c>
      <c r="F2691" s="139">
        <v>0.79</v>
      </c>
    </row>
    <row r="2692" spans="1:6" x14ac:dyDescent="0.25">
      <c r="A2692" s="110"/>
      <c r="B2692" s="125" t="s">
        <v>2378</v>
      </c>
      <c r="C2692" s="138">
        <v>1.66</v>
      </c>
      <c r="D2692" s="138">
        <v>99.6</v>
      </c>
      <c r="E2692" s="138">
        <v>36.144578313253014</v>
      </c>
      <c r="F2692" s="139">
        <v>1.66</v>
      </c>
    </row>
    <row r="2693" spans="1:6" x14ac:dyDescent="0.25">
      <c r="A2693" s="110"/>
      <c r="B2693" s="125" t="s">
        <v>2379</v>
      </c>
      <c r="C2693" s="138">
        <v>0.43</v>
      </c>
      <c r="D2693" s="138">
        <v>25.8</v>
      </c>
      <c r="E2693" s="138">
        <v>139.53488372093022</v>
      </c>
      <c r="F2693" s="139">
        <v>0.43</v>
      </c>
    </row>
    <row r="2694" spans="1:6" x14ac:dyDescent="0.25">
      <c r="A2694" s="110"/>
      <c r="B2694" s="125" t="s">
        <v>2380</v>
      </c>
      <c r="C2694" s="138">
        <v>0.37</v>
      </c>
      <c r="D2694" s="138">
        <v>22.2</v>
      </c>
      <c r="E2694" s="138">
        <v>162.16216216216216</v>
      </c>
      <c r="F2694" s="139">
        <v>0.37</v>
      </c>
    </row>
    <row r="2695" spans="1:6" x14ac:dyDescent="0.25">
      <c r="A2695" s="110"/>
      <c r="B2695" s="125" t="s">
        <v>2381</v>
      </c>
      <c r="C2695" s="138">
        <v>0.39</v>
      </c>
      <c r="D2695" s="138">
        <v>23.400000000000002</v>
      </c>
      <c r="E2695" s="138">
        <v>153.84615384615384</v>
      </c>
      <c r="F2695" s="139">
        <v>0.39</v>
      </c>
    </row>
    <row r="2696" spans="1:6" x14ac:dyDescent="0.25">
      <c r="A2696" s="110"/>
      <c r="B2696" s="125" t="s">
        <v>2382</v>
      </c>
      <c r="C2696" s="138">
        <v>0.33</v>
      </c>
      <c r="D2696" s="138">
        <v>19.8</v>
      </c>
      <c r="E2696" s="138">
        <v>181.81818181818181</v>
      </c>
      <c r="F2696" s="139">
        <v>0.33</v>
      </c>
    </row>
    <row r="2697" spans="1:6" x14ac:dyDescent="0.25">
      <c r="A2697" s="110"/>
      <c r="B2697" s="125" t="s">
        <v>2383</v>
      </c>
      <c r="C2697" s="138">
        <v>0.39</v>
      </c>
      <c r="D2697" s="138">
        <v>23.400000000000002</v>
      </c>
      <c r="E2697" s="138">
        <v>153.84615384615384</v>
      </c>
      <c r="F2697" s="139">
        <v>0.39</v>
      </c>
    </row>
    <row r="2698" spans="1:6" x14ac:dyDescent="0.25">
      <c r="A2698" s="110"/>
      <c r="B2698" s="125" t="s">
        <v>2384</v>
      </c>
      <c r="C2698" s="138">
        <v>0.39</v>
      </c>
      <c r="D2698" s="138">
        <v>23.400000000000002</v>
      </c>
      <c r="E2698" s="138">
        <v>153.84615384615384</v>
      </c>
      <c r="F2698" s="139">
        <v>0.39</v>
      </c>
    </row>
    <row r="2699" spans="1:6" x14ac:dyDescent="0.25">
      <c r="A2699" s="110"/>
      <c r="B2699" s="125" t="s">
        <v>2385</v>
      </c>
      <c r="C2699" s="138">
        <v>0.45</v>
      </c>
      <c r="D2699" s="138">
        <v>27</v>
      </c>
      <c r="E2699" s="138">
        <v>133.33333333333334</v>
      </c>
      <c r="F2699" s="139">
        <v>0.45</v>
      </c>
    </row>
    <row r="2700" spans="1:6" x14ac:dyDescent="0.25">
      <c r="A2700" s="110"/>
      <c r="B2700" s="125" t="s">
        <v>2386</v>
      </c>
      <c r="C2700" s="138">
        <v>0.45</v>
      </c>
      <c r="D2700" s="138">
        <v>27</v>
      </c>
      <c r="E2700" s="138">
        <v>133.33333333333334</v>
      </c>
      <c r="F2700" s="139">
        <v>0.45</v>
      </c>
    </row>
    <row r="2701" spans="1:6" x14ac:dyDescent="0.25">
      <c r="A2701" s="110"/>
      <c r="B2701" s="125" t="s">
        <v>2387</v>
      </c>
      <c r="C2701" s="138">
        <v>0.44</v>
      </c>
      <c r="D2701" s="138">
        <v>26.4</v>
      </c>
      <c r="E2701" s="138">
        <v>136.36363636363637</v>
      </c>
      <c r="F2701" s="139">
        <v>0.44</v>
      </c>
    </row>
    <row r="2702" spans="1:6" x14ac:dyDescent="0.25">
      <c r="A2702" s="110"/>
      <c r="B2702" s="125" t="s">
        <v>2388</v>
      </c>
      <c r="C2702" s="138">
        <v>0.44</v>
      </c>
      <c r="D2702" s="138">
        <v>26.4</v>
      </c>
      <c r="E2702" s="138">
        <v>136.36363636363637</v>
      </c>
      <c r="F2702" s="139">
        <v>0.44</v>
      </c>
    </row>
    <row r="2703" spans="1:6" x14ac:dyDescent="0.25">
      <c r="A2703" s="110"/>
      <c r="B2703" s="125" t="s">
        <v>2389</v>
      </c>
      <c r="C2703" s="138">
        <v>0.44</v>
      </c>
      <c r="D2703" s="138">
        <v>26.4</v>
      </c>
      <c r="E2703" s="138">
        <v>136.36363636363637</v>
      </c>
      <c r="F2703" s="139">
        <v>0.44</v>
      </c>
    </row>
    <row r="2704" spans="1:6" x14ac:dyDescent="0.25">
      <c r="A2704" s="110"/>
      <c r="B2704" s="125" t="s">
        <v>2390</v>
      </c>
      <c r="C2704" s="138">
        <v>0.44</v>
      </c>
      <c r="D2704" s="138">
        <v>26.4</v>
      </c>
      <c r="E2704" s="138">
        <v>136.36363636363637</v>
      </c>
      <c r="F2704" s="139">
        <v>0.44</v>
      </c>
    </row>
    <row r="2705" spans="1:6" x14ac:dyDescent="0.25">
      <c r="A2705" s="110"/>
      <c r="B2705" s="125" t="s">
        <v>2391</v>
      </c>
      <c r="C2705" s="138">
        <v>1.67</v>
      </c>
      <c r="D2705" s="138">
        <v>100.19999999999999</v>
      </c>
      <c r="E2705" s="138">
        <v>35.928143712574851</v>
      </c>
      <c r="F2705" s="139">
        <v>1.67</v>
      </c>
    </row>
    <row r="2706" spans="1:6" x14ac:dyDescent="0.25">
      <c r="A2706" s="110"/>
      <c r="B2706" s="125" t="s">
        <v>2392</v>
      </c>
      <c r="C2706" s="138">
        <v>1.67</v>
      </c>
      <c r="D2706" s="138">
        <v>100.19999999999999</v>
      </c>
      <c r="E2706" s="138">
        <v>35.928143712574851</v>
      </c>
      <c r="F2706" s="139">
        <v>1.67</v>
      </c>
    </row>
    <row r="2707" spans="1:6" x14ac:dyDescent="0.25">
      <c r="A2707" s="110"/>
      <c r="B2707" s="125" t="s">
        <v>2393</v>
      </c>
      <c r="C2707" s="138">
        <v>1.47</v>
      </c>
      <c r="D2707" s="138">
        <v>88.2</v>
      </c>
      <c r="E2707" s="138">
        <v>40.816326530612244</v>
      </c>
      <c r="F2707" s="139">
        <v>1.47</v>
      </c>
    </row>
    <row r="2708" spans="1:6" x14ac:dyDescent="0.25">
      <c r="A2708" s="110"/>
      <c r="B2708" s="125" t="s">
        <v>2394</v>
      </c>
      <c r="C2708" s="138">
        <v>2.11</v>
      </c>
      <c r="D2708" s="138">
        <v>126.6</v>
      </c>
      <c r="E2708" s="138">
        <v>28.436018957345972</v>
      </c>
      <c r="F2708" s="139">
        <v>2.11</v>
      </c>
    </row>
    <row r="2709" spans="1:6" x14ac:dyDescent="0.25">
      <c r="A2709" s="110"/>
      <c r="B2709" s="125" t="s">
        <v>2395</v>
      </c>
      <c r="C2709" s="138">
        <v>1.24</v>
      </c>
      <c r="D2709" s="138">
        <v>74.400000000000006</v>
      </c>
      <c r="E2709" s="138">
        <v>48.387096774193544</v>
      </c>
      <c r="F2709" s="139">
        <v>1.24</v>
      </c>
    </row>
    <row r="2710" spans="1:6" x14ac:dyDescent="0.25">
      <c r="A2710" s="110"/>
      <c r="B2710" s="125" t="s">
        <v>2396</v>
      </c>
      <c r="C2710" s="138">
        <v>1.94</v>
      </c>
      <c r="D2710" s="138">
        <v>116.39999999999999</v>
      </c>
      <c r="E2710" s="138">
        <v>30.927835051546396</v>
      </c>
      <c r="F2710" s="139">
        <v>1.94</v>
      </c>
    </row>
    <row r="2711" spans="1:6" x14ac:dyDescent="0.25">
      <c r="A2711" s="110"/>
      <c r="B2711" s="125" t="s">
        <v>2397</v>
      </c>
      <c r="C2711" s="138">
        <v>3.19</v>
      </c>
      <c r="D2711" s="138">
        <v>191.4</v>
      </c>
      <c r="E2711" s="138">
        <v>18.808777429467085</v>
      </c>
      <c r="F2711" s="139">
        <v>3.19</v>
      </c>
    </row>
    <row r="2712" spans="1:6" x14ac:dyDescent="0.25">
      <c r="A2712" s="110"/>
      <c r="B2712" s="125" t="s">
        <v>2398</v>
      </c>
      <c r="C2712" s="138">
        <v>1.38</v>
      </c>
      <c r="D2712" s="138">
        <v>82.8</v>
      </c>
      <c r="E2712" s="138">
        <v>43.478260869565219</v>
      </c>
      <c r="F2712" s="139">
        <v>1.38</v>
      </c>
    </row>
    <row r="2713" spans="1:6" x14ac:dyDescent="0.25">
      <c r="A2713" s="110"/>
      <c r="B2713" s="125" t="s">
        <v>2399</v>
      </c>
      <c r="C2713" s="138">
        <v>1.38</v>
      </c>
      <c r="D2713" s="138">
        <v>82.8</v>
      </c>
      <c r="E2713" s="138">
        <v>43.478260869565219</v>
      </c>
      <c r="F2713" s="139">
        <v>1.38</v>
      </c>
    </row>
    <row r="2714" spans="1:6" x14ac:dyDescent="0.25">
      <c r="A2714" s="110"/>
      <c r="B2714" s="125" t="s">
        <v>2400</v>
      </c>
      <c r="C2714" s="138">
        <v>1.3</v>
      </c>
      <c r="D2714" s="138">
        <v>78</v>
      </c>
      <c r="E2714" s="138">
        <v>46.153846153846153</v>
      </c>
      <c r="F2714" s="139">
        <v>1.3</v>
      </c>
    </row>
    <row r="2715" spans="1:6" x14ac:dyDescent="0.25">
      <c r="A2715" s="110"/>
      <c r="B2715" s="125" t="s">
        <v>2401</v>
      </c>
      <c r="C2715" s="138">
        <v>1.3</v>
      </c>
      <c r="D2715" s="138">
        <v>78</v>
      </c>
      <c r="E2715" s="138">
        <v>46.153846153846153</v>
      </c>
      <c r="F2715" s="139">
        <v>1.3</v>
      </c>
    </row>
    <row r="2716" spans="1:6" x14ac:dyDescent="0.25">
      <c r="A2716" s="110"/>
      <c r="B2716" s="125" t="s">
        <v>2402</v>
      </c>
      <c r="C2716" s="138">
        <v>1.63</v>
      </c>
      <c r="D2716" s="138">
        <v>97.8</v>
      </c>
      <c r="E2716" s="138">
        <v>36.809815950920246</v>
      </c>
      <c r="F2716" s="139">
        <v>1.63</v>
      </c>
    </row>
    <row r="2717" spans="1:6" x14ac:dyDescent="0.25">
      <c r="A2717" s="110"/>
      <c r="B2717" s="125" t="s">
        <v>2403</v>
      </c>
      <c r="C2717" s="138">
        <v>0.28000000000000003</v>
      </c>
      <c r="D2717" s="138">
        <v>16.8</v>
      </c>
      <c r="E2717" s="138">
        <v>214.28571428571428</v>
      </c>
      <c r="F2717" s="139">
        <v>0.28000000000000003</v>
      </c>
    </row>
    <row r="2718" spans="1:6" x14ac:dyDescent="0.25">
      <c r="A2718" s="110"/>
      <c r="B2718" s="125" t="s">
        <v>2404</v>
      </c>
      <c r="C2718" s="138">
        <v>0.28000000000000003</v>
      </c>
      <c r="D2718" s="138">
        <v>16.8</v>
      </c>
      <c r="E2718" s="138">
        <v>214.28571428571428</v>
      </c>
      <c r="F2718" s="139">
        <v>0.28000000000000003</v>
      </c>
    </row>
    <row r="2719" spans="1:6" x14ac:dyDescent="0.25">
      <c r="A2719" s="110"/>
      <c r="B2719" s="125" t="s">
        <v>2405</v>
      </c>
      <c r="C2719" s="138">
        <v>0.28000000000000003</v>
      </c>
      <c r="D2719" s="138">
        <v>16.8</v>
      </c>
      <c r="E2719" s="138">
        <v>214.28571428571428</v>
      </c>
      <c r="F2719" s="139">
        <v>0.28000000000000003</v>
      </c>
    </row>
    <row r="2720" spans="1:6" x14ac:dyDescent="0.25">
      <c r="A2720" s="110"/>
      <c r="B2720" s="125" t="s">
        <v>2406</v>
      </c>
      <c r="C2720" s="138">
        <v>0.28000000000000003</v>
      </c>
      <c r="D2720" s="138">
        <v>16.8</v>
      </c>
      <c r="E2720" s="138">
        <v>214.28571428571428</v>
      </c>
      <c r="F2720" s="139">
        <v>0.28000000000000003</v>
      </c>
    </row>
    <row r="2721" spans="1:6" x14ac:dyDescent="0.25">
      <c r="A2721" s="110"/>
      <c r="B2721" s="125" t="s">
        <v>2407</v>
      </c>
      <c r="C2721" s="138">
        <v>0.25</v>
      </c>
      <c r="D2721" s="138">
        <v>15</v>
      </c>
      <c r="E2721" s="138">
        <v>240</v>
      </c>
      <c r="F2721" s="139">
        <v>0.25</v>
      </c>
    </row>
    <row r="2722" spans="1:6" x14ac:dyDescent="0.25">
      <c r="A2722" s="110"/>
      <c r="B2722" s="125" t="s">
        <v>2408</v>
      </c>
      <c r="C2722" s="138">
        <v>0.3</v>
      </c>
      <c r="D2722" s="138">
        <v>18</v>
      </c>
      <c r="E2722" s="138">
        <v>200</v>
      </c>
      <c r="F2722" s="139">
        <v>0.3</v>
      </c>
    </row>
    <row r="2723" spans="1:6" x14ac:dyDescent="0.25">
      <c r="A2723" s="110"/>
      <c r="B2723" s="125" t="s">
        <v>2409</v>
      </c>
      <c r="C2723" s="138">
        <v>0.25</v>
      </c>
      <c r="D2723" s="138">
        <v>15</v>
      </c>
      <c r="E2723" s="138">
        <v>240</v>
      </c>
      <c r="F2723" s="139">
        <v>0.25</v>
      </c>
    </row>
    <row r="2724" spans="1:6" x14ac:dyDescent="0.25">
      <c r="A2724" s="110"/>
      <c r="B2724" s="125" t="s">
        <v>2410</v>
      </c>
      <c r="C2724" s="138">
        <v>0.3</v>
      </c>
      <c r="D2724" s="138">
        <v>18</v>
      </c>
      <c r="E2724" s="138">
        <v>200</v>
      </c>
      <c r="F2724" s="139">
        <v>0.3</v>
      </c>
    </row>
    <row r="2725" spans="1:6" x14ac:dyDescent="0.25">
      <c r="A2725" s="110"/>
      <c r="B2725" s="125" t="s">
        <v>2410</v>
      </c>
      <c r="C2725" s="138">
        <v>0.3</v>
      </c>
      <c r="D2725" s="138">
        <v>18</v>
      </c>
      <c r="E2725" s="138">
        <v>200</v>
      </c>
      <c r="F2725" s="139">
        <v>0.3</v>
      </c>
    </row>
    <row r="2726" spans="1:6" x14ac:dyDescent="0.25">
      <c r="A2726" s="110"/>
      <c r="B2726" s="125" t="s">
        <v>2411</v>
      </c>
      <c r="C2726" s="138">
        <v>0.28999999999999998</v>
      </c>
      <c r="D2726" s="138">
        <v>17.399999999999999</v>
      </c>
      <c r="E2726" s="138">
        <v>206.89655172413794</v>
      </c>
      <c r="F2726" s="139">
        <v>0.28999999999999998</v>
      </c>
    </row>
    <row r="2727" spans="1:6" x14ac:dyDescent="0.25">
      <c r="A2727" s="110"/>
      <c r="B2727" s="125" t="s">
        <v>2411</v>
      </c>
      <c r="C2727" s="138">
        <v>0.28999999999999998</v>
      </c>
      <c r="D2727" s="138">
        <v>17.399999999999999</v>
      </c>
      <c r="E2727" s="138">
        <v>206.89655172413794</v>
      </c>
      <c r="F2727" s="139">
        <v>0.28999999999999998</v>
      </c>
    </row>
    <row r="2728" spans="1:6" x14ac:dyDescent="0.25">
      <c r="A2728" s="110"/>
      <c r="B2728" s="125" t="s">
        <v>2412</v>
      </c>
      <c r="C2728" s="138">
        <v>0.3</v>
      </c>
      <c r="D2728" s="138">
        <v>18</v>
      </c>
      <c r="E2728" s="138">
        <v>200</v>
      </c>
      <c r="F2728" s="139">
        <v>0.3</v>
      </c>
    </row>
    <row r="2729" spans="1:6" x14ac:dyDescent="0.25">
      <c r="A2729" s="110"/>
      <c r="B2729" s="125" t="s">
        <v>2412</v>
      </c>
      <c r="C2729" s="138">
        <v>0.3</v>
      </c>
      <c r="D2729" s="138">
        <v>18</v>
      </c>
      <c r="E2729" s="138">
        <v>200</v>
      </c>
      <c r="F2729" s="139">
        <v>0.3</v>
      </c>
    </row>
    <row r="2730" spans="1:6" x14ac:dyDescent="0.25">
      <c r="A2730" s="110"/>
      <c r="B2730" s="125" t="s">
        <v>2413</v>
      </c>
      <c r="C2730" s="138">
        <v>0.28999999999999998</v>
      </c>
      <c r="D2730" s="138">
        <v>17.399999999999999</v>
      </c>
      <c r="E2730" s="138">
        <v>206.89655172413794</v>
      </c>
      <c r="F2730" s="139">
        <v>0.28999999999999998</v>
      </c>
    </row>
    <row r="2731" spans="1:6" x14ac:dyDescent="0.25">
      <c r="A2731" s="110"/>
      <c r="B2731" s="125" t="s">
        <v>2413</v>
      </c>
      <c r="C2731" s="138">
        <v>1.28</v>
      </c>
      <c r="D2731" s="138">
        <v>76.8</v>
      </c>
      <c r="E2731" s="138">
        <v>46.875</v>
      </c>
      <c r="F2731" s="139">
        <v>1.28</v>
      </c>
    </row>
    <row r="2732" spans="1:6" x14ac:dyDescent="0.25">
      <c r="A2732" s="110"/>
      <c r="B2732" s="125" t="s">
        <v>2414</v>
      </c>
      <c r="C2732" s="138">
        <v>0.35</v>
      </c>
      <c r="D2732" s="138">
        <v>21</v>
      </c>
      <c r="E2732" s="138">
        <v>171.42857142857142</v>
      </c>
      <c r="F2732" s="139">
        <v>0.35</v>
      </c>
    </row>
    <row r="2733" spans="1:6" x14ac:dyDescent="0.25">
      <c r="A2733" s="110"/>
      <c r="B2733" s="125" t="s">
        <v>2415</v>
      </c>
      <c r="C2733" s="138">
        <v>1.94</v>
      </c>
      <c r="D2733" s="138">
        <v>116.39999999999999</v>
      </c>
      <c r="E2733" s="138">
        <v>30.927835051546396</v>
      </c>
      <c r="F2733" s="139">
        <v>1.94</v>
      </c>
    </row>
    <row r="2734" spans="1:6" x14ac:dyDescent="0.25">
      <c r="A2734" s="110"/>
      <c r="B2734" s="125" t="s">
        <v>2416</v>
      </c>
      <c r="C2734" s="138">
        <v>2.35</v>
      </c>
      <c r="D2734" s="138">
        <v>141</v>
      </c>
      <c r="E2734" s="138">
        <v>25.531914893617021</v>
      </c>
      <c r="F2734" s="139">
        <v>2.35</v>
      </c>
    </row>
    <row r="2735" spans="1:6" x14ac:dyDescent="0.25">
      <c r="A2735" s="110"/>
      <c r="B2735" s="125" t="s">
        <v>2417</v>
      </c>
      <c r="C2735" s="138">
        <v>0.44</v>
      </c>
      <c r="D2735" s="138">
        <v>26.4</v>
      </c>
      <c r="E2735" s="138">
        <v>136.36363636363637</v>
      </c>
      <c r="F2735" s="139">
        <v>0.44</v>
      </c>
    </row>
    <row r="2736" spans="1:6" x14ac:dyDescent="0.25">
      <c r="A2736" s="110"/>
      <c r="B2736" s="125" t="s">
        <v>2418</v>
      </c>
      <c r="C2736" s="138">
        <v>0.44</v>
      </c>
      <c r="D2736" s="138">
        <v>26.4</v>
      </c>
      <c r="E2736" s="138">
        <v>136.36363636363637</v>
      </c>
      <c r="F2736" s="139">
        <v>0.44</v>
      </c>
    </row>
    <row r="2737" spans="1:6" x14ac:dyDescent="0.25">
      <c r="A2737" s="110"/>
      <c r="B2737" s="125" t="s">
        <v>2419</v>
      </c>
      <c r="C2737" s="138">
        <v>1.68</v>
      </c>
      <c r="D2737" s="138">
        <v>100.8</v>
      </c>
      <c r="E2737" s="138">
        <v>35.714285714285715</v>
      </c>
      <c r="F2737" s="139">
        <v>1.68</v>
      </c>
    </row>
    <row r="2738" spans="1:6" x14ac:dyDescent="0.25">
      <c r="A2738" s="110"/>
      <c r="B2738" s="125" t="s">
        <v>2420</v>
      </c>
      <c r="C2738" s="138">
        <v>0.25</v>
      </c>
      <c r="D2738" s="138">
        <v>15</v>
      </c>
      <c r="E2738" s="138">
        <v>240</v>
      </c>
      <c r="F2738" s="139">
        <v>0.25</v>
      </c>
    </row>
    <row r="2739" spans="1:6" x14ac:dyDescent="0.25">
      <c r="A2739" s="110"/>
      <c r="B2739" s="125" t="s">
        <v>2421</v>
      </c>
      <c r="C2739" s="138">
        <v>0.25</v>
      </c>
      <c r="D2739" s="138">
        <v>15</v>
      </c>
      <c r="E2739" s="138">
        <v>240</v>
      </c>
      <c r="F2739" s="139">
        <v>0.25</v>
      </c>
    </row>
    <row r="2740" spans="1:6" x14ac:dyDescent="0.25">
      <c r="A2740" s="110"/>
      <c r="B2740" s="125" t="s">
        <v>2422</v>
      </c>
      <c r="C2740" s="138">
        <v>1.25</v>
      </c>
      <c r="D2740" s="138">
        <v>75</v>
      </c>
      <c r="E2740" s="138">
        <v>48</v>
      </c>
      <c r="F2740" s="139">
        <v>1.25</v>
      </c>
    </row>
    <row r="2741" spans="1:6" x14ac:dyDescent="0.25">
      <c r="A2741" s="110"/>
      <c r="B2741" s="125" t="s">
        <v>2423</v>
      </c>
      <c r="C2741" s="138">
        <v>0.35</v>
      </c>
      <c r="D2741" s="138">
        <v>21</v>
      </c>
      <c r="E2741" s="138">
        <v>171.42857142857142</v>
      </c>
      <c r="F2741" s="139">
        <v>0.35</v>
      </c>
    </row>
    <row r="2742" spans="1:6" x14ac:dyDescent="0.25">
      <c r="A2742" s="110"/>
      <c r="B2742" s="125" t="s">
        <v>2424</v>
      </c>
      <c r="C2742" s="138">
        <v>0.44</v>
      </c>
      <c r="D2742" s="138">
        <v>26.4</v>
      </c>
      <c r="E2742" s="138">
        <v>136.36363636363637</v>
      </c>
      <c r="F2742" s="139">
        <v>0.44</v>
      </c>
    </row>
    <row r="2743" spans="1:6" x14ac:dyDescent="0.25">
      <c r="A2743" s="110"/>
      <c r="B2743" s="125" t="s">
        <v>2425</v>
      </c>
      <c r="C2743" s="138">
        <v>2</v>
      </c>
      <c r="D2743" s="138">
        <v>120</v>
      </c>
      <c r="E2743" s="138">
        <v>30</v>
      </c>
      <c r="F2743" s="139">
        <v>2</v>
      </c>
    </row>
    <row r="2744" spans="1:6" x14ac:dyDescent="0.25">
      <c r="A2744" s="110"/>
      <c r="B2744" s="125" t="s">
        <v>2426</v>
      </c>
      <c r="C2744" s="138">
        <v>0.44</v>
      </c>
      <c r="D2744" s="138">
        <v>26.4</v>
      </c>
      <c r="E2744" s="138">
        <v>136.36363636363637</v>
      </c>
      <c r="F2744" s="139">
        <v>0.44</v>
      </c>
    </row>
    <row r="2745" spans="1:6" x14ac:dyDescent="0.25">
      <c r="A2745" s="110"/>
      <c r="B2745" s="125" t="s">
        <v>2427</v>
      </c>
      <c r="C2745" s="138">
        <v>0.44</v>
      </c>
      <c r="D2745" s="138">
        <v>26.4</v>
      </c>
      <c r="E2745" s="138">
        <v>136.36363636363637</v>
      </c>
      <c r="F2745" s="139">
        <v>0.44</v>
      </c>
    </row>
    <row r="2746" spans="1:6" x14ac:dyDescent="0.25">
      <c r="A2746" s="110"/>
      <c r="B2746" s="125" t="s">
        <v>2428</v>
      </c>
      <c r="C2746" s="138">
        <v>0.44</v>
      </c>
      <c r="D2746" s="138">
        <v>26.4</v>
      </c>
      <c r="E2746" s="138">
        <v>136.36363636363637</v>
      </c>
      <c r="F2746" s="139">
        <v>0.44</v>
      </c>
    </row>
    <row r="2747" spans="1:6" x14ac:dyDescent="0.25">
      <c r="A2747" s="110"/>
      <c r="B2747" s="125" t="s">
        <v>2429</v>
      </c>
      <c r="C2747" s="138">
        <v>0.44</v>
      </c>
      <c r="D2747" s="138">
        <v>26.4</v>
      </c>
      <c r="E2747" s="138">
        <v>136.36363636363637</v>
      </c>
      <c r="F2747" s="139">
        <v>0.44</v>
      </c>
    </row>
    <row r="2748" spans="1:6" x14ac:dyDescent="0.25">
      <c r="A2748" s="110"/>
      <c r="B2748" s="125" t="s">
        <v>2430</v>
      </c>
      <c r="C2748" s="138">
        <v>0.26</v>
      </c>
      <c r="D2748" s="138">
        <v>15.600000000000001</v>
      </c>
      <c r="E2748" s="138">
        <v>230.76923076923075</v>
      </c>
      <c r="F2748" s="139">
        <v>0.26</v>
      </c>
    </row>
    <row r="2749" spans="1:6" x14ac:dyDescent="0.25">
      <c r="A2749" s="110"/>
      <c r="B2749" s="125" t="s">
        <v>2430</v>
      </c>
      <c r="C2749" s="138">
        <v>0.31</v>
      </c>
      <c r="D2749" s="138">
        <v>18.600000000000001</v>
      </c>
      <c r="E2749" s="138">
        <v>193.54838709677418</v>
      </c>
      <c r="F2749" s="139">
        <v>0.31</v>
      </c>
    </row>
    <row r="2750" spans="1:6" x14ac:dyDescent="0.25">
      <c r="A2750" s="110"/>
      <c r="B2750" s="125" t="s">
        <v>2431</v>
      </c>
      <c r="C2750" s="138">
        <v>0.44</v>
      </c>
      <c r="D2750" s="138">
        <v>26.4</v>
      </c>
      <c r="E2750" s="138">
        <v>136.36363636363637</v>
      </c>
      <c r="F2750" s="139">
        <v>0.44</v>
      </c>
    </row>
    <row r="2751" spans="1:6" x14ac:dyDescent="0.25">
      <c r="A2751" s="110"/>
      <c r="B2751" s="125" t="s">
        <v>2432</v>
      </c>
      <c r="C2751" s="138">
        <v>0.31</v>
      </c>
      <c r="D2751" s="138">
        <v>18.600000000000001</v>
      </c>
      <c r="E2751" s="138">
        <v>193.54838709677418</v>
      </c>
      <c r="F2751" s="139">
        <v>0.31</v>
      </c>
    </row>
    <row r="2752" spans="1:6" x14ac:dyDescent="0.25">
      <c r="A2752" s="110"/>
      <c r="B2752" s="125" t="s">
        <v>2433</v>
      </c>
      <c r="C2752" s="138">
        <v>0.31</v>
      </c>
      <c r="D2752" s="138">
        <v>18.600000000000001</v>
      </c>
      <c r="E2752" s="138">
        <v>193.54838709677418</v>
      </c>
      <c r="F2752" s="139">
        <v>0.31</v>
      </c>
    </row>
    <row r="2753" spans="1:6" x14ac:dyDescent="0.25">
      <c r="A2753" s="110"/>
      <c r="B2753" s="125" t="s">
        <v>2434</v>
      </c>
      <c r="C2753" s="138">
        <v>0.31</v>
      </c>
      <c r="D2753" s="138">
        <v>18.600000000000001</v>
      </c>
      <c r="E2753" s="138">
        <v>193.54838709677418</v>
      </c>
      <c r="F2753" s="139">
        <v>0.31</v>
      </c>
    </row>
    <row r="2754" spans="1:6" x14ac:dyDescent="0.25">
      <c r="A2754" s="110"/>
      <c r="B2754" s="125" t="s">
        <v>2435</v>
      </c>
      <c r="C2754" s="138">
        <v>0.31</v>
      </c>
      <c r="D2754" s="138">
        <v>18.600000000000001</v>
      </c>
      <c r="E2754" s="138">
        <v>193.54838709677418</v>
      </c>
      <c r="F2754" s="139">
        <v>0.31</v>
      </c>
    </row>
    <row r="2755" spans="1:6" x14ac:dyDescent="0.25">
      <c r="A2755" s="110"/>
      <c r="B2755" s="125" t="s">
        <v>2436</v>
      </c>
      <c r="C2755" s="138">
        <v>1.61</v>
      </c>
      <c r="D2755" s="138">
        <v>96.600000000000009</v>
      </c>
      <c r="E2755" s="138">
        <v>37.267080745341609</v>
      </c>
      <c r="F2755" s="139">
        <v>1.61</v>
      </c>
    </row>
    <row r="2756" spans="1:6" x14ac:dyDescent="0.25">
      <c r="A2756" s="110"/>
      <c r="B2756" s="125" t="s">
        <v>2437</v>
      </c>
      <c r="C2756" s="138">
        <v>1.61</v>
      </c>
      <c r="D2756" s="138">
        <v>96.600000000000009</v>
      </c>
      <c r="E2756" s="138">
        <v>37.267080745341609</v>
      </c>
      <c r="F2756" s="139">
        <v>1.61</v>
      </c>
    </row>
    <row r="2757" spans="1:6" x14ac:dyDescent="0.25">
      <c r="A2757" s="110"/>
      <c r="B2757" s="125" t="s">
        <v>2438</v>
      </c>
      <c r="C2757" s="138">
        <v>0.57999999999999996</v>
      </c>
      <c r="D2757" s="138">
        <v>34.799999999999997</v>
      </c>
      <c r="E2757" s="138">
        <v>103.44827586206897</v>
      </c>
      <c r="F2757" s="139">
        <v>0.57999999999999996</v>
      </c>
    </row>
    <row r="2758" spans="1:6" x14ac:dyDescent="0.25">
      <c r="A2758" s="110"/>
      <c r="B2758" s="125" t="s">
        <v>2438</v>
      </c>
      <c r="C2758" s="138">
        <v>2.71</v>
      </c>
      <c r="D2758" s="138">
        <v>162.6</v>
      </c>
      <c r="E2758" s="138">
        <v>22.140221402214024</v>
      </c>
      <c r="F2758" s="139">
        <v>2.71</v>
      </c>
    </row>
    <row r="2759" spans="1:6" x14ac:dyDescent="0.25">
      <c r="A2759" s="110"/>
      <c r="B2759" s="125" t="s">
        <v>2439</v>
      </c>
      <c r="C2759" s="138">
        <v>0.57999999999999996</v>
      </c>
      <c r="D2759" s="138">
        <v>34.799999999999997</v>
      </c>
      <c r="E2759" s="138">
        <v>103.44827586206897</v>
      </c>
      <c r="F2759" s="139">
        <v>0.57999999999999996</v>
      </c>
    </row>
    <row r="2760" spans="1:6" x14ac:dyDescent="0.25">
      <c r="A2760" s="110"/>
      <c r="B2760" s="125" t="s">
        <v>2439</v>
      </c>
      <c r="C2760" s="138">
        <v>2.71</v>
      </c>
      <c r="D2760" s="138">
        <v>162.6</v>
      </c>
      <c r="E2760" s="138">
        <v>22.140221402214024</v>
      </c>
      <c r="F2760" s="139">
        <v>2.71</v>
      </c>
    </row>
    <row r="2761" spans="1:6" x14ac:dyDescent="0.25">
      <c r="A2761" s="110"/>
      <c r="B2761" s="125" t="s">
        <v>2440</v>
      </c>
      <c r="C2761" s="138">
        <v>2.92</v>
      </c>
      <c r="D2761" s="138">
        <v>175.2</v>
      </c>
      <c r="E2761" s="138">
        <v>20.547945205479454</v>
      </c>
      <c r="F2761" s="139">
        <v>2.92</v>
      </c>
    </row>
    <row r="2762" spans="1:6" x14ac:dyDescent="0.25">
      <c r="A2762" s="110"/>
      <c r="B2762" s="125" t="s">
        <v>2441</v>
      </c>
      <c r="C2762" s="138">
        <v>2.92</v>
      </c>
      <c r="D2762" s="138">
        <v>175.2</v>
      </c>
      <c r="E2762" s="138">
        <v>20.547945205479454</v>
      </c>
      <c r="F2762" s="139">
        <v>2.92</v>
      </c>
    </row>
    <row r="2763" spans="1:6" x14ac:dyDescent="0.25">
      <c r="A2763" s="110"/>
      <c r="B2763" s="125" t="s">
        <v>2442</v>
      </c>
      <c r="C2763" s="138">
        <v>0.92</v>
      </c>
      <c r="D2763" s="138">
        <v>55.2</v>
      </c>
      <c r="E2763" s="138">
        <v>65.217391304347828</v>
      </c>
      <c r="F2763" s="139">
        <v>0.92</v>
      </c>
    </row>
    <row r="2764" spans="1:6" x14ac:dyDescent="0.25">
      <c r="A2764" s="110"/>
      <c r="B2764" s="125" t="s">
        <v>2443</v>
      </c>
      <c r="C2764" s="138">
        <v>0.92</v>
      </c>
      <c r="D2764" s="138">
        <v>55.2</v>
      </c>
      <c r="E2764" s="138">
        <v>65.217391304347828</v>
      </c>
      <c r="F2764" s="139">
        <v>0.92</v>
      </c>
    </row>
    <row r="2765" spans="1:6" x14ac:dyDescent="0.25">
      <c r="A2765" s="110"/>
      <c r="B2765" s="125" t="s">
        <v>2444</v>
      </c>
      <c r="C2765" s="138">
        <v>0.92</v>
      </c>
      <c r="D2765" s="138">
        <v>55.2</v>
      </c>
      <c r="E2765" s="138">
        <v>65.217391304347828</v>
      </c>
      <c r="F2765" s="139">
        <v>0.92</v>
      </c>
    </row>
    <row r="2766" spans="1:6" x14ac:dyDescent="0.25">
      <c r="A2766" s="110"/>
      <c r="B2766" s="125" t="s">
        <v>2445</v>
      </c>
      <c r="C2766" s="138">
        <v>0.92</v>
      </c>
      <c r="D2766" s="138">
        <v>55.2</v>
      </c>
      <c r="E2766" s="138">
        <v>65.217391304347828</v>
      </c>
      <c r="F2766" s="139">
        <v>0.92</v>
      </c>
    </row>
    <row r="2767" spans="1:6" x14ac:dyDescent="0.25">
      <c r="A2767" s="110"/>
      <c r="B2767" s="125" t="s">
        <v>2446</v>
      </c>
      <c r="C2767" s="138">
        <v>0.92</v>
      </c>
      <c r="D2767" s="138">
        <v>55.2</v>
      </c>
      <c r="E2767" s="138">
        <v>65.217391304347828</v>
      </c>
      <c r="F2767" s="139">
        <v>0.92</v>
      </c>
    </row>
    <row r="2768" spans="1:6" x14ac:dyDescent="0.25">
      <c r="A2768" s="110"/>
      <c r="B2768" s="125" t="s">
        <v>2446</v>
      </c>
      <c r="C2768" s="138">
        <v>0.92</v>
      </c>
      <c r="D2768" s="138">
        <v>55.2</v>
      </c>
      <c r="E2768" s="138">
        <v>65.217391304347828</v>
      </c>
      <c r="F2768" s="139">
        <v>0.92</v>
      </c>
    </row>
    <row r="2769" spans="1:6" x14ac:dyDescent="0.25">
      <c r="A2769" s="110"/>
      <c r="B2769" s="125" t="s">
        <v>2447</v>
      </c>
      <c r="C2769" s="138">
        <v>0.92</v>
      </c>
      <c r="D2769" s="138">
        <v>55.2</v>
      </c>
      <c r="E2769" s="138">
        <v>65.217391304347828</v>
      </c>
      <c r="F2769" s="139">
        <v>0.92</v>
      </c>
    </row>
    <row r="2770" spans="1:6" x14ac:dyDescent="0.25">
      <c r="A2770" s="110"/>
      <c r="B2770" s="125" t="s">
        <v>2447</v>
      </c>
      <c r="C2770" s="138">
        <v>0.92</v>
      </c>
      <c r="D2770" s="138">
        <v>55.2</v>
      </c>
      <c r="E2770" s="138">
        <v>65.217391304347828</v>
      </c>
      <c r="F2770" s="139">
        <v>0.92</v>
      </c>
    </row>
    <row r="2771" spans="1:6" x14ac:dyDescent="0.25">
      <c r="A2771" s="110"/>
      <c r="B2771" s="125" t="s">
        <v>2448</v>
      </c>
      <c r="C2771" s="138">
        <v>1.08</v>
      </c>
      <c r="D2771" s="138">
        <v>64.800000000000011</v>
      </c>
      <c r="E2771" s="138">
        <v>55.555555555555543</v>
      </c>
      <c r="F2771" s="139">
        <v>1.08</v>
      </c>
    </row>
    <row r="2772" spans="1:6" x14ac:dyDescent="0.25">
      <c r="A2772" s="110"/>
      <c r="B2772" s="125" t="s">
        <v>2449</v>
      </c>
      <c r="C2772" s="138">
        <v>1.08</v>
      </c>
      <c r="D2772" s="138">
        <v>64.800000000000011</v>
      </c>
      <c r="E2772" s="138">
        <v>55.555555555555543</v>
      </c>
      <c r="F2772" s="139">
        <v>1.08</v>
      </c>
    </row>
    <row r="2773" spans="1:6" x14ac:dyDescent="0.25">
      <c r="A2773" s="110"/>
      <c r="B2773" s="125" t="s">
        <v>2411</v>
      </c>
      <c r="C2773" s="138">
        <v>0.23</v>
      </c>
      <c r="D2773" s="138">
        <v>13.8</v>
      </c>
      <c r="E2773" s="138">
        <v>260.86956521739131</v>
      </c>
      <c r="F2773" s="139">
        <v>0.23</v>
      </c>
    </row>
    <row r="2774" spans="1:6" x14ac:dyDescent="0.25">
      <c r="A2774" s="110"/>
      <c r="B2774" s="125" t="s">
        <v>2413</v>
      </c>
      <c r="C2774" s="138">
        <v>0.23</v>
      </c>
      <c r="D2774" s="138">
        <v>13.8</v>
      </c>
      <c r="E2774" s="138">
        <v>260.86956521739131</v>
      </c>
      <c r="F2774" s="139">
        <v>0.23</v>
      </c>
    </row>
    <row r="2775" spans="1:6" x14ac:dyDescent="0.25">
      <c r="A2775" s="110"/>
      <c r="B2775" s="125" t="s">
        <v>2410</v>
      </c>
      <c r="C2775" s="138">
        <v>0.22</v>
      </c>
      <c r="D2775" s="138">
        <v>13.2</v>
      </c>
      <c r="E2775" s="138">
        <v>272.72727272727275</v>
      </c>
      <c r="F2775" s="139">
        <v>0.22</v>
      </c>
    </row>
    <row r="2776" spans="1:6" x14ac:dyDescent="0.25">
      <c r="A2776" s="110"/>
      <c r="B2776" s="125" t="s">
        <v>2412</v>
      </c>
      <c r="C2776" s="138">
        <v>0.22</v>
      </c>
      <c r="D2776" s="138">
        <v>13.2</v>
      </c>
      <c r="E2776" s="138">
        <v>272.72727272727275</v>
      </c>
      <c r="F2776" s="139">
        <v>0.22</v>
      </c>
    </row>
    <row r="2777" spans="1:6" x14ac:dyDescent="0.25">
      <c r="A2777" s="110"/>
      <c r="B2777" s="125" t="s">
        <v>2450</v>
      </c>
      <c r="C2777" s="138">
        <v>0.18</v>
      </c>
      <c r="D2777" s="138">
        <v>10.799999999999999</v>
      </c>
      <c r="E2777" s="138">
        <v>333.33333333333337</v>
      </c>
      <c r="F2777" s="139">
        <v>0.18</v>
      </c>
    </row>
    <row r="2778" spans="1:6" x14ac:dyDescent="0.25">
      <c r="A2778" s="110"/>
      <c r="B2778" s="125" t="s">
        <v>2451</v>
      </c>
      <c r="C2778" s="138">
        <v>0.18</v>
      </c>
      <c r="D2778" s="138">
        <v>10.799999999999999</v>
      </c>
      <c r="E2778" s="138">
        <v>333.33333333333337</v>
      </c>
      <c r="F2778" s="139">
        <v>0.18</v>
      </c>
    </row>
    <row r="2779" spans="1:6" x14ac:dyDescent="0.25">
      <c r="A2779" s="110"/>
      <c r="B2779" s="125" t="s">
        <v>2452</v>
      </c>
      <c r="C2779" s="138">
        <v>0.18</v>
      </c>
      <c r="D2779" s="138">
        <v>10.799999999999999</v>
      </c>
      <c r="E2779" s="138">
        <v>333.33333333333337</v>
      </c>
      <c r="F2779" s="139">
        <v>0.18</v>
      </c>
    </row>
    <row r="2780" spans="1:6" x14ac:dyDescent="0.25">
      <c r="A2780" s="110"/>
      <c r="B2780" s="125" t="s">
        <v>2453</v>
      </c>
      <c r="C2780" s="138">
        <v>0.18</v>
      </c>
      <c r="D2780" s="138">
        <v>10.799999999999999</v>
      </c>
      <c r="E2780" s="138">
        <v>333.33333333333337</v>
      </c>
      <c r="F2780" s="139">
        <v>0.18</v>
      </c>
    </row>
    <row r="2781" spans="1:6" x14ac:dyDescent="0.25">
      <c r="A2781" s="110"/>
      <c r="B2781" s="125" t="s">
        <v>2454</v>
      </c>
      <c r="C2781" s="138">
        <v>0.18</v>
      </c>
      <c r="D2781" s="138">
        <v>10.799999999999999</v>
      </c>
      <c r="E2781" s="138">
        <v>333.33333333333337</v>
      </c>
      <c r="F2781" s="139">
        <v>0.18</v>
      </c>
    </row>
    <row r="2782" spans="1:6" x14ac:dyDescent="0.25">
      <c r="A2782" s="110"/>
      <c r="B2782" s="125" t="s">
        <v>2455</v>
      </c>
      <c r="C2782" s="138">
        <v>0.28000000000000003</v>
      </c>
      <c r="D2782" s="138">
        <v>16.8</v>
      </c>
      <c r="E2782" s="138">
        <v>214.28571428571428</v>
      </c>
      <c r="F2782" s="139">
        <v>0.28000000000000003</v>
      </c>
    </row>
    <row r="2783" spans="1:6" x14ac:dyDescent="0.25">
      <c r="A2783" s="110"/>
      <c r="B2783" s="125" t="s">
        <v>2456</v>
      </c>
      <c r="C2783" s="138">
        <v>0.24</v>
      </c>
      <c r="D2783" s="138">
        <v>14.399999999999999</v>
      </c>
      <c r="E2783" s="138">
        <v>250.00000000000003</v>
      </c>
      <c r="F2783" s="139">
        <v>0.24</v>
      </c>
    </row>
    <row r="2784" spans="1:6" x14ac:dyDescent="0.25">
      <c r="A2784" s="110"/>
      <c r="B2784" s="125" t="s">
        <v>2457</v>
      </c>
      <c r="C2784" s="138">
        <v>0.24</v>
      </c>
      <c r="D2784" s="138">
        <v>14.399999999999999</v>
      </c>
      <c r="E2784" s="138">
        <v>250.00000000000003</v>
      </c>
      <c r="F2784" s="139">
        <v>0.24</v>
      </c>
    </row>
    <row r="2785" spans="1:6" x14ac:dyDescent="0.25">
      <c r="A2785" s="110"/>
      <c r="B2785" s="125" t="s">
        <v>2458</v>
      </c>
      <c r="C2785" s="138">
        <v>3.09</v>
      </c>
      <c r="D2785" s="138">
        <v>185.39999999999998</v>
      </c>
      <c r="E2785" s="138">
        <v>19.417475728155342</v>
      </c>
      <c r="F2785" s="139">
        <v>3.09</v>
      </c>
    </row>
    <row r="2786" spans="1:6" x14ac:dyDescent="0.25">
      <c r="A2786" s="110"/>
      <c r="B2786" s="125" t="s">
        <v>2459</v>
      </c>
      <c r="C2786" s="138">
        <v>4.84</v>
      </c>
      <c r="D2786" s="138">
        <v>290.39999999999998</v>
      </c>
      <c r="E2786" s="138">
        <v>12.396694214876034</v>
      </c>
      <c r="F2786" s="139">
        <v>4.84</v>
      </c>
    </row>
    <row r="2787" spans="1:6" x14ac:dyDescent="0.25">
      <c r="A2787" s="110"/>
      <c r="B2787" s="125" t="s">
        <v>2460</v>
      </c>
      <c r="C2787" s="138">
        <v>2.0099999999999998</v>
      </c>
      <c r="D2787" s="138">
        <v>120.6</v>
      </c>
      <c r="E2787" s="138">
        <v>29.850746268656717</v>
      </c>
      <c r="F2787" s="139">
        <v>2.0099999999999998</v>
      </c>
    </row>
    <row r="2788" spans="1:6" x14ac:dyDescent="0.25">
      <c r="A2788" s="110"/>
      <c r="B2788" s="125" t="s">
        <v>2461</v>
      </c>
      <c r="C2788" s="138">
        <v>2.31</v>
      </c>
      <c r="D2788" s="138">
        <v>138.6</v>
      </c>
      <c r="E2788" s="138">
        <v>25.974025974025974</v>
      </c>
      <c r="F2788" s="139">
        <v>2.31</v>
      </c>
    </row>
    <row r="2789" spans="1:6" x14ac:dyDescent="0.25">
      <c r="A2789" s="110"/>
      <c r="B2789" s="125" t="s">
        <v>2462</v>
      </c>
      <c r="C2789" s="138">
        <v>1.56</v>
      </c>
      <c r="D2789" s="138">
        <v>93.600000000000009</v>
      </c>
      <c r="E2789" s="138">
        <v>38.46153846153846</v>
      </c>
      <c r="F2789" s="139">
        <v>1.56</v>
      </c>
    </row>
    <row r="2790" spans="1:6" x14ac:dyDescent="0.25">
      <c r="A2790" s="110"/>
      <c r="B2790" s="125" t="s">
        <v>2463</v>
      </c>
      <c r="C2790" s="138">
        <v>0.8</v>
      </c>
      <c r="D2790" s="138">
        <v>48</v>
      </c>
      <c r="E2790" s="138">
        <v>75</v>
      </c>
      <c r="F2790" s="139">
        <v>0.8</v>
      </c>
    </row>
    <row r="2791" spans="1:6" x14ac:dyDescent="0.25">
      <c r="A2791" s="110"/>
      <c r="B2791" s="125" t="s">
        <v>2464</v>
      </c>
      <c r="C2791" s="138">
        <v>1.1599999999999999</v>
      </c>
      <c r="D2791" s="138">
        <v>69.599999999999994</v>
      </c>
      <c r="E2791" s="138">
        <v>51.724137931034484</v>
      </c>
      <c r="F2791" s="139">
        <v>1.1599999999999999</v>
      </c>
    </row>
    <row r="2792" spans="1:6" x14ac:dyDescent="0.25">
      <c r="A2792" s="110"/>
      <c r="B2792" s="125" t="s">
        <v>2465</v>
      </c>
      <c r="C2792" s="138">
        <v>2.3199999999999998</v>
      </c>
      <c r="D2792" s="138">
        <v>139.19999999999999</v>
      </c>
      <c r="E2792" s="138">
        <v>25.862068965517242</v>
      </c>
      <c r="F2792" s="139">
        <v>2.3199999999999998</v>
      </c>
    </row>
    <row r="2793" spans="1:6" x14ac:dyDescent="0.25">
      <c r="A2793" s="110"/>
      <c r="B2793" s="125" t="s">
        <v>2466</v>
      </c>
      <c r="C2793" s="138">
        <v>2.3199999999999998</v>
      </c>
      <c r="D2793" s="138">
        <v>139.19999999999999</v>
      </c>
      <c r="E2793" s="138">
        <v>25.862068965517242</v>
      </c>
      <c r="F2793" s="139">
        <v>2.3199999999999998</v>
      </c>
    </row>
    <row r="2794" spans="1:6" x14ac:dyDescent="0.25">
      <c r="A2794" s="110"/>
      <c r="B2794" s="125" t="s">
        <v>2467</v>
      </c>
      <c r="C2794" s="138">
        <v>2.3199999999999998</v>
      </c>
      <c r="D2794" s="138">
        <v>139.19999999999999</v>
      </c>
      <c r="E2794" s="138">
        <v>25.862068965517242</v>
      </c>
      <c r="F2794" s="139">
        <v>2.3199999999999998</v>
      </c>
    </row>
    <row r="2795" spans="1:6" x14ac:dyDescent="0.25">
      <c r="A2795" s="110"/>
      <c r="B2795" s="125" t="s">
        <v>2468</v>
      </c>
      <c r="C2795" s="138">
        <v>1.1599999999999999</v>
      </c>
      <c r="D2795" s="138">
        <v>69.599999999999994</v>
      </c>
      <c r="E2795" s="138">
        <v>51.724137931034484</v>
      </c>
      <c r="F2795" s="139">
        <v>1.1599999999999999</v>
      </c>
    </row>
    <row r="2796" spans="1:6" x14ac:dyDescent="0.25">
      <c r="A2796" s="110"/>
      <c r="B2796" s="125" t="s">
        <v>2469</v>
      </c>
      <c r="C2796" s="138">
        <v>1.1599999999999999</v>
      </c>
      <c r="D2796" s="138">
        <v>69.599999999999994</v>
      </c>
      <c r="E2796" s="138">
        <v>51.724137931034484</v>
      </c>
      <c r="F2796" s="139">
        <v>1.1599999999999999</v>
      </c>
    </row>
    <row r="2797" spans="1:6" x14ac:dyDescent="0.25">
      <c r="A2797" s="110"/>
      <c r="B2797" s="125" t="s">
        <v>2470</v>
      </c>
      <c r="C2797" s="138">
        <v>1.1599999999999999</v>
      </c>
      <c r="D2797" s="138">
        <v>69.599999999999994</v>
      </c>
      <c r="E2797" s="138">
        <v>51.724137931034484</v>
      </c>
      <c r="F2797" s="139">
        <v>1.1599999999999999</v>
      </c>
    </row>
    <row r="2798" spans="1:6" x14ac:dyDescent="0.25">
      <c r="A2798" s="110"/>
      <c r="B2798" s="125" t="s">
        <v>2471</v>
      </c>
      <c r="C2798" s="138">
        <v>1.1599999999999999</v>
      </c>
      <c r="D2798" s="138">
        <v>69.599999999999994</v>
      </c>
      <c r="E2798" s="138">
        <v>51.724137931034484</v>
      </c>
      <c r="F2798" s="139">
        <v>1.1599999999999999</v>
      </c>
    </row>
    <row r="2799" spans="1:6" x14ac:dyDescent="0.25">
      <c r="A2799" s="110"/>
      <c r="B2799" s="125" t="s">
        <v>2472</v>
      </c>
      <c r="C2799" s="138">
        <v>1.1599999999999999</v>
      </c>
      <c r="D2799" s="138">
        <v>69.599999999999994</v>
      </c>
      <c r="E2799" s="138">
        <v>51.724137931034484</v>
      </c>
      <c r="F2799" s="139">
        <v>1.1599999999999999</v>
      </c>
    </row>
    <row r="2800" spans="1:6" x14ac:dyDescent="0.25">
      <c r="A2800" s="110"/>
      <c r="B2800" s="125" t="s">
        <v>2473</v>
      </c>
      <c r="C2800" s="138">
        <v>1.1599999999999999</v>
      </c>
      <c r="D2800" s="138">
        <v>69.599999999999994</v>
      </c>
      <c r="E2800" s="138">
        <v>51.724137931034484</v>
      </c>
      <c r="F2800" s="139">
        <v>1.1599999999999999</v>
      </c>
    </row>
    <row r="2801" spans="1:6" x14ac:dyDescent="0.25">
      <c r="A2801" s="110"/>
      <c r="B2801" s="125" t="s">
        <v>2474</v>
      </c>
      <c r="C2801" s="138">
        <v>1.1599999999999999</v>
      </c>
      <c r="D2801" s="138">
        <v>69.599999999999994</v>
      </c>
      <c r="E2801" s="138">
        <v>51.724137931034484</v>
      </c>
      <c r="F2801" s="139">
        <v>1.1599999999999999</v>
      </c>
    </row>
    <row r="2802" spans="1:6" x14ac:dyDescent="0.25">
      <c r="A2802" s="110"/>
      <c r="B2802" s="125" t="s">
        <v>2475</v>
      </c>
      <c r="C2802" s="138">
        <v>1.1599999999999999</v>
      </c>
      <c r="D2802" s="138">
        <v>69.599999999999994</v>
      </c>
      <c r="E2802" s="138">
        <v>51.724137931034484</v>
      </c>
      <c r="F2802" s="139">
        <v>1.1599999999999999</v>
      </c>
    </row>
    <row r="2803" spans="1:6" x14ac:dyDescent="0.25">
      <c r="A2803" s="110"/>
      <c r="B2803" s="125" t="s">
        <v>2476</v>
      </c>
      <c r="C2803" s="138">
        <v>1.1599999999999999</v>
      </c>
      <c r="D2803" s="138">
        <v>69.599999999999994</v>
      </c>
      <c r="E2803" s="138">
        <v>51.724137931034484</v>
      </c>
      <c r="F2803" s="139">
        <v>1.1599999999999999</v>
      </c>
    </row>
    <row r="2804" spans="1:6" x14ac:dyDescent="0.25">
      <c r="A2804" s="110"/>
      <c r="B2804" s="125" t="s">
        <v>2477</v>
      </c>
      <c r="C2804" s="138">
        <v>1.1599999999999999</v>
      </c>
      <c r="D2804" s="138">
        <v>69.599999999999994</v>
      </c>
      <c r="E2804" s="138">
        <v>51.724137931034484</v>
      </c>
      <c r="F2804" s="139">
        <v>1.1599999999999999</v>
      </c>
    </row>
    <row r="2805" spans="1:6" x14ac:dyDescent="0.25">
      <c r="A2805" s="110"/>
      <c r="B2805" s="125" t="s">
        <v>2478</v>
      </c>
      <c r="C2805" s="138">
        <v>1.1599999999999999</v>
      </c>
      <c r="D2805" s="138">
        <v>69.599999999999994</v>
      </c>
      <c r="E2805" s="138">
        <v>51.724137931034484</v>
      </c>
      <c r="F2805" s="139">
        <v>1.1599999999999999</v>
      </c>
    </row>
    <row r="2806" spans="1:6" x14ac:dyDescent="0.25">
      <c r="A2806" s="110"/>
      <c r="B2806" s="125" t="s">
        <v>2479</v>
      </c>
      <c r="C2806" s="138">
        <v>1.1599999999999999</v>
      </c>
      <c r="D2806" s="138">
        <v>69.599999999999994</v>
      </c>
      <c r="E2806" s="138">
        <v>51.724137931034484</v>
      </c>
      <c r="F2806" s="139">
        <v>1.1599999999999999</v>
      </c>
    </row>
    <row r="2807" spans="1:6" x14ac:dyDescent="0.25">
      <c r="A2807" s="110"/>
      <c r="B2807" s="125" t="s">
        <v>2480</v>
      </c>
      <c r="C2807" s="138">
        <v>1.1599999999999999</v>
      </c>
      <c r="D2807" s="138">
        <v>69.599999999999994</v>
      </c>
      <c r="E2807" s="138">
        <v>51.724137931034484</v>
      </c>
      <c r="F2807" s="139">
        <v>1.1599999999999999</v>
      </c>
    </row>
    <row r="2808" spans="1:6" x14ac:dyDescent="0.25">
      <c r="A2808" s="110"/>
      <c r="B2808" s="125" t="s">
        <v>2481</v>
      </c>
      <c r="C2808" s="138">
        <v>1.1599999999999999</v>
      </c>
      <c r="D2808" s="138">
        <v>69.599999999999994</v>
      </c>
      <c r="E2808" s="138">
        <v>51.724137931034484</v>
      </c>
      <c r="F2808" s="139">
        <v>1.1599999999999999</v>
      </c>
    </row>
    <row r="2809" spans="1:6" x14ac:dyDescent="0.25">
      <c r="A2809" s="110"/>
      <c r="B2809" s="125" t="s">
        <v>2482</v>
      </c>
      <c r="C2809" s="138">
        <v>1.1599999999999999</v>
      </c>
      <c r="D2809" s="138">
        <v>69.599999999999994</v>
      </c>
      <c r="E2809" s="138">
        <v>51.724137931034484</v>
      </c>
      <c r="F2809" s="139">
        <v>1.1599999999999999</v>
      </c>
    </row>
    <row r="2810" spans="1:6" x14ac:dyDescent="0.25">
      <c r="A2810" s="110"/>
      <c r="B2810" s="125" t="s">
        <v>2483</v>
      </c>
      <c r="C2810" s="138">
        <v>1.1599999999999999</v>
      </c>
      <c r="D2810" s="138">
        <v>69.599999999999994</v>
      </c>
      <c r="E2810" s="138">
        <v>51.724137931034484</v>
      </c>
      <c r="F2810" s="139">
        <v>1.1599999999999999</v>
      </c>
    </row>
    <row r="2811" spans="1:6" x14ac:dyDescent="0.25">
      <c r="A2811" s="110"/>
      <c r="B2811" s="125" t="s">
        <v>2484</v>
      </c>
      <c r="C2811" s="138">
        <v>1.1599999999999999</v>
      </c>
      <c r="D2811" s="138">
        <v>69.599999999999994</v>
      </c>
      <c r="E2811" s="138">
        <v>51.724137931034484</v>
      </c>
      <c r="F2811" s="139">
        <v>1.1599999999999999</v>
      </c>
    </row>
    <row r="2812" spans="1:6" x14ac:dyDescent="0.25">
      <c r="A2812" s="110"/>
      <c r="B2812" s="125" t="s">
        <v>2485</v>
      </c>
      <c r="C2812" s="138">
        <v>1.1599999999999999</v>
      </c>
      <c r="D2812" s="138">
        <v>69.599999999999994</v>
      </c>
      <c r="E2812" s="138">
        <v>51.724137931034484</v>
      </c>
      <c r="F2812" s="139">
        <v>1.1599999999999999</v>
      </c>
    </row>
    <row r="2813" spans="1:6" x14ac:dyDescent="0.25">
      <c r="A2813" s="110"/>
      <c r="B2813" s="125" t="s">
        <v>2486</v>
      </c>
      <c r="C2813" s="138">
        <v>1.1599999999999999</v>
      </c>
      <c r="D2813" s="138">
        <v>69.599999999999994</v>
      </c>
      <c r="E2813" s="138">
        <v>51.724137931034484</v>
      </c>
      <c r="F2813" s="139">
        <v>1.1599999999999999</v>
      </c>
    </row>
    <row r="2814" spans="1:6" x14ac:dyDescent="0.25">
      <c r="A2814" s="110"/>
      <c r="B2814" s="125" t="s">
        <v>2487</v>
      </c>
      <c r="C2814" s="138">
        <v>0.8</v>
      </c>
      <c r="D2814" s="138">
        <v>48</v>
      </c>
      <c r="E2814" s="138">
        <v>75</v>
      </c>
      <c r="F2814" s="139">
        <v>0.8</v>
      </c>
    </row>
    <row r="2815" spans="1:6" x14ac:dyDescent="0.25">
      <c r="A2815" s="110"/>
      <c r="B2815" s="125" t="s">
        <v>2487</v>
      </c>
      <c r="C2815" s="138">
        <v>0.8</v>
      </c>
      <c r="D2815" s="138">
        <v>48</v>
      </c>
      <c r="E2815" s="138">
        <v>75</v>
      </c>
      <c r="F2815" s="139">
        <v>0.8</v>
      </c>
    </row>
    <row r="2816" spans="1:6" x14ac:dyDescent="0.25">
      <c r="A2816" s="110"/>
      <c r="B2816" s="125" t="s">
        <v>2488</v>
      </c>
      <c r="C2816" s="138">
        <v>0.8</v>
      </c>
      <c r="D2816" s="138">
        <v>48</v>
      </c>
      <c r="E2816" s="138">
        <v>75</v>
      </c>
      <c r="F2816" s="139">
        <v>0.8</v>
      </c>
    </row>
    <row r="2817" spans="1:6" x14ac:dyDescent="0.25">
      <c r="A2817" s="110"/>
      <c r="B2817" s="125" t="s">
        <v>2489</v>
      </c>
      <c r="C2817" s="138">
        <v>0.8</v>
      </c>
      <c r="D2817" s="138">
        <v>48</v>
      </c>
      <c r="E2817" s="138">
        <v>75</v>
      </c>
      <c r="F2817" s="139">
        <v>0.8</v>
      </c>
    </row>
    <row r="2818" spans="1:6" x14ac:dyDescent="0.25">
      <c r="A2818" s="110"/>
      <c r="B2818" s="125" t="s">
        <v>2490</v>
      </c>
      <c r="C2818" s="138">
        <v>0.8</v>
      </c>
      <c r="D2818" s="138">
        <v>48</v>
      </c>
      <c r="E2818" s="138">
        <v>75</v>
      </c>
      <c r="F2818" s="139">
        <v>0.8</v>
      </c>
    </row>
    <row r="2819" spans="1:6" x14ac:dyDescent="0.25">
      <c r="A2819" s="110"/>
      <c r="B2819" s="125" t="s">
        <v>2491</v>
      </c>
      <c r="C2819" s="138">
        <v>0.8</v>
      </c>
      <c r="D2819" s="138">
        <v>48</v>
      </c>
      <c r="E2819" s="138">
        <v>75</v>
      </c>
      <c r="F2819" s="139">
        <v>0.8</v>
      </c>
    </row>
    <row r="2820" spans="1:6" x14ac:dyDescent="0.25">
      <c r="A2820" s="110"/>
      <c r="B2820" s="125" t="s">
        <v>2492</v>
      </c>
      <c r="C2820" s="138">
        <v>0.8</v>
      </c>
      <c r="D2820" s="138">
        <v>48</v>
      </c>
      <c r="E2820" s="138">
        <v>75</v>
      </c>
      <c r="F2820" s="139">
        <v>0.8</v>
      </c>
    </row>
    <row r="2821" spans="1:6" x14ac:dyDescent="0.25">
      <c r="A2821" s="110"/>
      <c r="B2821" s="125" t="s">
        <v>2492</v>
      </c>
      <c r="C2821" s="138">
        <v>0.8</v>
      </c>
      <c r="D2821" s="138">
        <v>48</v>
      </c>
      <c r="E2821" s="138">
        <v>75</v>
      </c>
      <c r="F2821" s="139">
        <v>0.8</v>
      </c>
    </row>
    <row r="2822" spans="1:6" x14ac:dyDescent="0.25">
      <c r="A2822" s="110"/>
      <c r="B2822" s="125" t="s">
        <v>2493</v>
      </c>
      <c r="C2822" s="138">
        <v>0.8</v>
      </c>
      <c r="D2822" s="138">
        <v>48</v>
      </c>
      <c r="E2822" s="138">
        <v>75</v>
      </c>
      <c r="F2822" s="139">
        <v>0.8</v>
      </c>
    </row>
    <row r="2823" spans="1:6" x14ac:dyDescent="0.25">
      <c r="A2823" s="110"/>
      <c r="B2823" s="125" t="s">
        <v>2494</v>
      </c>
      <c r="C2823" s="138">
        <v>0.8</v>
      </c>
      <c r="D2823" s="138">
        <v>48</v>
      </c>
      <c r="E2823" s="138">
        <v>75</v>
      </c>
      <c r="F2823" s="139">
        <v>0.8</v>
      </c>
    </row>
    <row r="2824" spans="1:6" x14ac:dyDescent="0.25">
      <c r="A2824" s="110"/>
      <c r="B2824" s="125" t="s">
        <v>2495</v>
      </c>
      <c r="C2824" s="138">
        <v>0.8</v>
      </c>
      <c r="D2824" s="138">
        <v>48</v>
      </c>
      <c r="E2824" s="138">
        <v>75</v>
      </c>
      <c r="F2824" s="139">
        <v>0.8</v>
      </c>
    </row>
    <row r="2825" spans="1:6" x14ac:dyDescent="0.25">
      <c r="A2825" s="110"/>
      <c r="B2825" s="125" t="s">
        <v>2496</v>
      </c>
      <c r="C2825" s="138">
        <v>0.8</v>
      </c>
      <c r="D2825" s="138">
        <v>48</v>
      </c>
      <c r="E2825" s="138">
        <v>75</v>
      </c>
      <c r="F2825" s="139">
        <v>0.8</v>
      </c>
    </row>
    <row r="2826" spans="1:6" x14ac:dyDescent="0.25">
      <c r="A2826" s="110"/>
      <c r="B2826" s="125" t="s">
        <v>2496</v>
      </c>
      <c r="C2826" s="138">
        <v>0.8</v>
      </c>
      <c r="D2826" s="138">
        <v>48</v>
      </c>
      <c r="E2826" s="138">
        <v>75</v>
      </c>
      <c r="F2826" s="139">
        <v>0.8</v>
      </c>
    </row>
    <row r="2827" spans="1:6" x14ac:dyDescent="0.25">
      <c r="A2827" s="110"/>
      <c r="B2827" s="125" t="s">
        <v>2497</v>
      </c>
      <c r="C2827" s="138">
        <v>0.8</v>
      </c>
      <c r="D2827" s="138">
        <v>48</v>
      </c>
      <c r="E2827" s="138">
        <v>75</v>
      </c>
      <c r="F2827" s="139">
        <v>0.8</v>
      </c>
    </row>
    <row r="2828" spans="1:6" x14ac:dyDescent="0.25">
      <c r="A2828" s="110"/>
      <c r="B2828" s="125" t="s">
        <v>2498</v>
      </c>
      <c r="C2828" s="138">
        <v>0.8</v>
      </c>
      <c r="D2828" s="138">
        <v>48</v>
      </c>
      <c r="E2828" s="138">
        <v>75</v>
      </c>
      <c r="F2828" s="139">
        <v>0.8</v>
      </c>
    </row>
    <row r="2829" spans="1:6" x14ac:dyDescent="0.25">
      <c r="A2829" s="110"/>
      <c r="B2829" s="125" t="s">
        <v>2499</v>
      </c>
      <c r="C2829" s="138">
        <v>0.8</v>
      </c>
      <c r="D2829" s="138">
        <v>48</v>
      </c>
      <c r="E2829" s="138">
        <v>75</v>
      </c>
      <c r="F2829" s="139">
        <v>0.8</v>
      </c>
    </row>
    <row r="2830" spans="1:6" x14ac:dyDescent="0.25">
      <c r="A2830" s="110"/>
      <c r="B2830" s="125" t="s">
        <v>2500</v>
      </c>
      <c r="C2830" s="138">
        <v>0.8</v>
      </c>
      <c r="D2830" s="138">
        <v>48</v>
      </c>
      <c r="E2830" s="138">
        <v>75</v>
      </c>
      <c r="F2830" s="139">
        <v>0.8</v>
      </c>
    </row>
    <row r="2831" spans="1:6" x14ac:dyDescent="0.25">
      <c r="A2831" s="110"/>
      <c r="B2831" s="125" t="s">
        <v>2501</v>
      </c>
      <c r="C2831" s="138">
        <v>0.8</v>
      </c>
      <c r="D2831" s="138">
        <v>48</v>
      </c>
      <c r="E2831" s="138">
        <v>75</v>
      </c>
      <c r="F2831" s="139">
        <v>0.8</v>
      </c>
    </row>
    <row r="2832" spans="1:6" x14ac:dyDescent="0.25">
      <c r="A2832" s="110"/>
      <c r="B2832" s="125" t="s">
        <v>2501</v>
      </c>
      <c r="C2832" s="138">
        <v>0.8</v>
      </c>
      <c r="D2832" s="138">
        <v>48</v>
      </c>
      <c r="E2832" s="138">
        <v>75</v>
      </c>
      <c r="F2832" s="139">
        <v>0.8</v>
      </c>
    </row>
    <row r="2833" spans="1:6" x14ac:dyDescent="0.25">
      <c r="A2833" s="110"/>
      <c r="B2833" s="125" t="s">
        <v>2502</v>
      </c>
      <c r="C2833" s="138">
        <v>0.8</v>
      </c>
      <c r="D2833" s="138">
        <v>48</v>
      </c>
      <c r="E2833" s="138">
        <v>75</v>
      </c>
      <c r="F2833" s="139">
        <v>0.8</v>
      </c>
    </row>
    <row r="2834" spans="1:6" x14ac:dyDescent="0.25">
      <c r="A2834" s="110"/>
      <c r="B2834" s="125" t="s">
        <v>2502</v>
      </c>
      <c r="C2834" s="138">
        <v>0.8</v>
      </c>
      <c r="D2834" s="138">
        <v>48</v>
      </c>
      <c r="E2834" s="138">
        <v>75</v>
      </c>
      <c r="F2834" s="139">
        <v>0.8</v>
      </c>
    </row>
    <row r="2835" spans="1:6" x14ac:dyDescent="0.25">
      <c r="A2835" s="110"/>
      <c r="B2835" s="125" t="s">
        <v>2503</v>
      </c>
      <c r="C2835" s="138">
        <v>0.8</v>
      </c>
      <c r="D2835" s="138">
        <v>48</v>
      </c>
      <c r="E2835" s="138">
        <v>75</v>
      </c>
      <c r="F2835" s="139">
        <v>0.8</v>
      </c>
    </row>
    <row r="2836" spans="1:6" x14ac:dyDescent="0.25">
      <c r="A2836" s="110"/>
      <c r="B2836" s="125" t="s">
        <v>2504</v>
      </c>
      <c r="C2836" s="138">
        <v>0.8</v>
      </c>
      <c r="D2836" s="138">
        <v>48</v>
      </c>
      <c r="E2836" s="138">
        <v>75</v>
      </c>
      <c r="F2836" s="139">
        <v>0.8</v>
      </c>
    </row>
    <row r="2837" spans="1:6" x14ac:dyDescent="0.25">
      <c r="A2837" s="110"/>
      <c r="B2837" s="125" t="s">
        <v>2504</v>
      </c>
      <c r="C2837" s="138">
        <v>0.8</v>
      </c>
      <c r="D2837" s="138">
        <v>48</v>
      </c>
      <c r="E2837" s="138">
        <v>75</v>
      </c>
      <c r="F2837" s="139">
        <v>0.8</v>
      </c>
    </row>
    <row r="2838" spans="1:6" x14ac:dyDescent="0.25">
      <c r="A2838" s="110"/>
      <c r="B2838" s="125" t="s">
        <v>2505</v>
      </c>
      <c r="C2838" s="138">
        <v>0.8</v>
      </c>
      <c r="D2838" s="138">
        <v>48</v>
      </c>
      <c r="E2838" s="138">
        <v>75</v>
      </c>
      <c r="F2838" s="139">
        <v>0.8</v>
      </c>
    </row>
    <row r="2839" spans="1:6" x14ac:dyDescent="0.25">
      <c r="A2839" s="110"/>
      <c r="B2839" s="125" t="s">
        <v>2506</v>
      </c>
      <c r="C2839" s="138">
        <v>0.7</v>
      </c>
      <c r="D2839" s="138">
        <v>42</v>
      </c>
      <c r="E2839" s="138">
        <v>85.714285714285708</v>
      </c>
      <c r="F2839" s="139">
        <v>0.7</v>
      </c>
    </row>
    <row r="2840" spans="1:6" x14ac:dyDescent="0.25">
      <c r="A2840" s="110"/>
      <c r="B2840" s="125" t="s">
        <v>2507</v>
      </c>
      <c r="C2840" s="138">
        <v>0.7</v>
      </c>
      <c r="D2840" s="138">
        <v>42</v>
      </c>
      <c r="E2840" s="138">
        <v>85.714285714285708</v>
      </c>
      <c r="F2840" s="139">
        <v>0.7</v>
      </c>
    </row>
    <row r="2841" spans="1:6" x14ac:dyDescent="0.25">
      <c r="A2841" s="110"/>
      <c r="B2841" s="125" t="s">
        <v>2508</v>
      </c>
      <c r="C2841" s="138">
        <v>0.8</v>
      </c>
      <c r="D2841" s="138">
        <v>48</v>
      </c>
      <c r="E2841" s="138">
        <v>75</v>
      </c>
      <c r="F2841" s="139">
        <v>0.8</v>
      </c>
    </row>
    <row r="2842" spans="1:6" x14ac:dyDescent="0.25">
      <c r="A2842" s="110"/>
      <c r="B2842" s="125" t="s">
        <v>2509</v>
      </c>
      <c r="C2842" s="138">
        <v>0.8</v>
      </c>
      <c r="D2842" s="138">
        <v>48</v>
      </c>
      <c r="E2842" s="138">
        <v>75</v>
      </c>
      <c r="F2842" s="139">
        <v>0.8</v>
      </c>
    </row>
    <row r="2843" spans="1:6" x14ac:dyDescent="0.25">
      <c r="A2843" s="110"/>
      <c r="B2843" s="125" t="s">
        <v>2510</v>
      </c>
      <c r="C2843" s="138">
        <v>0.8</v>
      </c>
      <c r="D2843" s="138">
        <v>48</v>
      </c>
      <c r="E2843" s="138">
        <v>75</v>
      </c>
      <c r="F2843" s="139">
        <v>0.8</v>
      </c>
    </row>
    <row r="2844" spans="1:6" x14ac:dyDescent="0.25">
      <c r="A2844" s="110"/>
      <c r="B2844" s="125" t="s">
        <v>2511</v>
      </c>
      <c r="C2844" s="138">
        <v>0.8</v>
      </c>
      <c r="D2844" s="138">
        <v>48</v>
      </c>
      <c r="E2844" s="138">
        <v>75</v>
      </c>
      <c r="F2844" s="139">
        <v>0.8</v>
      </c>
    </row>
    <row r="2845" spans="1:6" x14ac:dyDescent="0.25">
      <c r="A2845" s="110"/>
      <c r="B2845" s="125" t="s">
        <v>2512</v>
      </c>
      <c r="C2845" s="138">
        <v>0.8</v>
      </c>
      <c r="D2845" s="138">
        <v>48</v>
      </c>
      <c r="E2845" s="138">
        <v>75</v>
      </c>
      <c r="F2845" s="139">
        <v>0.8</v>
      </c>
    </row>
    <row r="2846" spans="1:6" x14ac:dyDescent="0.25">
      <c r="A2846" s="110"/>
      <c r="B2846" s="125" t="s">
        <v>2513</v>
      </c>
      <c r="C2846" s="138">
        <v>0.8</v>
      </c>
      <c r="D2846" s="138">
        <v>48</v>
      </c>
      <c r="E2846" s="138">
        <v>75</v>
      </c>
      <c r="F2846" s="139">
        <v>0.8</v>
      </c>
    </row>
    <row r="2847" spans="1:6" x14ac:dyDescent="0.25">
      <c r="A2847" s="110"/>
      <c r="B2847" s="125" t="s">
        <v>2514</v>
      </c>
      <c r="C2847" s="138">
        <v>0.8</v>
      </c>
      <c r="D2847" s="138">
        <v>48</v>
      </c>
      <c r="E2847" s="138">
        <v>75</v>
      </c>
      <c r="F2847" s="139">
        <v>0.8</v>
      </c>
    </row>
    <row r="2848" spans="1:6" x14ac:dyDescent="0.25">
      <c r="A2848" s="110"/>
      <c r="B2848" s="125" t="s">
        <v>2515</v>
      </c>
      <c r="C2848" s="138">
        <v>0.8</v>
      </c>
      <c r="D2848" s="138">
        <v>48</v>
      </c>
      <c r="E2848" s="138">
        <v>75</v>
      </c>
      <c r="F2848" s="139">
        <v>0.8</v>
      </c>
    </row>
    <row r="2849" spans="1:6" x14ac:dyDescent="0.25">
      <c r="A2849" s="110"/>
      <c r="B2849" s="125" t="s">
        <v>2516</v>
      </c>
      <c r="C2849" s="138">
        <v>0.8</v>
      </c>
      <c r="D2849" s="138">
        <v>48</v>
      </c>
      <c r="E2849" s="138">
        <v>75</v>
      </c>
      <c r="F2849" s="139">
        <v>0.8</v>
      </c>
    </row>
    <row r="2850" spans="1:6" x14ac:dyDescent="0.25">
      <c r="A2850" s="110"/>
      <c r="B2850" s="125" t="s">
        <v>2517</v>
      </c>
      <c r="C2850" s="138">
        <v>0.8</v>
      </c>
      <c r="D2850" s="138">
        <v>48</v>
      </c>
      <c r="E2850" s="138">
        <v>75</v>
      </c>
      <c r="F2850" s="139">
        <v>0.8</v>
      </c>
    </row>
    <row r="2851" spans="1:6" x14ac:dyDescent="0.25">
      <c r="A2851" s="110"/>
      <c r="B2851" s="125" t="s">
        <v>2518</v>
      </c>
      <c r="C2851" s="138">
        <v>0.8</v>
      </c>
      <c r="D2851" s="138">
        <v>48</v>
      </c>
      <c r="E2851" s="138">
        <v>75</v>
      </c>
      <c r="F2851" s="139">
        <v>0.8</v>
      </c>
    </row>
    <row r="2852" spans="1:6" x14ac:dyDescent="0.25">
      <c r="A2852" s="110"/>
      <c r="B2852" s="125" t="s">
        <v>2463</v>
      </c>
      <c r="C2852" s="138">
        <v>0.8</v>
      </c>
      <c r="D2852" s="138">
        <v>48</v>
      </c>
      <c r="E2852" s="138">
        <v>75</v>
      </c>
      <c r="F2852" s="139">
        <v>0.8</v>
      </c>
    </row>
    <row r="2853" spans="1:6" x14ac:dyDescent="0.25">
      <c r="A2853" s="110"/>
      <c r="B2853" s="125" t="s">
        <v>2463</v>
      </c>
      <c r="C2853" s="138">
        <v>0.8</v>
      </c>
      <c r="D2853" s="138">
        <v>48</v>
      </c>
      <c r="E2853" s="138">
        <v>75</v>
      </c>
      <c r="F2853" s="139">
        <v>0.8</v>
      </c>
    </row>
    <row r="2854" spans="1:6" x14ac:dyDescent="0.25">
      <c r="A2854" s="110"/>
      <c r="B2854" s="125" t="s">
        <v>2463</v>
      </c>
      <c r="C2854" s="138">
        <v>0.8</v>
      </c>
      <c r="D2854" s="138">
        <v>48</v>
      </c>
      <c r="E2854" s="138">
        <v>75</v>
      </c>
      <c r="F2854" s="139">
        <v>0.8</v>
      </c>
    </row>
    <row r="2855" spans="1:6" x14ac:dyDescent="0.25">
      <c r="A2855" s="110"/>
      <c r="B2855" s="125" t="s">
        <v>2515</v>
      </c>
      <c r="C2855" s="138">
        <v>0.8</v>
      </c>
      <c r="D2855" s="138">
        <v>48</v>
      </c>
      <c r="E2855" s="138">
        <v>75</v>
      </c>
      <c r="F2855" s="139">
        <v>0.8</v>
      </c>
    </row>
    <row r="2856" spans="1:6" x14ac:dyDescent="0.25">
      <c r="A2856" s="110"/>
      <c r="B2856" s="125" t="s">
        <v>2519</v>
      </c>
      <c r="C2856" s="138">
        <v>1.1000000000000001</v>
      </c>
      <c r="D2856" s="138">
        <v>66</v>
      </c>
      <c r="E2856" s="138">
        <v>54.545454545454547</v>
      </c>
      <c r="F2856" s="139">
        <v>1.1000000000000001</v>
      </c>
    </row>
    <row r="2857" spans="1:6" x14ac:dyDescent="0.25">
      <c r="A2857" s="110"/>
      <c r="B2857" s="125" t="s">
        <v>2520</v>
      </c>
      <c r="C2857" s="138">
        <v>1.1000000000000001</v>
      </c>
      <c r="D2857" s="138">
        <v>66</v>
      </c>
      <c r="E2857" s="138">
        <v>54.545454545454547</v>
      </c>
      <c r="F2857" s="139">
        <v>1.1000000000000001</v>
      </c>
    </row>
    <row r="2858" spans="1:6" x14ac:dyDescent="0.25">
      <c r="A2858" s="110"/>
      <c r="B2858" s="125" t="s">
        <v>2521</v>
      </c>
      <c r="C2858" s="138">
        <v>0.8</v>
      </c>
      <c r="D2858" s="138">
        <v>48</v>
      </c>
      <c r="E2858" s="138">
        <v>75</v>
      </c>
      <c r="F2858" s="139">
        <v>0.8</v>
      </c>
    </row>
    <row r="2859" spans="1:6" x14ac:dyDescent="0.25">
      <c r="A2859" s="110"/>
      <c r="B2859" s="125" t="s">
        <v>2521</v>
      </c>
      <c r="C2859" s="138">
        <v>0.8</v>
      </c>
      <c r="D2859" s="138">
        <v>48</v>
      </c>
      <c r="E2859" s="138">
        <v>75</v>
      </c>
      <c r="F2859" s="139">
        <v>0.8</v>
      </c>
    </row>
    <row r="2860" spans="1:6" x14ac:dyDescent="0.25">
      <c r="A2860" s="110"/>
      <c r="B2860" s="125" t="s">
        <v>2522</v>
      </c>
      <c r="C2860" s="138">
        <v>0.8</v>
      </c>
      <c r="D2860" s="138">
        <v>48</v>
      </c>
      <c r="E2860" s="138">
        <v>75</v>
      </c>
      <c r="F2860" s="139">
        <v>0.8</v>
      </c>
    </row>
    <row r="2861" spans="1:6" x14ac:dyDescent="0.25">
      <c r="A2861" s="110"/>
      <c r="B2861" s="125" t="s">
        <v>2523</v>
      </c>
      <c r="C2861" s="138">
        <v>0.8</v>
      </c>
      <c r="D2861" s="138">
        <v>48</v>
      </c>
      <c r="E2861" s="138">
        <v>75</v>
      </c>
      <c r="F2861" s="139">
        <v>0.8</v>
      </c>
    </row>
    <row r="2862" spans="1:6" x14ac:dyDescent="0.25">
      <c r="A2862" s="110"/>
      <c r="B2862" s="125" t="s">
        <v>2524</v>
      </c>
      <c r="C2862" s="138">
        <v>0.8</v>
      </c>
      <c r="D2862" s="138">
        <v>48</v>
      </c>
      <c r="E2862" s="138">
        <v>75</v>
      </c>
      <c r="F2862" s="139">
        <v>0.8</v>
      </c>
    </row>
    <row r="2863" spans="1:6" x14ac:dyDescent="0.25">
      <c r="A2863" s="110"/>
      <c r="B2863" s="125" t="s">
        <v>2525</v>
      </c>
      <c r="C2863" s="138">
        <v>0.8</v>
      </c>
      <c r="D2863" s="138">
        <v>48</v>
      </c>
      <c r="E2863" s="138">
        <v>75</v>
      </c>
      <c r="F2863" s="139">
        <v>0.8</v>
      </c>
    </row>
    <row r="2864" spans="1:6" x14ac:dyDescent="0.25">
      <c r="A2864" s="110"/>
      <c r="B2864" s="125" t="s">
        <v>2526</v>
      </c>
      <c r="C2864" s="138">
        <v>0.8</v>
      </c>
      <c r="D2864" s="138">
        <v>48</v>
      </c>
      <c r="E2864" s="138">
        <v>75</v>
      </c>
      <c r="F2864" s="139">
        <v>0.8</v>
      </c>
    </row>
    <row r="2865" spans="1:6" x14ac:dyDescent="0.25">
      <c r="A2865" s="110"/>
      <c r="B2865" s="125" t="s">
        <v>2527</v>
      </c>
      <c r="C2865" s="138">
        <v>0.8</v>
      </c>
      <c r="D2865" s="138">
        <v>48</v>
      </c>
      <c r="E2865" s="138">
        <v>75</v>
      </c>
      <c r="F2865" s="139">
        <v>0.8</v>
      </c>
    </row>
    <row r="2866" spans="1:6" x14ac:dyDescent="0.25">
      <c r="A2866" s="110"/>
      <c r="B2866" s="125" t="s">
        <v>2528</v>
      </c>
      <c r="C2866" s="138">
        <v>0.8</v>
      </c>
      <c r="D2866" s="138">
        <v>48</v>
      </c>
      <c r="E2866" s="138">
        <v>75</v>
      </c>
      <c r="F2866" s="139">
        <v>0.8</v>
      </c>
    </row>
    <row r="2867" spans="1:6" x14ac:dyDescent="0.25">
      <c r="A2867" s="110"/>
      <c r="B2867" s="125" t="s">
        <v>2529</v>
      </c>
      <c r="C2867" s="138">
        <v>1.1000000000000001</v>
      </c>
      <c r="D2867" s="138">
        <v>66</v>
      </c>
      <c r="E2867" s="138">
        <v>54.545454545454547</v>
      </c>
      <c r="F2867" s="139">
        <v>1.1000000000000001</v>
      </c>
    </row>
    <row r="2868" spans="1:6" x14ac:dyDescent="0.25">
      <c r="A2868" s="110"/>
      <c r="B2868" s="125" t="s">
        <v>2529</v>
      </c>
      <c r="C2868" s="138">
        <v>1.1000000000000001</v>
      </c>
      <c r="D2868" s="138">
        <v>66</v>
      </c>
      <c r="E2868" s="138">
        <v>54.545454545454547</v>
      </c>
      <c r="F2868" s="139">
        <v>1.1000000000000001</v>
      </c>
    </row>
    <row r="2869" spans="1:6" x14ac:dyDescent="0.25">
      <c r="A2869" s="110"/>
      <c r="B2869" s="125" t="s">
        <v>2530</v>
      </c>
      <c r="C2869" s="138">
        <v>1.1000000000000001</v>
      </c>
      <c r="D2869" s="138">
        <v>66</v>
      </c>
      <c r="E2869" s="138">
        <v>54.545454545454547</v>
      </c>
      <c r="F2869" s="139">
        <v>1.1000000000000001</v>
      </c>
    </row>
    <row r="2870" spans="1:6" x14ac:dyDescent="0.25">
      <c r="A2870" s="110"/>
      <c r="B2870" s="125" t="s">
        <v>2531</v>
      </c>
      <c r="C2870" s="138">
        <v>1.1000000000000001</v>
      </c>
      <c r="D2870" s="138">
        <v>66</v>
      </c>
      <c r="E2870" s="138">
        <v>54.545454545454547</v>
      </c>
      <c r="F2870" s="139">
        <v>1.1000000000000001</v>
      </c>
    </row>
    <row r="2871" spans="1:6" x14ac:dyDescent="0.25">
      <c r="A2871" s="110"/>
      <c r="B2871" s="125" t="s">
        <v>2531</v>
      </c>
      <c r="C2871" s="138">
        <v>1.1000000000000001</v>
      </c>
      <c r="D2871" s="138">
        <v>66</v>
      </c>
      <c r="E2871" s="138">
        <v>54.545454545454547</v>
      </c>
      <c r="F2871" s="139">
        <v>1.1000000000000001</v>
      </c>
    </row>
    <row r="2872" spans="1:6" x14ac:dyDescent="0.25">
      <c r="A2872" s="110"/>
      <c r="B2872" s="125" t="s">
        <v>2532</v>
      </c>
      <c r="C2872" s="138">
        <v>1.1000000000000001</v>
      </c>
      <c r="D2872" s="138">
        <v>66</v>
      </c>
      <c r="E2872" s="138">
        <v>54.545454545454547</v>
      </c>
      <c r="F2872" s="139">
        <v>1.1000000000000001</v>
      </c>
    </row>
    <row r="2873" spans="1:6" x14ac:dyDescent="0.25">
      <c r="A2873" s="110"/>
      <c r="B2873" s="125" t="s">
        <v>2533</v>
      </c>
      <c r="C2873" s="138">
        <v>1.1000000000000001</v>
      </c>
      <c r="D2873" s="138">
        <v>66</v>
      </c>
      <c r="E2873" s="138">
        <v>54.545454545454547</v>
      </c>
      <c r="F2873" s="139">
        <v>1.1000000000000001</v>
      </c>
    </row>
    <row r="2874" spans="1:6" x14ac:dyDescent="0.25">
      <c r="A2874" s="110"/>
      <c r="B2874" s="125" t="s">
        <v>2534</v>
      </c>
      <c r="C2874" s="138">
        <v>1.1000000000000001</v>
      </c>
      <c r="D2874" s="138">
        <v>66</v>
      </c>
      <c r="E2874" s="138">
        <v>54.545454545454547</v>
      </c>
      <c r="F2874" s="139">
        <v>1.1000000000000001</v>
      </c>
    </row>
    <row r="2875" spans="1:6" x14ac:dyDescent="0.25">
      <c r="A2875" s="110"/>
      <c r="B2875" s="125" t="s">
        <v>2535</v>
      </c>
      <c r="C2875" s="138">
        <v>1.1000000000000001</v>
      </c>
      <c r="D2875" s="138">
        <v>66</v>
      </c>
      <c r="E2875" s="138">
        <v>54.545454545454547</v>
      </c>
      <c r="F2875" s="139">
        <v>1.1000000000000001</v>
      </c>
    </row>
    <row r="2876" spans="1:6" x14ac:dyDescent="0.25">
      <c r="A2876" s="110"/>
      <c r="B2876" s="125" t="s">
        <v>2536</v>
      </c>
      <c r="C2876" s="138">
        <v>1.1000000000000001</v>
      </c>
      <c r="D2876" s="138">
        <v>66</v>
      </c>
      <c r="E2876" s="138">
        <v>54.545454545454547</v>
      </c>
      <c r="F2876" s="139">
        <v>1.1000000000000001</v>
      </c>
    </row>
    <row r="2877" spans="1:6" x14ac:dyDescent="0.25">
      <c r="A2877" s="110"/>
      <c r="B2877" s="125" t="s">
        <v>2537</v>
      </c>
      <c r="C2877" s="138">
        <v>1.1000000000000001</v>
      </c>
      <c r="D2877" s="138">
        <v>66</v>
      </c>
      <c r="E2877" s="138">
        <v>54.545454545454547</v>
      </c>
      <c r="F2877" s="139">
        <v>1.1000000000000001</v>
      </c>
    </row>
    <row r="2878" spans="1:6" x14ac:dyDescent="0.25">
      <c r="A2878" s="110"/>
      <c r="B2878" s="125" t="s">
        <v>2538</v>
      </c>
      <c r="C2878" s="138">
        <v>1.1000000000000001</v>
      </c>
      <c r="D2878" s="138">
        <v>66</v>
      </c>
      <c r="E2878" s="138">
        <v>54.545454545454547</v>
      </c>
      <c r="F2878" s="139">
        <v>1.1000000000000001</v>
      </c>
    </row>
    <row r="2879" spans="1:6" x14ac:dyDescent="0.25">
      <c r="A2879" s="110"/>
      <c r="B2879" s="125" t="s">
        <v>2539</v>
      </c>
      <c r="C2879" s="138">
        <v>1.1000000000000001</v>
      </c>
      <c r="D2879" s="138">
        <v>66</v>
      </c>
      <c r="E2879" s="138">
        <v>54.545454545454547</v>
      </c>
      <c r="F2879" s="139">
        <v>1.1000000000000001</v>
      </c>
    </row>
    <row r="2880" spans="1:6" x14ac:dyDescent="0.25">
      <c r="A2880" s="110"/>
      <c r="B2880" s="125" t="s">
        <v>2540</v>
      </c>
      <c r="C2880" s="138">
        <v>1.1000000000000001</v>
      </c>
      <c r="D2880" s="138">
        <v>66</v>
      </c>
      <c r="E2880" s="138">
        <v>54.545454545454547</v>
      </c>
      <c r="F2880" s="139">
        <v>1.1000000000000001</v>
      </c>
    </row>
    <row r="2881" spans="1:6" x14ac:dyDescent="0.25">
      <c r="A2881" s="110"/>
      <c r="B2881" s="125" t="s">
        <v>2541</v>
      </c>
      <c r="C2881" s="138">
        <v>1.1000000000000001</v>
      </c>
      <c r="D2881" s="138">
        <v>66</v>
      </c>
      <c r="E2881" s="138">
        <v>54.545454545454547</v>
      </c>
      <c r="F2881" s="139">
        <v>1.1000000000000001</v>
      </c>
    </row>
    <row r="2882" spans="1:6" x14ac:dyDescent="0.25">
      <c r="A2882" s="110"/>
      <c r="B2882" s="125" t="s">
        <v>2542</v>
      </c>
      <c r="C2882" s="138">
        <v>1.1000000000000001</v>
      </c>
      <c r="D2882" s="138">
        <v>66</v>
      </c>
      <c r="E2882" s="138">
        <v>54.545454545454547</v>
      </c>
      <c r="F2882" s="139">
        <v>1.1000000000000001</v>
      </c>
    </row>
    <row r="2883" spans="1:6" x14ac:dyDescent="0.25">
      <c r="A2883" s="110"/>
      <c r="B2883" s="125" t="s">
        <v>2543</v>
      </c>
      <c r="C2883" s="138">
        <v>1.1000000000000001</v>
      </c>
      <c r="D2883" s="138">
        <v>66</v>
      </c>
      <c r="E2883" s="138">
        <v>54.545454545454547</v>
      </c>
      <c r="F2883" s="139">
        <v>1.1000000000000001</v>
      </c>
    </row>
    <row r="2884" spans="1:6" x14ac:dyDescent="0.25">
      <c r="A2884" s="110"/>
      <c r="B2884" s="125" t="s">
        <v>2544</v>
      </c>
      <c r="C2884" s="138">
        <v>1.9</v>
      </c>
      <c r="D2884" s="138">
        <v>114</v>
      </c>
      <c r="E2884" s="138">
        <v>31.578947368421051</v>
      </c>
      <c r="F2884" s="139">
        <v>1.9</v>
      </c>
    </row>
    <row r="2885" spans="1:6" x14ac:dyDescent="0.25">
      <c r="A2885" s="110"/>
      <c r="B2885" s="125" t="s">
        <v>2545</v>
      </c>
      <c r="C2885" s="138">
        <v>1.9</v>
      </c>
      <c r="D2885" s="138">
        <v>114</v>
      </c>
      <c r="E2885" s="138">
        <v>31.578947368421051</v>
      </c>
      <c r="F2885" s="139">
        <v>1.9</v>
      </c>
    </row>
    <row r="2886" spans="1:6" x14ac:dyDescent="0.25">
      <c r="A2886" s="110"/>
      <c r="B2886" s="125" t="s">
        <v>2546</v>
      </c>
      <c r="C2886" s="138">
        <v>1.9</v>
      </c>
      <c r="D2886" s="138">
        <v>114</v>
      </c>
      <c r="E2886" s="138">
        <v>31.578947368421051</v>
      </c>
      <c r="F2886" s="139">
        <v>1.9</v>
      </c>
    </row>
    <row r="2887" spans="1:6" x14ac:dyDescent="0.25">
      <c r="A2887" s="110"/>
      <c r="B2887" s="125" t="s">
        <v>2547</v>
      </c>
      <c r="C2887" s="138">
        <v>1.9</v>
      </c>
      <c r="D2887" s="138">
        <v>114</v>
      </c>
      <c r="E2887" s="138">
        <v>31.578947368421051</v>
      </c>
      <c r="F2887" s="139">
        <v>1.9</v>
      </c>
    </row>
    <row r="2888" spans="1:6" x14ac:dyDescent="0.25">
      <c r="A2888" s="110"/>
      <c r="B2888" s="125" t="s">
        <v>2548</v>
      </c>
      <c r="C2888" s="138">
        <v>1.9</v>
      </c>
      <c r="D2888" s="138">
        <v>114</v>
      </c>
      <c r="E2888" s="138">
        <v>31.578947368421051</v>
      </c>
      <c r="F2888" s="139">
        <v>1.9</v>
      </c>
    </row>
    <row r="2889" spans="1:6" x14ac:dyDescent="0.25">
      <c r="A2889" s="110"/>
      <c r="B2889" s="125" t="s">
        <v>2549</v>
      </c>
      <c r="C2889" s="138">
        <v>1.9</v>
      </c>
      <c r="D2889" s="138">
        <v>114</v>
      </c>
      <c r="E2889" s="138">
        <v>31.578947368421051</v>
      </c>
      <c r="F2889" s="139">
        <v>1.9</v>
      </c>
    </row>
    <row r="2890" spans="1:6" x14ac:dyDescent="0.25">
      <c r="A2890" s="110"/>
      <c r="B2890" s="125" t="s">
        <v>2550</v>
      </c>
      <c r="C2890" s="138">
        <v>1.9</v>
      </c>
      <c r="D2890" s="138">
        <v>114</v>
      </c>
      <c r="E2890" s="138">
        <v>31.578947368421051</v>
      </c>
      <c r="F2890" s="139">
        <v>1.9</v>
      </c>
    </row>
    <row r="2891" spans="1:6" x14ac:dyDescent="0.25">
      <c r="A2891" s="110"/>
      <c r="B2891" s="125" t="s">
        <v>2551</v>
      </c>
      <c r="C2891" s="138">
        <v>1.9</v>
      </c>
      <c r="D2891" s="138">
        <v>114</v>
      </c>
      <c r="E2891" s="138">
        <v>31.578947368421051</v>
      </c>
      <c r="F2891" s="139">
        <v>1.9</v>
      </c>
    </row>
    <row r="2892" spans="1:6" x14ac:dyDescent="0.25">
      <c r="A2892" s="110"/>
      <c r="B2892" s="125" t="s">
        <v>2551</v>
      </c>
      <c r="C2892" s="138">
        <v>1.9</v>
      </c>
      <c r="D2892" s="138">
        <v>114</v>
      </c>
      <c r="E2892" s="138">
        <v>31.578947368421051</v>
      </c>
      <c r="F2892" s="139">
        <v>1.9</v>
      </c>
    </row>
    <row r="2893" spans="1:6" x14ac:dyDescent="0.25">
      <c r="A2893" s="110"/>
      <c r="B2893" s="125" t="s">
        <v>2552</v>
      </c>
      <c r="C2893" s="138">
        <v>1.9</v>
      </c>
      <c r="D2893" s="138">
        <v>114</v>
      </c>
      <c r="E2893" s="138">
        <v>31.578947368421051</v>
      </c>
      <c r="F2893" s="139">
        <v>1.9</v>
      </c>
    </row>
    <row r="2894" spans="1:6" x14ac:dyDescent="0.25">
      <c r="A2894" s="110"/>
      <c r="B2894" s="125" t="s">
        <v>2552</v>
      </c>
      <c r="C2894" s="138">
        <v>1.9</v>
      </c>
      <c r="D2894" s="138">
        <v>114</v>
      </c>
      <c r="E2894" s="138">
        <v>31.578947368421051</v>
      </c>
      <c r="F2894" s="139">
        <v>1.9</v>
      </c>
    </row>
    <row r="2895" spans="1:6" x14ac:dyDescent="0.25">
      <c r="A2895" s="110"/>
      <c r="B2895" s="125" t="s">
        <v>2553</v>
      </c>
      <c r="C2895" s="138">
        <v>1.9</v>
      </c>
      <c r="D2895" s="138">
        <v>114</v>
      </c>
      <c r="E2895" s="138">
        <v>31.578947368421051</v>
      </c>
      <c r="F2895" s="139">
        <v>1.9</v>
      </c>
    </row>
    <row r="2896" spans="1:6" x14ac:dyDescent="0.25">
      <c r="A2896" s="110"/>
      <c r="B2896" s="125" t="s">
        <v>2554</v>
      </c>
      <c r="C2896" s="138">
        <v>1.9</v>
      </c>
      <c r="D2896" s="138">
        <v>114</v>
      </c>
      <c r="E2896" s="138">
        <v>31.578947368421051</v>
      </c>
      <c r="F2896" s="139">
        <v>1.9</v>
      </c>
    </row>
    <row r="2897" spans="1:6" x14ac:dyDescent="0.25">
      <c r="A2897" s="110"/>
      <c r="B2897" s="125" t="s">
        <v>2555</v>
      </c>
      <c r="C2897" s="138">
        <v>1.9</v>
      </c>
      <c r="D2897" s="138">
        <v>114</v>
      </c>
      <c r="E2897" s="138">
        <v>31.578947368421051</v>
      </c>
      <c r="F2897" s="139">
        <v>1.9</v>
      </c>
    </row>
    <row r="2898" spans="1:6" x14ac:dyDescent="0.25">
      <c r="A2898" s="110"/>
      <c r="B2898" s="125" t="s">
        <v>2555</v>
      </c>
      <c r="C2898" s="138">
        <v>1.9</v>
      </c>
      <c r="D2898" s="138">
        <v>114</v>
      </c>
      <c r="E2898" s="138">
        <v>31.578947368421051</v>
      </c>
      <c r="F2898" s="139">
        <v>1.9</v>
      </c>
    </row>
    <row r="2899" spans="1:6" x14ac:dyDescent="0.25">
      <c r="A2899" s="110"/>
      <c r="B2899" s="125" t="s">
        <v>2556</v>
      </c>
      <c r="C2899" s="138">
        <v>1.9</v>
      </c>
      <c r="D2899" s="138">
        <v>114</v>
      </c>
      <c r="E2899" s="138">
        <v>31.578947368421051</v>
      </c>
      <c r="F2899" s="139">
        <v>1.9</v>
      </c>
    </row>
    <row r="2900" spans="1:6" x14ac:dyDescent="0.25">
      <c r="A2900" s="110"/>
      <c r="B2900" s="125" t="s">
        <v>2557</v>
      </c>
      <c r="C2900" s="138">
        <v>1.9</v>
      </c>
      <c r="D2900" s="138">
        <v>114</v>
      </c>
      <c r="E2900" s="138">
        <v>31.578947368421051</v>
      </c>
      <c r="F2900" s="139">
        <v>1.9</v>
      </c>
    </row>
    <row r="2901" spans="1:6" x14ac:dyDescent="0.25">
      <c r="A2901" s="110"/>
      <c r="B2901" s="125" t="s">
        <v>2558</v>
      </c>
      <c r="C2901" s="138">
        <v>1.9</v>
      </c>
      <c r="D2901" s="138">
        <v>114</v>
      </c>
      <c r="E2901" s="138">
        <v>31.578947368421051</v>
      </c>
      <c r="F2901" s="139">
        <v>1.9</v>
      </c>
    </row>
    <row r="2902" spans="1:6" x14ac:dyDescent="0.25">
      <c r="A2902" s="110"/>
      <c r="B2902" s="125" t="s">
        <v>2558</v>
      </c>
      <c r="C2902" s="138">
        <v>1.9</v>
      </c>
      <c r="D2902" s="138">
        <v>114</v>
      </c>
      <c r="E2902" s="138">
        <v>31.578947368421051</v>
      </c>
      <c r="F2902" s="139">
        <v>1.9</v>
      </c>
    </row>
    <row r="2903" spans="1:6" x14ac:dyDescent="0.25">
      <c r="A2903" s="110"/>
      <c r="B2903" s="125" t="s">
        <v>2559</v>
      </c>
      <c r="C2903" s="138">
        <v>1.9</v>
      </c>
      <c r="D2903" s="138">
        <v>114</v>
      </c>
      <c r="E2903" s="138">
        <v>31.578947368421051</v>
      </c>
      <c r="F2903" s="139">
        <v>1.9</v>
      </c>
    </row>
    <row r="2904" spans="1:6" x14ac:dyDescent="0.25">
      <c r="A2904" s="110"/>
      <c r="B2904" s="125" t="s">
        <v>2560</v>
      </c>
      <c r="C2904" s="138">
        <v>1.9</v>
      </c>
      <c r="D2904" s="138">
        <v>114</v>
      </c>
      <c r="E2904" s="138">
        <v>31.578947368421051</v>
      </c>
      <c r="F2904" s="139">
        <v>1.9</v>
      </c>
    </row>
    <row r="2905" spans="1:6" x14ac:dyDescent="0.25">
      <c r="A2905" s="110"/>
      <c r="B2905" s="125" t="s">
        <v>2561</v>
      </c>
      <c r="C2905" s="138">
        <v>1.9</v>
      </c>
      <c r="D2905" s="138">
        <v>114</v>
      </c>
      <c r="E2905" s="138">
        <v>31.578947368421051</v>
      </c>
      <c r="F2905" s="139">
        <v>1.9</v>
      </c>
    </row>
    <row r="2906" spans="1:6" x14ac:dyDescent="0.25">
      <c r="A2906" s="110"/>
      <c r="B2906" s="125" t="s">
        <v>2562</v>
      </c>
      <c r="C2906" s="138">
        <v>1.9</v>
      </c>
      <c r="D2906" s="138">
        <v>114</v>
      </c>
      <c r="E2906" s="138">
        <v>31.578947368421051</v>
      </c>
      <c r="F2906" s="139">
        <v>1.9</v>
      </c>
    </row>
    <row r="2907" spans="1:6" x14ac:dyDescent="0.25">
      <c r="A2907" s="110"/>
      <c r="B2907" s="125" t="s">
        <v>2563</v>
      </c>
      <c r="C2907" s="138">
        <v>1.9</v>
      </c>
      <c r="D2907" s="138">
        <v>114</v>
      </c>
      <c r="E2907" s="138">
        <v>31.578947368421051</v>
      </c>
      <c r="F2907" s="139">
        <v>1.9</v>
      </c>
    </row>
    <row r="2908" spans="1:6" x14ac:dyDescent="0.25">
      <c r="A2908" s="110"/>
      <c r="B2908" s="125" t="s">
        <v>2563</v>
      </c>
      <c r="C2908" s="138">
        <v>1.9</v>
      </c>
      <c r="D2908" s="138">
        <v>114</v>
      </c>
      <c r="E2908" s="138">
        <v>31.578947368421051</v>
      </c>
      <c r="F2908" s="139">
        <v>1.9</v>
      </c>
    </row>
    <row r="2909" spans="1:6" x14ac:dyDescent="0.25">
      <c r="A2909" s="110"/>
      <c r="B2909" s="125" t="s">
        <v>2564</v>
      </c>
      <c r="C2909" s="138">
        <v>1.1000000000000001</v>
      </c>
      <c r="D2909" s="138">
        <v>66</v>
      </c>
      <c r="E2909" s="138">
        <v>54.545454545454547</v>
      </c>
      <c r="F2909" s="139">
        <v>1.1000000000000001</v>
      </c>
    </row>
    <row r="2910" spans="1:6" x14ac:dyDescent="0.25">
      <c r="A2910" s="110"/>
      <c r="B2910" s="125" t="s">
        <v>2559</v>
      </c>
      <c r="C2910" s="138">
        <v>1.9</v>
      </c>
      <c r="D2910" s="138">
        <v>114</v>
      </c>
      <c r="E2910" s="138">
        <v>31.578947368421051</v>
      </c>
      <c r="F2910" s="139">
        <v>1.9</v>
      </c>
    </row>
    <row r="2911" spans="1:6" x14ac:dyDescent="0.25">
      <c r="A2911" s="110"/>
      <c r="B2911" s="125" t="s">
        <v>2550</v>
      </c>
      <c r="C2911" s="138">
        <v>1.9</v>
      </c>
      <c r="D2911" s="138">
        <v>114</v>
      </c>
      <c r="E2911" s="138">
        <v>31.578947368421051</v>
      </c>
      <c r="F2911" s="139">
        <v>1.9</v>
      </c>
    </row>
    <row r="2912" spans="1:6" x14ac:dyDescent="0.25">
      <c r="A2912" s="110"/>
      <c r="B2912" s="125" t="s">
        <v>2565</v>
      </c>
      <c r="C2912" s="138">
        <v>1.1000000000000001</v>
      </c>
      <c r="D2912" s="138">
        <v>66</v>
      </c>
      <c r="E2912" s="138">
        <v>54.545454545454547</v>
      </c>
      <c r="F2912" s="139">
        <v>1.1000000000000001</v>
      </c>
    </row>
    <row r="2913" spans="1:6" x14ac:dyDescent="0.25">
      <c r="A2913" s="110"/>
      <c r="B2913" s="125" t="s">
        <v>2566</v>
      </c>
      <c r="C2913" s="138">
        <v>1.1000000000000001</v>
      </c>
      <c r="D2913" s="138">
        <v>66</v>
      </c>
      <c r="E2913" s="138">
        <v>54.545454545454547</v>
      </c>
      <c r="F2913" s="139">
        <v>1.1000000000000001</v>
      </c>
    </row>
    <row r="2914" spans="1:6" x14ac:dyDescent="0.25">
      <c r="A2914" s="110"/>
      <c r="B2914" s="125" t="s">
        <v>2567</v>
      </c>
      <c r="C2914" s="138">
        <v>1.1000000000000001</v>
      </c>
      <c r="D2914" s="138">
        <v>66</v>
      </c>
      <c r="E2914" s="138">
        <v>54.545454545454547</v>
      </c>
      <c r="F2914" s="139">
        <v>1.1000000000000001</v>
      </c>
    </row>
    <row r="2915" spans="1:6" x14ac:dyDescent="0.25">
      <c r="A2915" s="110"/>
      <c r="B2915" s="125" t="s">
        <v>2568</v>
      </c>
      <c r="C2915" s="138">
        <v>1.1000000000000001</v>
      </c>
      <c r="D2915" s="138">
        <v>66</v>
      </c>
      <c r="E2915" s="138">
        <v>54.545454545454547</v>
      </c>
      <c r="F2915" s="139">
        <v>1.1000000000000001</v>
      </c>
    </row>
    <row r="2916" spans="1:6" x14ac:dyDescent="0.25">
      <c r="A2916" s="110"/>
      <c r="B2916" s="125" t="s">
        <v>2569</v>
      </c>
      <c r="C2916" s="138">
        <v>1.9</v>
      </c>
      <c r="D2916" s="138">
        <v>114</v>
      </c>
      <c r="E2916" s="138">
        <v>31.578947368421051</v>
      </c>
      <c r="F2916" s="139">
        <v>1.9</v>
      </c>
    </row>
    <row r="2917" spans="1:6" x14ac:dyDescent="0.25">
      <c r="A2917" s="110"/>
      <c r="B2917" s="125" t="s">
        <v>2570</v>
      </c>
      <c r="C2917" s="138">
        <v>1.9</v>
      </c>
      <c r="D2917" s="138">
        <v>114</v>
      </c>
      <c r="E2917" s="138">
        <v>31.578947368421051</v>
      </c>
      <c r="F2917" s="139">
        <v>1.9</v>
      </c>
    </row>
    <row r="2918" spans="1:6" x14ac:dyDescent="0.25">
      <c r="A2918" s="110"/>
      <c r="B2918" s="125" t="s">
        <v>2571</v>
      </c>
      <c r="C2918" s="138">
        <v>1.9</v>
      </c>
      <c r="D2918" s="138">
        <v>114</v>
      </c>
      <c r="E2918" s="138">
        <v>31.578947368421051</v>
      </c>
      <c r="F2918" s="139">
        <v>1.9</v>
      </c>
    </row>
    <row r="2919" spans="1:6" x14ac:dyDescent="0.25">
      <c r="A2919" s="110"/>
      <c r="B2919" s="125" t="s">
        <v>2572</v>
      </c>
      <c r="C2919" s="138">
        <v>1.9</v>
      </c>
      <c r="D2919" s="138">
        <v>114</v>
      </c>
      <c r="E2919" s="138">
        <v>31.578947368421051</v>
      </c>
      <c r="F2919" s="139">
        <v>1.9</v>
      </c>
    </row>
    <row r="2920" spans="1:6" x14ac:dyDescent="0.25">
      <c r="A2920" s="110"/>
      <c r="B2920" s="125" t="s">
        <v>2573</v>
      </c>
      <c r="C2920" s="138">
        <v>1.9</v>
      </c>
      <c r="D2920" s="138">
        <v>114</v>
      </c>
      <c r="E2920" s="138">
        <v>31.578947368421051</v>
      </c>
      <c r="F2920" s="139">
        <v>1.9</v>
      </c>
    </row>
    <row r="2921" spans="1:6" x14ac:dyDescent="0.25">
      <c r="A2921" s="110"/>
      <c r="B2921" s="125" t="s">
        <v>2574</v>
      </c>
      <c r="C2921" s="138">
        <v>1.9</v>
      </c>
      <c r="D2921" s="138">
        <v>114</v>
      </c>
      <c r="E2921" s="138">
        <v>31.578947368421051</v>
      </c>
      <c r="F2921" s="139">
        <v>1.9</v>
      </c>
    </row>
    <row r="2922" spans="1:6" x14ac:dyDescent="0.25">
      <c r="A2922" s="110"/>
      <c r="B2922" s="125" t="s">
        <v>2575</v>
      </c>
      <c r="C2922" s="138">
        <v>1.9</v>
      </c>
      <c r="D2922" s="138">
        <v>114</v>
      </c>
      <c r="E2922" s="138">
        <v>31.578947368421051</v>
      </c>
      <c r="F2922" s="139">
        <v>1.9</v>
      </c>
    </row>
    <row r="2923" spans="1:6" x14ac:dyDescent="0.25">
      <c r="A2923" s="110"/>
      <c r="B2923" s="125" t="s">
        <v>2572</v>
      </c>
      <c r="C2923" s="138">
        <v>1.9</v>
      </c>
      <c r="D2923" s="138">
        <v>114</v>
      </c>
      <c r="E2923" s="138">
        <v>31.578947368421051</v>
      </c>
      <c r="F2923" s="139">
        <v>1.9</v>
      </c>
    </row>
    <row r="2924" spans="1:6" x14ac:dyDescent="0.25">
      <c r="A2924" s="110"/>
      <c r="B2924" s="125" t="s">
        <v>2573</v>
      </c>
      <c r="C2924" s="138">
        <v>1.9</v>
      </c>
      <c r="D2924" s="138">
        <v>114</v>
      </c>
      <c r="E2924" s="138">
        <v>31.578947368421051</v>
      </c>
      <c r="F2924" s="139">
        <v>1.9</v>
      </c>
    </row>
    <row r="2925" spans="1:6" x14ac:dyDescent="0.25">
      <c r="A2925" s="110"/>
      <c r="B2925" s="125" t="s">
        <v>2574</v>
      </c>
      <c r="C2925" s="138">
        <v>1.9</v>
      </c>
      <c r="D2925" s="138">
        <v>114</v>
      </c>
      <c r="E2925" s="138">
        <v>31.578947368421051</v>
      </c>
      <c r="F2925" s="139">
        <v>1.9</v>
      </c>
    </row>
    <row r="2926" spans="1:6" x14ac:dyDescent="0.25">
      <c r="A2926" s="110"/>
      <c r="B2926" s="125" t="s">
        <v>2575</v>
      </c>
      <c r="C2926" s="138">
        <v>1.9</v>
      </c>
      <c r="D2926" s="138">
        <v>114</v>
      </c>
      <c r="E2926" s="138">
        <v>31.578947368421051</v>
      </c>
      <c r="F2926" s="139">
        <v>1.9</v>
      </c>
    </row>
    <row r="2927" spans="1:6" x14ac:dyDescent="0.25">
      <c r="A2927" s="110"/>
      <c r="B2927" s="125" t="s">
        <v>2576</v>
      </c>
      <c r="C2927" s="138">
        <v>0.8</v>
      </c>
      <c r="D2927" s="138">
        <v>48</v>
      </c>
      <c r="E2927" s="138">
        <v>75</v>
      </c>
      <c r="F2927" s="139">
        <v>0.8</v>
      </c>
    </row>
    <row r="2928" spans="1:6" x14ac:dyDescent="0.25">
      <c r="A2928" s="110"/>
      <c r="B2928" s="125" t="s">
        <v>2577</v>
      </c>
      <c r="C2928" s="138">
        <v>1.9</v>
      </c>
      <c r="D2928" s="138">
        <v>114</v>
      </c>
      <c r="E2928" s="138">
        <v>31.578947368421051</v>
      </c>
      <c r="F2928" s="139">
        <v>1.9</v>
      </c>
    </row>
    <row r="2929" spans="1:6" x14ac:dyDescent="0.25">
      <c r="A2929" s="110"/>
      <c r="B2929" s="125" t="s">
        <v>2578</v>
      </c>
      <c r="C2929" s="138">
        <v>1.9</v>
      </c>
      <c r="D2929" s="138">
        <v>114</v>
      </c>
      <c r="E2929" s="138">
        <v>31.578947368421051</v>
      </c>
      <c r="F2929" s="139">
        <v>1.9</v>
      </c>
    </row>
    <row r="2930" spans="1:6" x14ac:dyDescent="0.25">
      <c r="A2930" s="110"/>
      <c r="B2930" s="125" t="s">
        <v>2579</v>
      </c>
      <c r="C2930" s="138">
        <v>1.9</v>
      </c>
      <c r="D2930" s="138">
        <v>114</v>
      </c>
      <c r="E2930" s="138">
        <v>31.578947368421051</v>
      </c>
      <c r="F2930" s="139">
        <v>1.9</v>
      </c>
    </row>
    <row r="2931" spans="1:6" x14ac:dyDescent="0.25">
      <c r="A2931" s="110"/>
      <c r="B2931" s="125" t="s">
        <v>2578</v>
      </c>
      <c r="C2931" s="138">
        <v>1.9</v>
      </c>
      <c r="D2931" s="138">
        <v>114</v>
      </c>
      <c r="E2931" s="138">
        <v>31.578947368421051</v>
      </c>
      <c r="F2931" s="139">
        <v>1.9</v>
      </c>
    </row>
    <row r="2932" spans="1:6" x14ac:dyDescent="0.25">
      <c r="A2932" s="110"/>
      <c r="B2932" s="125" t="s">
        <v>2580</v>
      </c>
      <c r="C2932" s="138">
        <v>1.9</v>
      </c>
      <c r="D2932" s="138">
        <v>114</v>
      </c>
      <c r="E2932" s="138">
        <v>31.578947368421051</v>
      </c>
      <c r="F2932" s="139">
        <v>1.9</v>
      </c>
    </row>
    <row r="2933" spans="1:6" x14ac:dyDescent="0.25">
      <c r="A2933" s="110"/>
      <c r="B2933" s="125" t="s">
        <v>2581</v>
      </c>
      <c r="C2933" s="138">
        <v>0.75</v>
      </c>
      <c r="D2933" s="138">
        <v>45</v>
      </c>
      <c r="E2933" s="138">
        <v>80</v>
      </c>
      <c r="F2933" s="139">
        <v>0.75</v>
      </c>
    </row>
    <row r="2934" spans="1:6" x14ac:dyDescent="0.25">
      <c r="A2934" s="110"/>
      <c r="B2934" s="125" t="s">
        <v>2582</v>
      </c>
      <c r="C2934" s="138">
        <v>0.75</v>
      </c>
      <c r="D2934" s="138">
        <v>45</v>
      </c>
      <c r="E2934" s="138">
        <v>80</v>
      </c>
      <c r="F2934" s="139">
        <v>0.75</v>
      </c>
    </row>
    <row r="2935" spans="1:6" x14ac:dyDescent="0.25">
      <c r="A2935" s="110"/>
      <c r="B2935" s="125" t="s">
        <v>2583</v>
      </c>
      <c r="C2935" s="138">
        <v>0.75</v>
      </c>
      <c r="D2935" s="138">
        <v>45</v>
      </c>
      <c r="E2935" s="138">
        <v>80</v>
      </c>
      <c r="F2935" s="139">
        <v>0.75</v>
      </c>
    </row>
    <row r="2936" spans="1:6" x14ac:dyDescent="0.25">
      <c r="A2936" s="110"/>
      <c r="B2936" s="125" t="s">
        <v>2584</v>
      </c>
      <c r="C2936" s="138">
        <v>0.75</v>
      </c>
      <c r="D2936" s="138">
        <v>45</v>
      </c>
      <c r="E2936" s="138">
        <v>80</v>
      </c>
      <c r="F2936" s="139">
        <v>0.75</v>
      </c>
    </row>
    <row r="2937" spans="1:6" x14ac:dyDescent="0.25">
      <c r="A2937" s="110"/>
      <c r="B2937" s="125" t="s">
        <v>2585</v>
      </c>
      <c r="C2937" s="138">
        <v>0.75</v>
      </c>
      <c r="D2937" s="138">
        <v>45</v>
      </c>
      <c r="E2937" s="138">
        <v>80</v>
      </c>
      <c r="F2937" s="139">
        <v>0.75</v>
      </c>
    </row>
    <row r="2938" spans="1:6" x14ac:dyDescent="0.25">
      <c r="A2938" s="110"/>
      <c r="B2938" s="125" t="s">
        <v>2585</v>
      </c>
      <c r="C2938" s="138">
        <v>0.75</v>
      </c>
      <c r="D2938" s="138">
        <v>45</v>
      </c>
      <c r="E2938" s="138">
        <v>80</v>
      </c>
      <c r="F2938" s="139">
        <v>0.75</v>
      </c>
    </row>
    <row r="2939" spans="1:6" x14ac:dyDescent="0.25">
      <c r="A2939" s="110"/>
      <c r="B2939" s="125" t="s">
        <v>2586</v>
      </c>
      <c r="C2939" s="138">
        <v>0.75</v>
      </c>
      <c r="D2939" s="138">
        <v>45</v>
      </c>
      <c r="E2939" s="138">
        <v>80</v>
      </c>
      <c r="F2939" s="139">
        <v>0.75</v>
      </c>
    </row>
    <row r="2940" spans="1:6" x14ac:dyDescent="0.25">
      <c r="A2940" s="110"/>
      <c r="B2940" s="125" t="s">
        <v>2586</v>
      </c>
      <c r="C2940" s="138">
        <v>0.75</v>
      </c>
      <c r="D2940" s="138">
        <v>45</v>
      </c>
      <c r="E2940" s="138">
        <v>80</v>
      </c>
      <c r="F2940" s="139">
        <v>0.75</v>
      </c>
    </row>
    <row r="2941" spans="1:6" x14ac:dyDescent="0.25">
      <c r="A2941" s="110"/>
      <c r="B2941" s="125" t="s">
        <v>2587</v>
      </c>
      <c r="C2941" s="138">
        <v>0.75</v>
      </c>
      <c r="D2941" s="138">
        <v>45</v>
      </c>
      <c r="E2941" s="138">
        <v>80</v>
      </c>
      <c r="F2941" s="139">
        <v>0.75</v>
      </c>
    </row>
    <row r="2942" spans="1:6" x14ac:dyDescent="0.25">
      <c r="A2942" s="110"/>
      <c r="B2942" s="125" t="s">
        <v>2588</v>
      </c>
      <c r="C2942" s="138">
        <v>0.75</v>
      </c>
      <c r="D2942" s="138">
        <v>45</v>
      </c>
      <c r="E2942" s="138">
        <v>80</v>
      </c>
      <c r="F2942" s="139">
        <v>0.75</v>
      </c>
    </row>
    <row r="2943" spans="1:6" x14ac:dyDescent="0.25">
      <c r="A2943" s="110"/>
      <c r="B2943" s="125" t="s">
        <v>2589</v>
      </c>
      <c r="C2943" s="138">
        <v>0.75</v>
      </c>
      <c r="D2943" s="138">
        <v>45</v>
      </c>
      <c r="E2943" s="138">
        <v>80</v>
      </c>
      <c r="F2943" s="139">
        <v>0.75</v>
      </c>
    </row>
    <row r="2944" spans="1:6" x14ac:dyDescent="0.25">
      <c r="A2944" s="110"/>
      <c r="B2944" s="125" t="s">
        <v>2590</v>
      </c>
      <c r="C2944" s="138">
        <v>0.75</v>
      </c>
      <c r="D2944" s="138">
        <v>45</v>
      </c>
      <c r="E2944" s="138">
        <v>80</v>
      </c>
      <c r="F2944" s="139">
        <v>0.75</v>
      </c>
    </row>
    <row r="2945" spans="1:6" x14ac:dyDescent="0.25">
      <c r="A2945" s="110"/>
      <c r="B2945" s="125" t="s">
        <v>2590</v>
      </c>
      <c r="C2945" s="138">
        <v>0.75</v>
      </c>
      <c r="D2945" s="138">
        <v>45</v>
      </c>
      <c r="E2945" s="138">
        <v>80</v>
      </c>
      <c r="F2945" s="139">
        <v>0.75</v>
      </c>
    </row>
    <row r="2946" spans="1:6" x14ac:dyDescent="0.25">
      <c r="A2946" s="110"/>
      <c r="B2946" s="125" t="s">
        <v>2591</v>
      </c>
      <c r="C2946" s="138">
        <v>0.75</v>
      </c>
      <c r="D2946" s="138">
        <v>45</v>
      </c>
      <c r="E2946" s="138">
        <v>80</v>
      </c>
      <c r="F2946" s="139">
        <v>0.75</v>
      </c>
    </row>
    <row r="2947" spans="1:6" x14ac:dyDescent="0.25">
      <c r="A2947" s="110"/>
      <c r="B2947" s="125" t="s">
        <v>2592</v>
      </c>
      <c r="C2947" s="138">
        <v>0.75</v>
      </c>
      <c r="D2947" s="138">
        <v>45</v>
      </c>
      <c r="E2947" s="138">
        <v>80</v>
      </c>
      <c r="F2947" s="139">
        <v>0.75</v>
      </c>
    </row>
    <row r="2948" spans="1:6" x14ac:dyDescent="0.25">
      <c r="A2948" s="110"/>
      <c r="B2948" s="125" t="s">
        <v>2593</v>
      </c>
      <c r="C2948" s="138">
        <v>0.75</v>
      </c>
      <c r="D2948" s="138">
        <v>45</v>
      </c>
      <c r="E2948" s="138">
        <v>80</v>
      </c>
      <c r="F2948" s="139">
        <v>0.75</v>
      </c>
    </row>
    <row r="2949" spans="1:6" x14ac:dyDescent="0.25">
      <c r="A2949" s="110"/>
      <c r="B2949" s="125" t="s">
        <v>2594</v>
      </c>
      <c r="C2949" s="138">
        <v>0.75</v>
      </c>
      <c r="D2949" s="138">
        <v>45</v>
      </c>
      <c r="E2949" s="138">
        <v>80</v>
      </c>
      <c r="F2949" s="139">
        <v>0.75</v>
      </c>
    </row>
    <row r="2950" spans="1:6" x14ac:dyDescent="0.25">
      <c r="A2950" s="110"/>
      <c r="B2950" s="125" t="s">
        <v>2595</v>
      </c>
      <c r="C2950" s="138">
        <v>0.75</v>
      </c>
      <c r="D2950" s="138">
        <v>45</v>
      </c>
      <c r="E2950" s="138">
        <v>80</v>
      </c>
      <c r="F2950" s="139">
        <v>0.75</v>
      </c>
    </row>
    <row r="2951" spans="1:6" x14ac:dyDescent="0.25">
      <c r="A2951" s="110"/>
      <c r="B2951" s="125" t="s">
        <v>2596</v>
      </c>
      <c r="C2951" s="138">
        <v>0.66</v>
      </c>
      <c r="D2951" s="138">
        <v>39.6</v>
      </c>
      <c r="E2951" s="138">
        <v>90.909090909090907</v>
      </c>
      <c r="F2951" s="139">
        <v>0.66</v>
      </c>
    </row>
    <row r="2952" spans="1:6" x14ac:dyDescent="0.25">
      <c r="A2952" s="110"/>
      <c r="B2952" s="125" t="s">
        <v>2597</v>
      </c>
      <c r="C2952" s="138">
        <v>0.24</v>
      </c>
      <c r="D2952" s="138">
        <v>14.399999999999999</v>
      </c>
      <c r="E2952" s="138">
        <v>250.00000000000003</v>
      </c>
      <c r="F2952" s="139">
        <v>0.24</v>
      </c>
    </row>
    <row r="2953" spans="1:6" x14ac:dyDescent="0.25">
      <c r="A2953" s="110"/>
      <c r="B2953" s="125" t="s">
        <v>2597</v>
      </c>
      <c r="C2953" s="138">
        <v>0.24</v>
      </c>
      <c r="D2953" s="138">
        <v>14.399999999999999</v>
      </c>
      <c r="E2953" s="138">
        <v>250.00000000000003</v>
      </c>
      <c r="F2953" s="139">
        <v>0.24</v>
      </c>
    </row>
    <row r="2954" spans="1:6" x14ac:dyDescent="0.25">
      <c r="A2954" s="110"/>
      <c r="B2954" s="125" t="s">
        <v>2598</v>
      </c>
      <c r="C2954" s="138">
        <v>0.24</v>
      </c>
      <c r="D2954" s="138">
        <v>14.399999999999999</v>
      </c>
      <c r="E2954" s="138">
        <v>250.00000000000003</v>
      </c>
      <c r="F2954" s="139">
        <v>0.24</v>
      </c>
    </row>
    <row r="2955" spans="1:6" x14ac:dyDescent="0.25">
      <c r="A2955" s="110"/>
      <c r="B2955" s="125" t="s">
        <v>2599</v>
      </c>
      <c r="C2955" s="138">
        <v>0.75</v>
      </c>
      <c r="D2955" s="138">
        <v>45</v>
      </c>
      <c r="E2955" s="138">
        <v>80</v>
      </c>
      <c r="F2955" s="139">
        <v>0.75</v>
      </c>
    </row>
    <row r="2956" spans="1:6" x14ac:dyDescent="0.25">
      <c r="A2956" s="110"/>
      <c r="B2956" s="125" t="s">
        <v>2600</v>
      </c>
      <c r="C2956" s="138">
        <v>0.75</v>
      </c>
      <c r="D2956" s="138">
        <v>45</v>
      </c>
      <c r="E2956" s="138">
        <v>80</v>
      </c>
      <c r="F2956" s="139">
        <v>0.75</v>
      </c>
    </row>
    <row r="2957" spans="1:6" x14ac:dyDescent="0.25">
      <c r="A2957" s="110"/>
      <c r="B2957" s="125" t="s">
        <v>2601</v>
      </c>
      <c r="C2957" s="138">
        <v>0.75</v>
      </c>
      <c r="D2957" s="138">
        <v>45</v>
      </c>
      <c r="E2957" s="138">
        <v>80</v>
      </c>
      <c r="F2957" s="139">
        <v>0.75</v>
      </c>
    </row>
    <row r="2958" spans="1:6" x14ac:dyDescent="0.25">
      <c r="A2958" s="110"/>
      <c r="B2958" s="125" t="s">
        <v>2602</v>
      </c>
      <c r="C2958" s="138">
        <v>0.75</v>
      </c>
      <c r="D2958" s="138">
        <v>45</v>
      </c>
      <c r="E2958" s="138">
        <v>80</v>
      </c>
      <c r="F2958" s="139">
        <v>0.75</v>
      </c>
    </row>
    <row r="2959" spans="1:6" x14ac:dyDescent="0.25">
      <c r="A2959" s="110"/>
      <c r="B2959" s="125" t="s">
        <v>2603</v>
      </c>
      <c r="C2959" s="138">
        <v>0.5</v>
      </c>
      <c r="D2959" s="138">
        <v>30</v>
      </c>
      <c r="E2959" s="138">
        <v>120</v>
      </c>
      <c r="F2959" s="139">
        <v>0.5</v>
      </c>
    </row>
    <row r="2960" spans="1:6" x14ac:dyDescent="0.25">
      <c r="A2960" s="110"/>
      <c r="B2960" s="125" t="s">
        <v>2603</v>
      </c>
      <c r="C2960" s="138">
        <v>0.5</v>
      </c>
      <c r="D2960" s="138">
        <v>30</v>
      </c>
      <c r="E2960" s="138">
        <v>120</v>
      </c>
      <c r="F2960" s="139">
        <v>0.5</v>
      </c>
    </row>
    <row r="2961" spans="1:6" x14ac:dyDescent="0.25">
      <c r="A2961" s="110"/>
      <c r="B2961" s="125" t="s">
        <v>2603</v>
      </c>
      <c r="C2961" s="138">
        <v>0.5</v>
      </c>
      <c r="D2961" s="138">
        <v>30</v>
      </c>
      <c r="E2961" s="138">
        <v>120</v>
      </c>
      <c r="F2961" s="139">
        <v>0.5</v>
      </c>
    </row>
    <row r="2962" spans="1:6" x14ac:dyDescent="0.25">
      <c r="A2962" s="110"/>
      <c r="B2962" s="125" t="s">
        <v>2603</v>
      </c>
      <c r="C2962" s="138">
        <v>0.5</v>
      </c>
      <c r="D2962" s="138">
        <v>30</v>
      </c>
      <c r="E2962" s="138">
        <v>120</v>
      </c>
      <c r="F2962" s="139">
        <v>0.5</v>
      </c>
    </row>
    <row r="2963" spans="1:6" x14ac:dyDescent="0.25">
      <c r="A2963" s="110"/>
      <c r="B2963" s="125" t="s">
        <v>2603</v>
      </c>
      <c r="C2963" s="138">
        <v>0.5</v>
      </c>
      <c r="D2963" s="138">
        <v>30</v>
      </c>
      <c r="E2963" s="138">
        <v>120</v>
      </c>
      <c r="F2963" s="139">
        <v>0.5</v>
      </c>
    </row>
    <row r="2964" spans="1:6" x14ac:dyDescent="0.25">
      <c r="A2964" s="110"/>
      <c r="B2964" s="125" t="s">
        <v>2603</v>
      </c>
      <c r="C2964" s="138">
        <v>0.5</v>
      </c>
      <c r="D2964" s="138">
        <v>30</v>
      </c>
      <c r="E2964" s="138">
        <v>120</v>
      </c>
      <c r="F2964" s="139">
        <v>0.5</v>
      </c>
    </row>
    <row r="2965" spans="1:6" x14ac:dyDescent="0.25">
      <c r="A2965" s="110"/>
      <c r="B2965" s="125" t="s">
        <v>2604</v>
      </c>
      <c r="C2965" s="138">
        <v>0.73</v>
      </c>
      <c r="D2965" s="138">
        <v>43.8</v>
      </c>
      <c r="E2965" s="138">
        <v>82.191780821917817</v>
      </c>
      <c r="F2965" s="139">
        <v>0.73</v>
      </c>
    </row>
    <row r="2966" spans="1:6" x14ac:dyDescent="0.25">
      <c r="A2966" s="110"/>
      <c r="B2966" s="125" t="s">
        <v>2605</v>
      </c>
      <c r="C2966" s="138">
        <v>1.43</v>
      </c>
      <c r="D2966" s="138">
        <v>85.8</v>
      </c>
      <c r="E2966" s="138">
        <v>41.95804195804196</v>
      </c>
      <c r="F2966" s="139">
        <v>1.43</v>
      </c>
    </row>
    <row r="2967" spans="1:6" x14ac:dyDescent="0.25">
      <c r="A2967" s="110"/>
      <c r="B2967" s="125" t="s">
        <v>2606</v>
      </c>
      <c r="C2967" s="138">
        <v>1.43</v>
      </c>
      <c r="D2967" s="138">
        <v>85.8</v>
      </c>
      <c r="E2967" s="138">
        <v>41.95804195804196</v>
      </c>
      <c r="F2967" s="139">
        <v>1.43</v>
      </c>
    </row>
    <row r="2968" spans="1:6" x14ac:dyDescent="0.25">
      <c r="A2968" s="110"/>
      <c r="B2968" s="125" t="s">
        <v>2607</v>
      </c>
      <c r="C2968" s="138">
        <v>1.43</v>
      </c>
      <c r="D2968" s="138">
        <v>85.8</v>
      </c>
      <c r="E2968" s="138">
        <v>41.95804195804196</v>
      </c>
      <c r="F2968" s="139">
        <v>1.43</v>
      </c>
    </row>
    <row r="2969" spans="1:6" x14ac:dyDescent="0.25">
      <c r="A2969" s="110"/>
      <c r="B2969" s="125" t="s">
        <v>2608</v>
      </c>
      <c r="C2969" s="138">
        <v>1.43</v>
      </c>
      <c r="D2969" s="138">
        <v>85.8</v>
      </c>
      <c r="E2969" s="138">
        <v>41.95804195804196</v>
      </c>
      <c r="F2969" s="139">
        <v>1.43</v>
      </c>
    </row>
    <row r="2970" spans="1:6" x14ac:dyDescent="0.25">
      <c r="A2970" s="110"/>
      <c r="B2970" s="125" t="s">
        <v>2609</v>
      </c>
      <c r="C2970" s="138">
        <v>0.66</v>
      </c>
      <c r="D2970" s="138">
        <v>39.6</v>
      </c>
      <c r="E2970" s="138">
        <v>90.909090909090907</v>
      </c>
      <c r="F2970" s="139">
        <v>0.66</v>
      </c>
    </row>
    <row r="2971" spans="1:6" x14ac:dyDescent="0.25">
      <c r="A2971" s="110"/>
      <c r="B2971" s="125" t="s">
        <v>2610</v>
      </c>
      <c r="C2971" s="138">
        <v>0.66</v>
      </c>
      <c r="D2971" s="138">
        <v>39.6</v>
      </c>
      <c r="E2971" s="138">
        <v>90.909090909090907</v>
      </c>
      <c r="F2971" s="139">
        <v>0.66</v>
      </c>
    </row>
    <row r="2972" spans="1:6" x14ac:dyDescent="0.25">
      <c r="A2972" s="110"/>
      <c r="B2972" s="125" t="s">
        <v>2611</v>
      </c>
      <c r="C2972" s="138">
        <v>0.66</v>
      </c>
      <c r="D2972" s="138">
        <v>39.6</v>
      </c>
      <c r="E2972" s="138">
        <v>90.909090909090907</v>
      </c>
      <c r="F2972" s="139">
        <v>0.66</v>
      </c>
    </row>
    <row r="2973" spans="1:6" x14ac:dyDescent="0.25">
      <c r="A2973" s="110"/>
      <c r="B2973" s="125" t="s">
        <v>2612</v>
      </c>
      <c r="C2973" s="138">
        <v>0.66</v>
      </c>
      <c r="D2973" s="138">
        <v>39.6</v>
      </c>
      <c r="E2973" s="138">
        <v>90.909090909090907</v>
      </c>
      <c r="F2973" s="139">
        <v>0.66</v>
      </c>
    </row>
    <row r="2974" spans="1:6" x14ac:dyDescent="0.25">
      <c r="A2974" s="110"/>
      <c r="B2974" s="125" t="s">
        <v>2613</v>
      </c>
      <c r="C2974" s="138">
        <v>0.66</v>
      </c>
      <c r="D2974" s="138">
        <v>39.6</v>
      </c>
      <c r="E2974" s="138">
        <v>90.909090909090907</v>
      </c>
      <c r="F2974" s="139">
        <v>0.66</v>
      </c>
    </row>
    <row r="2975" spans="1:6" x14ac:dyDescent="0.25">
      <c r="A2975" s="110"/>
      <c r="B2975" s="125" t="s">
        <v>2614</v>
      </c>
      <c r="C2975" s="138">
        <v>0.66</v>
      </c>
      <c r="D2975" s="138">
        <v>39.6</v>
      </c>
      <c r="E2975" s="138">
        <v>90.909090909090907</v>
      </c>
      <c r="F2975" s="139">
        <v>0.66</v>
      </c>
    </row>
    <row r="2976" spans="1:6" x14ac:dyDescent="0.25">
      <c r="A2976" s="110"/>
      <c r="B2976" s="125" t="s">
        <v>2615</v>
      </c>
      <c r="C2976" s="138">
        <v>1.66</v>
      </c>
      <c r="D2976" s="138">
        <v>99.6</v>
      </c>
      <c r="E2976" s="138">
        <v>36.144578313253014</v>
      </c>
      <c r="F2976" s="139">
        <v>1.66</v>
      </c>
    </row>
    <row r="2977" spans="1:6" x14ac:dyDescent="0.25">
      <c r="A2977" s="110"/>
      <c r="B2977" s="125" t="s">
        <v>1852</v>
      </c>
      <c r="C2977" s="138">
        <v>0.7</v>
      </c>
      <c r="D2977" s="138">
        <v>42</v>
      </c>
      <c r="E2977" s="138">
        <v>85.714285714285708</v>
      </c>
      <c r="F2977" s="139">
        <v>0.7</v>
      </c>
    </row>
    <row r="2978" spans="1:6" x14ac:dyDescent="0.25">
      <c r="A2978" s="110"/>
      <c r="B2978" s="125" t="s">
        <v>1852</v>
      </c>
      <c r="C2978" s="138">
        <v>2.4300000000000002</v>
      </c>
      <c r="D2978" s="138">
        <v>145.80000000000001</v>
      </c>
      <c r="E2978" s="138">
        <v>24.691358024691358</v>
      </c>
      <c r="F2978" s="139">
        <v>2.4300000000000002</v>
      </c>
    </row>
    <row r="2979" spans="1:6" x14ac:dyDescent="0.25">
      <c r="A2979" s="110"/>
      <c r="B2979" s="125" t="s">
        <v>2616</v>
      </c>
      <c r="C2979" s="138">
        <v>0.52</v>
      </c>
      <c r="D2979" s="138">
        <v>31.200000000000003</v>
      </c>
      <c r="E2979" s="138">
        <v>115.38461538461537</v>
      </c>
      <c r="F2979" s="139">
        <v>0.52</v>
      </c>
    </row>
    <row r="2980" spans="1:6" x14ac:dyDescent="0.25">
      <c r="A2980" s="110"/>
      <c r="B2980" s="125" t="s">
        <v>2617</v>
      </c>
      <c r="C2980" s="138">
        <v>0.54</v>
      </c>
      <c r="D2980" s="138">
        <v>32.400000000000006</v>
      </c>
      <c r="E2980" s="138">
        <v>111.11111111111109</v>
      </c>
      <c r="F2980" s="139">
        <v>0.54</v>
      </c>
    </row>
    <row r="2981" spans="1:6" x14ac:dyDescent="0.25">
      <c r="A2981" s="110"/>
      <c r="B2981" s="125" t="s">
        <v>2618</v>
      </c>
      <c r="C2981" s="138">
        <v>3.8</v>
      </c>
      <c r="D2981" s="138">
        <v>228</v>
      </c>
      <c r="E2981" s="138">
        <v>15.789473684210526</v>
      </c>
      <c r="F2981" s="139">
        <v>3.8</v>
      </c>
    </row>
    <row r="2982" spans="1:6" x14ac:dyDescent="0.25">
      <c r="A2982" s="110"/>
      <c r="B2982" s="125" t="s">
        <v>2619</v>
      </c>
      <c r="C2982" s="138">
        <v>0.4</v>
      </c>
      <c r="D2982" s="138">
        <v>24</v>
      </c>
      <c r="E2982" s="138">
        <v>150</v>
      </c>
      <c r="F2982" s="139">
        <v>0.4</v>
      </c>
    </row>
    <row r="2983" spans="1:6" x14ac:dyDescent="0.25">
      <c r="A2983" s="110"/>
      <c r="B2983" s="125" t="s">
        <v>2620</v>
      </c>
      <c r="C2983" s="138">
        <v>1.5</v>
      </c>
      <c r="D2983" s="138">
        <v>90</v>
      </c>
      <c r="E2983" s="138">
        <v>40</v>
      </c>
      <c r="F2983" s="139">
        <v>1.5</v>
      </c>
    </row>
    <row r="2984" spans="1:6" x14ac:dyDescent="0.25">
      <c r="A2984" s="110"/>
      <c r="B2984" s="125" t="s">
        <v>2621</v>
      </c>
      <c r="C2984" s="138">
        <v>1.5</v>
      </c>
      <c r="D2984" s="138">
        <v>90</v>
      </c>
      <c r="E2984" s="138">
        <v>40</v>
      </c>
      <c r="F2984" s="139">
        <v>1.5</v>
      </c>
    </row>
    <row r="2985" spans="1:6" x14ac:dyDescent="0.25">
      <c r="A2985" s="110"/>
      <c r="B2985" s="125" t="s">
        <v>2622</v>
      </c>
      <c r="C2985" s="138">
        <v>3.25</v>
      </c>
      <c r="D2985" s="138">
        <v>195</v>
      </c>
      <c r="E2985" s="138">
        <v>18.46153846153846</v>
      </c>
      <c r="F2985" s="139">
        <v>3.25</v>
      </c>
    </row>
    <row r="2986" spans="1:6" x14ac:dyDescent="0.25">
      <c r="A2986" s="110"/>
      <c r="B2986" s="125" t="s">
        <v>2623</v>
      </c>
      <c r="C2986" s="138">
        <v>0.56000000000000005</v>
      </c>
      <c r="D2986" s="138">
        <v>33.6</v>
      </c>
      <c r="E2986" s="138">
        <v>107.14285714285714</v>
      </c>
      <c r="F2986" s="139">
        <v>0.56000000000000005</v>
      </c>
    </row>
    <row r="2987" spans="1:6" x14ac:dyDescent="0.25">
      <c r="A2987" s="110"/>
      <c r="B2987" s="125" t="s">
        <v>2623</v>
      </c>
      <c r="C2987" s="138">
        <v>0.56000000000000005</v>
      </c>
      <c r="D2987" s="138">
        <v>33.6</v>
      </c>
      <c r="E2987" s="138">
        <v>107.14285714285714</v>
      </c>
      <c r="F2987" s="139">
        <v>0.56000000000000005</v>
      </c>
    </row>
    <row r="2988" spans="1:6" x14ac:dyDescent="0.25">
      <c r="A2988" s="110"/>
      <c r="B2988" s="125" t="s">
        <v>2624</v>
      </c>
      <c r="C2988" s="138">
        <v>0.56000000000000005</v>
      </c>
      <c r="D2988" s="138">
        <v>33.6</v>
      </c>
      <c r="E2988" s="138">
        <v>107.14285714285714</v>
      </c>
      <c r="F2988" s="139">
        <v>0.56000000000000005</v>
      </c>
    </row>
    <row r="2989" spans="1:6" x14ac:dyDescent="0.25">
      <c r="A2989" s="110"/>
      <c r="B2989" s="125" t="s">
        <v>2625</v>
      </c>
      <c r="C2989" s="138">
        <v>0.34</v>
      </c>
      <c r="D2989" s="138">
        <v>20.400000000000002</v>
      </c>
      <c r="E2989" s="138">
        <v>176.47058823529409</v>
      </c>
      <c r="F2989" s="139">
        <v>0.34</v>
      </c>
    </row>
    <row r="2990" spans="1:6" x14ac:dyDescent="0.25">
      <c r="A2990" s="110"/>
      <c r="B2990" s="125" t="s">
        <v>2626</v>
      </c>
      <c r="C2990" s="138">
        <v>0.34</v>
      </c>
      <c r="D2990" s="138">
        <v>20.400000000000002</v>
      </c>
      <c r="E2990" s="138">
        <v>176.47058823529409</v>
      </c>
      <c r="F2990" s="139">
        <v>0.34</v>
      </c>
    </row>
    <row r="2991" spans="1:6" x14ac:dyDescent="0.25">
      <c r="A2991" s="110"/>
      <c r="B2991" s="125" t="s">
        <v>2627</v>
      </c>
      <c r="C2991" s="138">
        <v>0.35</v>
      </c>
      <c r="D2991" s="138">
        <v>21</v>
      </c>
      <c r="E2991" s="138">
        <v>171.42857142857142</v>
      </c>
      <c r="F2991" s="139">
        <v>0.35</v>
      </c>
    </row>
    <row r="2992" spans="1:6" x14ac:dyDescent="0.25">
      <c r="A2992" s="110"/>
      <c r="B2992" s="125" t="s">
        <v>2628</v>
      </c>
      <c r="C2992" s="138">
        <v>0.35</v>
      </c>
      <c r="D2992" s="138">
        <v>21</v>
      </c>
      <c r="E2992" s="138">
        <v>171.42857142857142</v>
      </c>
      <c r="F2992" s="139">
        <v>0.35</v>
      </c>
    </row>
    <row r="2993" spans="1:6" x14ac:dyDescent="0.25">
      <c r="A2993" s="110"/>
      <c r="B2993" s="125" t="s">
        <v>2629</v>
      </c>
      <c r="C2993" s="138">
        <v>0.35</v>
      </c>
      <c r="D2993" s="138">
        <v>21</v>
      </c>
      <c r="E2993" s="138">
        <v>171.42857142857142</v>
      </c>
      <c r="F2993" s="139">
        <v>0.35</v>
      </c>
    </row>
    <row r="2994" spans="1:6" x14ac:dyDescent="0.25">
      <c r="A2994" s="110"/>
      <c r="B2994" s="125" t="s">
        <v>2630</v>
      </c>
      <c r="C2994" s="138">
        <v>0.35</v>
      </c>
      <c r="D2994" s="138">
        <v>21</v>
      </c>
      <c r="E2994" s="138">
        <v>171.42857142857142</v>
      </c>
      <c r="F2994" s="139">
        <v>0.35</v>
      </c>
    </row>
    <row r="2995" spans="1:6" x14ac:dyDescent="0.25">
      <c r="A2995" s="110"/>
      <c r="B2995" s="125" t="s">
        <v>2631</v>
      </c>
      <c r="C2995" s="138">
        <v>0.35</v>
      </c>
      <c r="D2995" s="138">
        <v>21</v>
      </c>
      <c r="E2995" s="138">
        <v>171.42857142857142</v>
      </c>
      <c r="F2995" s="139">
        <v>0.35</v>
      </c>
    </row>
    <row r="2996" spans="1:6" x14ac:dyDescent="0.25">
      <c r="A2996" s="110"/>
      <c r="B2996" s="125" t="s">
        <v>2632</v>
      </c>
      <c r="C2996" s="138">
        <v>0.35</v>
      </c>
      <c r="D2996" s="138">
        <v>21</v>
      </c>
      <c r="E2996" s="138">
        <v>171.42857142857142</v>
      </c>
      <c r="F2996" s="139">
        <v>0.35</v>
      </c>
    </row>
    <row r="2997" spans="1:6" x14ac:dyDescent="0.25">
      <c r="A2997" s="110"/>
      <c r="B2997" s="125" t="s">
        <v>2633</v>
      </c>
      <c r="C2997" s="138">
        <v>0.4</v>
      </c>
      <c r="D2997" s="138">
        <v>24</v>
      </c>
      <c r="E2997" s="138">
        <v>150</v>
      </c>
      <c r="F2997" s="139">
        <v>0.4</v>
      </c>
    </row>
    <row r="2998" spans="1:6" x14ac:dyDescent="0.25">
      <c r="A2998" s="110"/>
      <c r="B2998" s="125" t="s">
        <v>2634</v>
      </c>
      <c r="C2998" s="138">
        <v>3.04</v>
      </c>
      <c r="D2998" s="138">
        <v>182.4</v>
      </c>
      <c r="E2998" s="138">
        <v>19.736842105263158</v>
      </c>
      <c r="F2998" s="139">
        <v>3.04</v>
      </c>
    </row>
    <row r="2999" spans="1:6" x14ac:dyDescent="0.25">
      <c r="A2999" s="110"/>
      <c r="B2999" s="125" t="s">
        <v>2635</v>
      </c>
      <c r="C2999" s="138">
        <v>3.04</v>
      </c>
      <c r="D2999" s="138">
        <v>182.4</v>
      </c>
      <c r="E2999" s="138">
        <v>19.736842105263158</v>
      </c>
      <c r="F2999" s="139">
        <v>3.04</v>
      </c>
    </row>
    <row r="3000" spans="1:6" x14ac:dyDescent="0.25">
      <c r="A3000" s="110"/>
      <c r="B3000" s="125" t="s">
        <v>2636</v>
      </c>
      <c r="C3000" s="138">
        <v>3.04</v>
      </c>
      <c r="D3000" s="138">
        <v>182.4</v>
      </c>
      <c r="E3000" s="138">
        <v>19.736842105263158</v>
      </c>
      <c r="F3000" s="139">
        <v>3.04</v>
      </c>
    </row>
    <row r="3001" spans="1:6" x14ac:dyDescent="0.25">
      <c r="A3001" s="110"/>
      <c r="B3001" s="125" t="s">
        <v>2637</v>
      </c>
      <c r="C3001" s="138">
        <v>3.04</v>
      </c>
      <c r="D3001" s="138">
        <v>182.4</v>
      </c>
      <c r="E3001" s="138">
        <v>19.736842105263158</v>
      </c>
      <c r="F3001" s="139">
        <v>3.04</v>
      </c>
    </row>
    <row r="3002" spans="1:6" x14ac:dyDescent="0.25">
      <c r="A3002" s="110"/>
      <c r="B3002" s="125" t="s">
        <v>2638</v>
      </c>
      <c r="C3002" s="138">
        <v>0.21</v>
      </c>
      <c r="D3002" s="138">
        <v>12.6</v>
      </c>
      <c r="E3002" s="138">
        <v>285.71428571428572</v>
      </c>
      <c r="F3002" s="139">
        <v>0.21</v>
      </c>
    </row>
    <row r="3003" spans="1:6" x14ac:dyDescent="0.25">
      <c r="A3003" s="110"/>
      <c r="B3003" s="125" t="s">
        <v>2639</v>
      </c>
      <c r="C3003" s="138">
        <v>0.24</v>
      </c>
      <c r="D3003" s="138">
        <v>14.399999999999999</v>
      </c>
      <c r="E3003" s="138">
        <v>250.00000000000003</v>
      </c>
      <c r="F3003" s="139">
        <v>0.24</v>
      </c>
    </row>
    <row r="3004" spans="1:6" x14ac:dyDescent="0.25">
      <c r="A3004" s="110"/>
      <c r="B3004" s="125" t="s">
        <v>2640</v>
      </c>
      <c r="C3004" s="138">
        <v>0.23</v>
      </c>
      <c r="D3004" s="138">
        <v>13.8</v>
      </c>
      <c r="E3004" s="138">
        <v>260.86956521739131</v>
      </c>
      <c r="F3004" s="139">
        <v>0.23</v>
      </c>
    </row>
    <row r="3005" spans="1:6" x14ac:dyDescent="0.25">
      <c r="A3005" s="110"/>
      <c r="B3005" s="125" t="s">
        <v>2640</v>
      </c>
      <c r="C3005" s="138">
        <v>1.41</v>
      </c>
      <c r="D3005" s="138">
        <v>84.6</v>
      </c>
      <c r="E3005" s="138">
        <v>42.553191489361708</v>
      </c>
      <c r="F3005" s="139">
        <v>1.41</v>
      </c>
    </row>
    <row r="3006" spans="1:6" x14ac:dyDescent="0.25">
      <c r="A3006" s="110"/>
      <c r="B3006" s="125" t="s">
        <v>2641</v>
      </c>
      <c r="C3006" s="138">
        <v>1.04</v>
      </c>
      <c r="D3006" s="138">
        <v>62.400000000000006</v>
      </c>
      <c r="E3006" s="138">
        <v>57.692307692307686</v>
      </c>
      <c r="F3006" s="139">
        <v>1.04</v>
      </c>
    </row>
    <row r="3007" spans="1:6" x14ac:dyDescent="0.25">
      <c r="A3007" s="110"/>
      <c r="B3007" s="125" t="s">
        <v>2642</v>
      </c>
      <c r="C3007" s="138">
        <v>1.04</v>
      </c>
      <c r="D3007" s="138">
        <v>62.400000000000006</v>
      </c>
      <c r="E3007" s="138">
        <v>57.692307692307686</v>
      </c>
      <c r="F3007" s="139">
        <v>1.04</v>
      </c>
    </row>
    <row r="3008" spans="1:6" x14ac:dyDescent="0.25">
      <c r="A3008" s="110"/>
      <c r="B3008" s="125" t="s">
        <v>2643</v>
      </c>
      <c r="C3008" s="138">
        <v>0.22</v>
      </c>
      <c r="D3008" s="138">
        <v>13.2</v>
      </c>
      <c r="E3008" s="138">
        <v>272.72727272727275</v>
      </c>
      <c r="F3008" s="139">
        <v>0.22</v>
      </c>
    </row>
    <row r="3009" spans="1:6" x14ac:dyDescent="0.25">
      <c r="A3009" s="110"/>
      <c r="B3009" s="125" t="s">
        <v>2644</v>
      </c>
      <c r="C3009" s="138">
        <v>0.21</v>
      </c>
      <c r="D3009" s="138">
        <v>12.6</v>
      </c>
      <c r="E3009" s="138">
        <v>285.71428571428572</v>
      </c>
      <c r="F3009" s="139">
        <v>0.21</v>
      </c>
    </row>
    <row r="3010" spans="1:6" x14ac:dyDescent="0.25">
      <c r="A3010" s="110"/>
      <c r="B3010" s="125" t="s">
        <v>2645</v>
      </c>
      <c r="C3010" s="138">
        <v>0.26</v>
      </c>
      <c r="D3010" s="138">
        <v>15.600000000000001</v>
      </c>
      <c r="E3010" s="138">
        <v>230.76923076923075</v>
      </c>
      <c r="F3010" s="139">
        <v>0.26</v>
      </c>
    </row>
    <row r="3011" spans="1:6" x14ac:dyDescent="0.25">
      <c r="A3011" s="110"/>
      <c r="B3011" s="125" t="s">
        <v>2646</v>
      </c>
      <c r="C3011" s="138">
        <v>0.46</v>
      </c>
      <c r="D3011" s="138">
        <v>27.6</v>
      </c>
      <c r="E3011" s="138">
        <v>130.43478260869566</v>
      </c>
      <c r="F3011" s="139">
        <v>0.46</v>
      </c>
    </row>
    <row r="3012" spans="1:6" x14ac:dyDescent="0.25">
      <c r="A3012" s="110"/>
      <c r="B3012" s="125" t="s">
        <v>2647</v>
      </c>
      <c r="C3012" s="138">
        <v>0.46</v>
      </c>
      <c r="D3012" s="138">
        <v>27.6</v>
      </c>
      <c r="E3012" s="138">
        <v>130.43478260869566</v>
      </c>
      <c r="F3012" s="139">
        <v>0.46</v>
      </c>
    </row>
    <row r="3013" spans="1:6" x14ac:dyDescent="0.25">
      <c r="A3013" s="110"/>
      <c r="B3013" s="125" t="s">
        <v>2648</v>
      </c>
      <c r="C3013" s="138">
        <v>0.46</v>
      </c>
      <c r="D3013" s="138">
        <v>27.6</v>
      </c>
      <c r="E3013" s="138">
        <v>130.43478260869566</v>
      </c>
      <c r="F3013" s="139">
        <v>0.46</v>
      </c>
    </row>
    <row r="3014" spans="1:6" x14ac:dyDescent="0.25">
      <c r="A3014" s="110"/>
      <c r="B3014" s="125" t="s">
        <v>2649</v>
      </c>
      <c r="C3014" s="138">
        <v>0.46</v>
      </c>
      <c r="D3014" s="138">
        <v>27.6</v>
      </c>
      <c r="E3014" s="138">
        <v>130.43478260869566</v>
      </c>
      <c r="F3014" s="139">
        <v>0.46</v>
      </c>
    </row>
    <row r="3015" spans="1:6" x14ac:dyDescent="0.25">
      <c r="A3015" s="110"/>
      <c r="B3015" s="125" t="s">
        <v>2650</v>
      </c>
      <c r="C3015" s="138">
        <v>4.59</v>
      </c>
      <c r="D3015" s="138">
        <v>275.39999999999998</v>
      </c>
      <c r="E3015" s="138">
        <v>13.071895424836603</v>
      </c>
      <c r="F3015" s="139">
        <v>4.59</v>
      </c>
    </row>
    <row r="3016" spans="1:6" x14ac:dyDescent="0.25">
      <c r="A3016" s="110"/>
      <c r="B3016" s="125" t="s">
        <v>2651</v>
      </c>
      <c r="C3016" s="138">
        <v>4.59</v>
      </c>
      <c r="D3016" s="138">
        <v>275.39999999999998</v>
      </c>
      <c r="E3016" s="138">
        <v>13.071895424836603</v>
      </c>
      <c r="F3016" s="139">
        <v>4.59</v>
      </c>
    </row>
    <row r="3017" spans="1:6" x14ac:dyDescent="0.25">
      <c r="A3017" s="110"/>
      <c r="B3017" s="125" t="s">
        <v>2652</v>
      </c>
      <c r="C3017" s="138">
        <v>0.96</v>
      </c>
      <c r="D3017" s="138">
        <v>57.599999999999994</v>
      </c>
      <c r="E3017" s="138">
        <v>62.500000000000007</v>
      </c>
      <c r="F3017" s="139">
        <v>0.96</v>
      </c>
    </row>
    <row r="3018" spans="1:6" x14ac:dyDescent="0.25">
      <c r="A3018" s="110"/>
      <c r="B3018" s="125" t="s">
        <v>2653</v>
      </c>
      <c r="C3018" s="138">
        <v>0.96</v>
      </c>
      <c r="D3018" s="138">
        <v>57.599999999999994</v>
      </c>
      <c r="E3018" s="138">
        <v>62.500000000000007</v>
      </c>
      <c r="F3018" s="139">
        <v>0.96</v>
      </c>
    </row>
    <row r="3019" spans="1:6" x14ac:dyDescent="0.25">
      <c r="A3019" s="110"/>
      <c r="B3019" s="125" t="s">
        <v>2654</v>
      </c>
      <c r="C3019" s="138">
        <v>0.63</v>
      </c>
      <c r="D3019" s="138">
        <v>37.799999999999997</v>
      </c>
      <c r="E3019" s="138">
        <v>95.238095238095241</v>
      </c>
      <c r="F3019" s="139">
        <v>0.63</v>
      </c>
    </row>
    <row r="3020" spans="1:6" x14ac:dyDescent="0.25">
      <c r="A3020" s="110"/>
      <c r="B3020" s="125" t="s">
        <v>2655</v>
      </c>
      <c r="C3020" s="138">
        <v>2.41</v>
      </c>
      <c r="D3020" s="138">
        <v>144.60000000000002</v>
      </c>
      <c r="E3020" s="138">
        <v>24.896265560165972</v>
      </c>
      <c r="F3020" s="139">
        <v>2.41</v>
      </c>
    </row>
    <row r="3021" spans="1:6" x14ac:dyDescent="0.25">
      <c r="A3021" s="110"/>
      <c r="B3021" s="125" t="s">
        <v>2656</v>
      </c>
      <c r="C3021" s="138">
        <v>2</v>
      </c>
      <c r="D3021" s="138">
        <v>120</v>
      </c>
      <c r="E3021" s="138">
        <v>30</v>
      </c>
      <c r="F3021" s="139">
        <v>2</v>
      </c>
    </row>
    <row r="3022" spans="1:6" x14ac:dyDescent="0.25">
      <c r="A3022" s="110"/>
      <c r="B3022" s="125" t="s">
        <v>2657</v>
      </c>
      <c r="C3022" s="138">
        <v>1</v>
      </c>
      <c r="D3022" s="138">
        <v>60</v>
      </c>
      <c r="E3022" s="138">
        <v>60</v>
      </c>
      <c r="F3022" s="139">
        <v>1</v>
      </c>
    </row>
    <row r="3023" spans="1:6" x14ac:dyDescent="0.25">
      <c r="A3023" s="110"/>
      <c r="B3023" s="125" t="s">
        <v>2658</v>
      </c>
      <c r="C3023" s="138">
        <v>0.24</v>
      </c>
      <c r="D3023" s="138">
        <v>14.399999999999999</v>
      </c>
      <c r="E3023" s="138">
        <v>250.00000000000003</v>
      </c>
      <c r="F3023" s="139">
        <v>0.24</v>
      </c>
    </row>
    <row r="3024" spans="1:6" x14ac:dyDescent="0.25">
      <c r="A3024" s="110"/>
      <c r="B3024" s="125" t="s">
        <v>2659</v>
      </c>
      <c r="C3024" s="138">
        <v>0.98</v>
      </c>
      <c r="D3024" s="138">
        <v>58.8</v>
      </c>
      <c r="E3024" s="138">
        <v>61.224489795918373</v>
      </c>
      <c r="F3024" s="139">
        <v>0.98</v>
      </c>
    </row>
    <row r="3025" spans="1:6" x14ac:dyDescent="0.25">
      <c r="A3025" s="110"/>
      <c r="B3025" s="125" t="s">
        <v>2660</v>
      </c>
      <c r="C3025" s="138">
        <v>0.98</v>
      </c>
      <c r="D3025" s="138">
        <v>58.8</v>
      </c>
      <c r="E3025" s="138">
        <v>61.224489795918373</v>
      </c>
      <c r="F3025" s="139">
        <v>0.98</v>
      </c>
    </row>
    <row r="3026" spans="1:6" x14ac:dyDescent="0.25">
      <c r="A3026" s="110"/>
      <c r="B3026" s="125" t="s">
        <v>2661</v>
      </c>
      <c r="C3026" s="138">
        <v>0.46</v>
      </c>
      <c r="D3026" s="138">
        <v>27.6</v>
      </c>
      <c r="E3026" s="138">
        <v>130.43478260869566</v>
      </c>
      <c r="F3026" s="139">
        <v>0.46</v>
      </c>
    </row>
    <row r="3027" spans="1:6" x14ac:dyDescent="0.25">
      <c r="A3027" s="110"/>
      <c r="B3027" s="125" t="s">
        <v>2662</v>
      </c>
      <c r="C3027" s="138">
        <v>0.46</v>
      </c>
      <c r="D3027" s="138">
        <v>27.6</v>
      </c>
      <c r="E3027" s="138">
        <v>130.43478260869566</v>
      </c>
      <c r="F3027" s="139">
        <v>0.46</v>
      </c>
    </row>
    <row r="3028" spans="1:6" x14ac:dyDescent="0.25">
      <c r="A3028" s="110"/>
      <c r="B3028" s="125" t="s">
        <v>2663</v>
      </c>
      <c r="C3028" s="138">
        <v>0.33</v>
      </c>
      <c r="D3028" s="138">
        <v>19.8</v>
      </c>
      <c r="E3028" s="138">
        <v>181.81818181818181</v>
      </c>
      <c r="F3028" s="139">
        <v>0.33</v>
      </c>
    </row>
    <row r="3029" spans="1:6" x14ac:dyDescent="0.25">
      <c r="A3029" s="110"/>
      <c r="B3029" s="125" t="s">
        <v>2664</v>
      </c>
      <c r="C3029" s="138">
        <v>0.33</v>
      </c>
      <c r="D3029" s="138">
        <v>19.8</v>
      </c>
      <c r="E3029" s="138">
        <v>181.81818181818181</v>
      </c>
      <c r="F3029" s="139">
        <v>0.33</v>
      </c>
    </row>
    <row r="3030" spans="1:6" x14ac:dyDescent="0.25">
      <c r="A3030" s="110"/>
      <c r="B3030" s="125" t="s">
        <v>2665</v>
      </c>
      <c r="C3030" s="138">
        <v>0.35</v>
      </c>
      <c r="D3030" s="138">
        <v>21</v>
      </c>
      <c r="E3030" s="138">
        <v>171.42857142857142</v>
      </c>
      <c r="F3030" s="139">
        <v>0.35</v>
      </c>
    </row>
    <row r="3031" spans="1:6" x14ac:dyDescent="0.25">
      <c r="A3031" s="110"/>
      <c r="B3031" s="125" t="s">
        <v>2666</v>
      </c>
      <c r="C3031" s="138">
        <v>0.35</v>
      </c>
      <c r="D3031" s="138">
        <v>21</v>
      </c>
      <c r="E3031" s="138">
        <v>171.42857142857142</v>
      </c>
      <c r="F3031" s="139">
        <v>0.35</v>
      </c>
    </row>
    <row r="3032" spans="1:6" x14ac:dyDescent="0.25">
      <c r="A3032" s="110"/>
      <c r="B3032" s="125" t="s">
        <v>2667</v>
      </c>
      <c r="C3032" s="138">
        <v>0.92</v>
      </c>
      <c r="D3032" s="138">
        <v>55.2</v>
      </c>
      <c r="E3032" s="138">
        <v>65.217391304347828</v>
      </c>
      <c r="F3032" s="139">
        <v>0.92</v>
      </c>
    </row>
    <row r="3033" spans="1:6" x14ac:dyDescent="0.25">
      <c r="A3033" s="110"/>
      <c r="B3033" s="125" t="s">
        <v>2667</v>
      </c>
      <c r="C3033" s="138">
        <v>0.92</v>
      </c>
      <c r="D3033" s="138">
        <v>55.2</v>
      </c>
      <c r="E3033" s="138">
        <v>65.217391304347828</v>
      </c>
      <c r="F3033" s="139">
        <v>0.92</v>
      </c>
    </row>
    <row r="3034" spans="1:6" x14ac:dyDescent="0.25">
      <c r="A3034" s="110"/>
      <c r="B3034" s="125" t="s">
        <v>2668</v>
      </c>
      <c r="C3034" s="138">
        <v>0.92</v>
      </c>
      <c r="D3034" s="138">
        <v>55.2</v>
      </c>
      <c r="E3034" s="138">
        <v>65.217391304347828</v>
      </c>
      <c r="F3034" s="139">
        <v>0.92</v>
      </c>
    </row>
    <row r="3035" spans="1:6" x14ac:dyDescent="0.25">
      <c r="A3035" s="110"/>
      <c r="B3035" s="125" t="s">
        <v>2668</v>
      </c>
      <c r="C3035" s="138">
        <v>0.92</v>
      </c>
      <c r="D3035" s="138">
        <v>55.2</v>
      </c>
      <c r="E3035" s="138">
        <v>65.217391304347828</v>
      </c>
      <c r="F3035" s="139">
        <v>0.92</v>
      </c>
    </row>
    <row r="3036" spans="1:6" x14ac:dyDescent="0.25">
      <c r="A3036" s="110"/>
      <c r="B3036" s="125" t="s">
        <v>2669</v>
      </c>
      <c r="C3036" s="138">
        <v>0.92</v>
      </c>
      <c r="D3036" s="138">
        <v>55.2</v>
      </c>
      <c r="E3036" s="138">
        <v>65.217391304347828</v>
      </c>
      <c r="F3036" s="139">
        <v>0.92</v>
      </c>
    </row>
    <row r="3037" spans="1:6" x14ac:dyDescent="0.25">
      <c r="A3037" s="110"/>
      <c r="B3037" s="125" t="s">
        <v>2669</v>
      </c>
      <c r="C3037" s="138">
        <v>0.92</v>
      </c>
      <c r="D3037" s="138">
        <v>55.2</v>
      </c>
      <c r="E3037" s="138">
        <v>65.217391304347828</v>
      </c>
      <c r="F3037" s="139">
        <v>0.92</v>
      </c>
    </row>
    <row r="3038" spans="1:6" x14ac:dyDescent="0.25">
      <c r="A3038" s="110"/>
      <c r="B3038" s="125" t="s">
        <v>2670</v>
      </c>
      <c r="C3038" s="138">
        <v>0.92</v>
      </c>
      <c r="D3038" s="138">
        <v>55.2</v>
      </c>
      <c r="E3038" s="138">
        <v>65.217391304347828</v>
      </c>
      <c r="F3038" s="139">
        <v>0.92</v>
      </c>
    </row>
    <row r="3039" spans="1:6" x14ac:dyDescent="0.25">
      <c r="A3039" s="110"/>
      <c r="B3039" s="125" t="s">
        <v>2670</v>
      </c>
      <c r="C3039" s="138">
        <v>0.92</v>
      </c>
      <c r="D3039" s="138">
        <v>55.2</v>
      </c>
      <c r="E3039" s="138">
        <v>65.217391304347828</v>
      </c>
      <c r="F3039" s="139">
        <v>0.92</v>
      </c>
    </row>
    <row r="3040" spans="1:6" x14ac:dyDescent="0.25">
      <c r="A3040" s="110"/>
      <c r="B3040" s="125" t="s">
        <v>2671</v>
      </c>
      <c r="C3040" s="138">
        <v>2.25</v>
      </c>
      <c r="D3040" s="138">
        <v>135</v>
      </c>
      <c r="E3040" s="138">
        <v>26.666666666666668</v>
      </c>
      <c r="F3040" s="139">
        <v>2.25</v>
      </c>
    </row>
    <row r="3041" spans="1:6" x14ac:dyDescent="0.25">
      <c r="A3041" s="110"/>
      <c r="B3041" s="125" t="s">
        <v>2671</v>
      </c>
      <c r="C3041" s="138">
        <v>2.25</v>
      </c>
      <c r="D3041" s="138">
        <v>135</v>
      </c>
      <c r="E3041" s="138">
        <v>26.666666666666668</v>
      </c>
      <c r="F3041" s="139">
        <v>2.25</v>
      </c>
    </row>
    <row r="3042" spans="1:6" x14ac:dyDescent="0.25">
      <c r="A3042" s="110"/>
      <c r="B3042" s="125" t="s">
        <v>2672</v>
      </c>
      <c r="C3042" s="138">
        <v>2.25</v>
      </c>
      <c r="D3042" s="138">
        <v>135</v>
      </c>
      <c r="E3042" s="138">
        <v>26.666666666666668</v>
      </c>
      <c r="F3042" s="139">
        <v>2.25</v>
      </c>
    </row>
    <row r="3043" spans="1:6" x14ac:dyDescent="0.25">
      <c r="A3043" s="110"/>
      <c r="B3043" s="125" t="s">
        <v>2672</v>
      </c>
      <c r="C3043" s="138">
        <v>2.25</v>
      </c>
      <c r="D3043" s="138">
        <v>135</v>
      </c>
      <c r="E3043" s="138">
        <v>26.666666666666668</v>
      </c>
      <c r="F3043" s="139">
        <v>2.25</v>
      </c>
    </row>
    <row r="3044" spans="1:6" x14ac:dyDescent="0.25">
      <c r="A3044" s="110"/>
      <c r="B3044" s="125" t="s">
        <v>2673</v>
      </c>
      <c r="C3044" s="138">
        <v>0.8</v>
      </c>
      <c r="D3044" s="138">
        <v>48</v>
      </c>
      <c r="E3044" s="138">
        <v>75</v>
      </c>
      <c r="F3044" s="139">
        <v>0.8</v>
      </c>
    </row>
    <row r="3045" spans="1:6" x14ac:dyDescent="0.25">
      <c r="A3045" s="110"/>
      <c r="B3045" s="125" t="s">
        <v>2674</v>
      </c>
      <c r="C3045" s="138">
        <v>0.8</v>
      </c>
      <c r="D3045" s="138">
        <v>48</v>
      </c>
      <c r="E3045" s="138">
        <v>75</v>
      </c>
      <c r="F3045" s="139">
        <v>0.8</v>
      </c>
    </row>
    <row r="3046" spans="1:6" x14ac:dyDescent="0.25">
      <c r="A3046" s="110"/>
      <c r="B3046" s="125" t="s">
        <v>2667</v>
      </c>
      <c r="C3046" s="138">
        <v>0.56000000000000005</v>
      </c>
      <c r="D3046" s="138">
        <v>33.6</v>
      </c>
      <c r="E3046" s="138">
        <v>107.14285714285714</v>
      </c>
      <c r="F3046" s="139">
        <v>0.56000000000000005</v>
      </c>
    </row>
    <row r="3047" spans="1:6" x14ac:dyDescent="0.25">
      <c r="A3047" s="110"/>
      <c r="B3047" s="125" t="s">
        <v>2668</v>
      </c>
      <c r="C3047" s="138">
        <v>0.56000000000000005</v>
      </c>
      <c r="D3047" s="138">
        <v>33.6</v>
      </c>
      <c r="E3047" s="138">
        <v>107.14285714285714</v>
      </c>
      <c r="F3047" s="139">
        <v>0.56000000000000005</v>
      </c>
    </row>
    <row r="3048" spans="1:6" x14ac:dyDescent="0.25">
      <c r="A3048" s="110"/>
      <c r="B3048" s="125" t="s">
        <v>2675</v>
      </c>
      <c r="C3048" s="138">
        <v>2.88</v>
      </c>
      <c r="D3048" s="138">
        <v>172.79999999999998</v>
      </c>
      <c r="E3048" s="138">
        <v>20.833333333333336</v>
      </c>
      <c r="F3048" s="139">
        <v>2.88</v>
      </c>
    </row>
    <row r="3049" spans="1:6" x14ac:dyDescent="0.25">
      <c r="A3049" s="110"/>
      <c r="B3049" s="125" t="s">
        <v>2676</v>
      </c>
      <c r="C3049" s="138">
        <v>2.84</v>
      </c>
      <c r="D3049" s="138">
        <v>170.39999999999998</v>
      </c>
      <c r="E3049" s="138">
        <v>21.126760563380284</v>
      </c>
      <c r="F3049" s="139">
        <v>2.84</v>
      </c>
    </row>
    <row r="3050" spans="1:6" x14ac:dyDescent="0.25">
      <c r="A3050" s="110"/>
      <c r="B3050" s="125" t="s">
        <v>2677</v>
      </c>
      <c r="C3050" s="138">
        <v>0.93</v>
      </c>
      <c r="D3050" s="138">
        <v>55.800000000000004</v>
      </c>
      <c r="E3050" s="138">
        <v>64.516129032258064</v>
      </c>
      <c r="F3050" s="139">
        <v>0.93</v>
      </c>
    </row>
    <row r="3051" spans="1:6" x14ac:dyDescent="0.25">
      <c r="A3051" s="110"/>
      <c r="B3051" s="125" t="s">
        <v>2678</v>
      </c>
      <c r="C3051" s="138">
        <v>0.93</v>
      </c>
      <c r="D3051" s="138">
        <v>55.800000000000004</v>
      </c>
      <c r="E3051" s="138">
        <v>64.516129032258064</v>
      </c>
      <c r="F3051" s="139">
        <v>0.93</v>
      </c>
    </row>
    <row r="3052" spans="1:6" x14ac:dyDescent="0.25">
      <c r="A3052" s="110"/>
      <c r="B3052" s="125" t="s">
        <v>2678</v>
      </c>
      <c r="C3052" s="138">
        <v>0.93</v>
      </c>
      <c r="D3052" s="138">
        <v>55.800000000000004</v>
      </c>
      <c r="E3052" s="138">
        <v>64.516129032258064</v>
      </c>
      <c r="F3052" s="139">
        <v>0.93</v>
      </c>
    </row>
    <row r="3053" spans="1:6" x14ac:dyDescent="0.25">
      <c r="A3053" s="110"/>
      <c r="B3053" s="125" t="s">
        <v>2679</v>
      </c>
      <c r="C3053" s="138">
        <v>1.5</v>
      </c>
      <c r="D3053" s="138">
        <v>90</v>
      </c>
      <c r="E3053" s="138">
        <v>40</v>
      </c>
      <c r="F3053" s="139">
        <v>1.5</v>
      </c>
    </row>
    <row r="3054" spans="1:6" x14ac:dyDescent="0.25">
      <c r="A3054" s="110"/>
      <c r="B3054" s="125" t="s">
        <v>2680</v>
      </c>
      <c r="C3054" s="138">
        <v>1.5</v>
      </c>
      <c r="D3054" s="138">
        <v>90</v>
      </c>
      <c r="E3054" s="138">
        <v>40</v>
      </c>
      <c r="F3054" s="139">
        <v>1.5</v>
      </c>
    </row>
    <row r="3055" spans="1:6" x14ac:dyDescent="0.25">
      <c r="A3055" s="110"/>
      <c r="B3055" s="125" t="s">
        <v>2681</v>
      </c>
      <c r="C3055" s="138">
        <v>1.5</v>
      </c>
      <c r="D3055" s="138">
        <v>90</v>
      </c>
      <c r="E3055" s="138">
        <v>40</v>
      </c>
      <c r="F3055" s="139">
        <v>1.5</v>
      </c>
    </row>
    <row r="3056" spans="1:6" x14ac:dyDescent="0.25">
      <c r="A3056" s="110"/>
      <c r="B3056" s="125" t="s">
        <v>2682</v>
      </c>
      <c r="C3056" s="138">
        <v>1.5</v>
      </c>
      <c r="D3056" s="138">
        <v>90</v>
      </c>
      <c r="E3056" s="138">
        <v>40</v>
      </c>
      <c r="F3056" s="139">
        <v>1.5</v>
      </c>
    </row>
    <row r="3057" spans="1:6" x14ac:dyDescent="0.25">
      <c r="A3057" s="110"/>
      <c r="B3057" s="125" t="s">
        <v>2683</v>
      </c>
      <c r="C3057" s="138">
        <v>1</v>
      </c>
      <c r="D3057" s="138">
        <v>60</v>
      </c>
      <c r="E3057" s="138">
        <v>60</v>
      </c>
      <c r="F3057" s="139">
        <v>1</v>
      </c>
    </row>
    <row r="3058" spans="1:6" x14ac:dyDescent="0.25">
      <c r="A3058" s="110"/>
      <c r="B3058" s="125" t="s">
        <v>2684</v>
      </c>
      <c r="C3058" s="138">
        <v>1</v>
      </c>
      <c r="D3058" s="138">
        <v>60</v>
      </c>
      <c r="E3058" s="138">
        <v>60</v>
      </c>
      <c r="F3058" s="139">
        <v>1</v>
      </c>
    </row>
    <row r="3059" spans="1:6" x14ac:dyDescent="0.25">
      <c r="A3059" s="110"/>
      <c r="B3059" s="125" t="s">
        <v>2685</v>
      </c>
      <c r="C3059" s="138">
        <v>1</v>
      </c>
      <c r="D3059" s="138">
        <v>60</v>
      </c>
      <c r="E3059" s="138">
        <v>60</v>
      </c>
      <c r="F3059" s="139">
        <v>1</v>
      </c>
    </row>
    <row r="3060" spans="1:6" x14ac:dyDescent="0.25">
      <c r="A3060" s="110"/>
      <c r="B3060" s="125" t="s">
        <v>2685</v>
      </c>
      <c r="C3060" s="138">
        <v>1</v>
      </c>
      <c r="D3060" s="138">
        <v>60</v>
      </c>
      <c r="E3060" s="138">
        <v>60</v>
      </c>
      <c r="F3060" s="139">
        <v>1</v>
      </c>
    </row>
    <row r="3061" spans="1:6" x14ac:dyDescent="0.25">
      <c r="A3061" s="110"/>
      <c r="B3061" s="125" t="s">
        <v>2686</v>
      </c>
      <c r="C3061" s="138">
        <v>1</v>
      </c>
      <c r="D3061" s="138">
        <v>60</v>
      </c>
      <c r="E3061" s="138">
        <v>60</v>
      </c>
      <c r="F3061" s="139">
        <v>1</v>
      </c>
    </row>
    <row r="3062" spans="1:6" x14ac:dyDescent="0.25">
      <c r="A3062" s="110"/>
      <c r="B3062" s="125" t="s">
        <v>2687</v>
      </c>
      <c r="C3062" s="138">
        <v>1.0900000000000001</v>
      </c>
      <c r="D3062" s="138">
        <v>65.400000000000006</v>
      </c>
      <c r="E3062" s="138">
        <v>55.045871559633021</v>
      </c>
      <c r="F3062" s="139">
        <v>1.0900000000000001</v>
      </c>
    </row>
    <row r="3063" spans="1:6" x14ac:dyDescent="0.25">
      <c r="A3063" s="110"/>
      <c r="B3063" s="125" t="s">
        <v>2687</v>
      </c>
      <c r="C3063" s="138">
        <v>1</v>
      </c>
      <c r="D3063" s="138">
        <v>60</v>
      </c>
      <c r="E3063" s="138">
        <v>60</v>
      </c>
      <c r="F3063" s="139">
        <v>1</v>
      </c>
    </row>
    <row r="3064" spans="1:6" x14ac:dyDescent="0.25">
      <c r="A3064" s="110"/>
      <c r="B3064" s="125" t="s">
        <v>2688</v>
      </c>
      <c r="C3064" s="138">
        <v>1.03</v>
      </c>
      <c r="D3064" s="138">
        <v>61.800000000000004</v>
      </c>
      <c r="E3064" s="138">
        <v>58.252427184466015</v>
      </c>
      <c r="F3064" s="139">
        <v>1.03</v>
      </c>
    </row>
    <row r="3065" spans="1:6" x14ac:dyDescent="0.25">
      <c r="A3065" s="110"/>
      <c r="B3065" s="125" t="s">
        <v>2684</v>
      </c>
      <c r="C3065" s="138">
        <v>1</v>
      </c>
      <c r="D3065" s="138">
        <v>60</v>
      </c>
      <c r="E3065" s="138">
        <v>60</v>
      </c>
      <c r="F3065" s="139">
        <v>1</v>
      </c>
    </row>
    <row r="3066" spans="1:6" x14ac:dyDescent="0.25">
      <c r="A3066" s="110"/>
      <c r="B3066" s="125" t="s">
        <v>2689</v>
      </c>
      <c r="C3066" s="138">
        <v>1.25</v>
      </c>
      <c r="D3066" s="138">
        <v>75</v>
      </c>
      <c r="E3066" s="138">
        <v>48</v>
      </c>
      <c r="F3066" s="139">
        <v>1.25</v>
      </c>
    </row>
    <row r="3067" spans="1:6" x14ac:dyDescent="0.25">
      <c r="A3067" s="110"/>
      <c r="B3067" s="125" t="s">
        <v>2690</v>
      </c>
      <c r="C3067" s="138">
        <v>1</v>
      </c>
      <c r="D3067" s="138">
        <v>60</v>
      </c>
      <c r="E3067" s="138">
        <v>60</v>
      </c>
      <c r="F3067" s="139">
        <v>1</v>
      </c>
    </row>
    <row r="3068" spans="1:6" x14ac:dyDescent="0.25">
      <c r="A3068" s="110"/>
      <c r="B3068" s="125" t="s">
        <v>2691</v>
      </c>
      <c r="C3068" s="138">
        <v>0.8</v>
      </c>
      <c r="D3068" s="138">
        <v>48</v>
      </c>
      <c r="E3068" s="138">
        <v>75</v>
      </c>
      <c r="F3068" s="139">
        <v>0.8</v>
      </c>
    </row>
    <row r="3069" spans="1:6" x14ac:dyDescent="0.25">
      <c r="A3069" s="110"/>
      <c r="B3069" s="125" t="s">
        <v>2692</v>
      </c>
      <c r="C3069" s="138">
        <v>0.8</v>
      </c>
      <c r="D3069" s="138">
        <v>48</v>
      </c>
      <c r="E3069" s="138">
        <v>75</v>
      </c>
      <c r="F3069" s="139">
        <v>0.8</v>
      </c>
    </row>
    <row r="3070" spans="1:6" x14ac:dyDescent="0.25">
      <c r="A3070" s="110"/>
      <c r="B3070" s="125" t="s">
        <v>2693</v>
      </c>
      <c r="C3070" s="138">
        <v>0.75</v>
      </c>
      <c r="D3070" s="138">
        <v>45</v>
      </c>
      <c r="E3070" s="138">
        <v>80</v>
      </c>
      <c r="F3070" s="139">
        <v>0.75</v>
      </c>
    </row>
    <row r="3071" spans="1:6" x14ac:dyDescent="0.25">
      <c r="A3071" s="110"/>
      <c r="B3071" s="125" t="s">
        <v>2694</v>
      </c>
      <c r="C3071" s="138">
        <v>0.8</v>
      </c>
      <c r="D3071" s="138">
        <v>48</v>
      </c>
      <c r="E3071" s="138">
        <v>75</v>
      </c>
      <c r="F3071" s="139">
        <v>0.8</v>
      </c>
    </row>
    <row r="3072" spans="1:6" x14ac:dyDescent="0.25">
      <c r="A3072" s="110"/>
      <c r="B3072" s="125" t="s">
        <v>2695</v>
      </c>
      <c r="C3072" s="138">
        <v>2</v>
      </c>
      <c r="D3072" s="138">
        <v>120</v>
      </c>
      <c r="E3072" s="138">
        <v>30</v>
      </c>
      <c r="F3072" s="139">
        <v>2</v>
      </c>
    </row>
    <row r="3073" spans="1:6" x14ac:dyDescent="0.25">
      <c r="A3073" s="110"/>
      <c r="B3073" s="125" t="s">
        <v>2696</v>
      </c>
      <c r="C3073" s="138">
        <v>2</v>
      </c>
      <c r="D3073" s="138">
        <v>120</v>
      </c>
      <c r="E3073" s="138">
        <v>30</v>
      </c>
      <c r="F3073" s="139">
        <v>2</v>
      </c>
    </row>
    <row r="3074" spans="1:6" x14ac:dyDescent="0.25">
      <c r="A3074" s="110"/>
      <c r="B3074" s="125" t="s">
        <v>2697</v>
      </c>
      <c r="C3074" s="138">
        <v>2</v>
      </c>
      <c r="D3074" s="138">
        <v>120</v>
      </c>
      <c r="E3074" s="138">
        <v>30</v>
      </c>
      <c r="F3074" s="139">
        <v>2</v>
      </c>
    </row>
    <row r="3075" spans="1:6" x14ac:dyDescent="0.25">
      <c r="A3075" s="110"/>
      <c r="B3075" s="125" t="s">
        <v>2698</v>
      </c>
      <c r="C3075" s="138">
        <v>2</v>
      </c>
      <c r="D3075" s="138">
        <v>120</v>
      </c>
      <c r="E3075" s="138">
        <v>30</v>
      </c>
      <c r="F3075" s="139">
        <v>2</v>
      </c>
    </row>
    <row r="3076" spans="1:6" x14ac:dyDescent="0.25">
      <c r="A3076" s="110"/>
      <c r="B3076" s="125" t="s">
        <v>2699</v>
      </c>
      <c r="C3076" s="138">
        <v>2</v>
      </c>
      <c r="D3076" s="138">
        <v>120</v>
      </c>
      <c r="E3076" s="138">
        <v>30</v>
      </c>
      <c r="F3076" s="139">
        <v>2</v>
      </c>
    </row>
    <row r="3077" spans="1:6" x14ac:dyDescent="0.25">
      <c r="A3077" s="110"/>
      <c r="B3077" s="125" t="s">
        <v>2700</v>
      </c>
      <c r="C3077" s="138">
        <v>2</v>
      </c>
      <c r="D3077" s="138">
        <v>120</v>
      </c>
      <c r="E3077" s="138">
        <v>30</v>
      </c>
      <c r="F3077" s="139">
        <v>2</v>
      </c>
    </row>
    <row r="3078" spans="1:6" x14ac:dyDescent="0.25">
      <c r="A3078" s="110"/>
      <c r="B3078" s="125" t="s">
        <v>2701</v>
      </c>
      <c r="C3078" s="138">
        <v>2</v>
      </c>
      <c r="D3078" s="138">
        <v>120</v>
      </c>
      <c r="E3078" s="138">
        <v>30</v>
      </c>
      <c r="F3078" s="139">
        <v>2</v>
      </c>
    </row>
    <row r="3079" spans="1:6" x14ac:dyDescent="0.25">
      <c r="A3079" s="110"/>
      <c r="B3079" s="125" t="s">
        <v>2702</v>
      </c>
      <c r="C3079" s="138">
        <v>2</v>
      </c>
      <c r="D3079" s="138">
        <v>120</v>
      </c>
      <c r="E3079" s="138">
        <v>30</v>
      </c>
      <c r="F3079" s="139">
        <v>2</v>
      </c>
    </row>
    <row r="3080" spans="1:6" x14ac:dyDescent="0.25">
      <c r="A3080" s="110"/>
      <c r="B3080" s="125" t="s">
        <v>2703</v>
      </c>
      <c r="C3080" s="138">
        <v>1.2</v>
      </c>
      <c r="D3080" s="138">
        <v>72</v>
      </c>
      <c r="E3080" s="138">
        <v>50</v>
      </c>
      <c r="F3080" s="139">
        <v>1.2</v>
      </c>
    </row>
    <row r="3081" spans="1:6" x14ac:dyDescent="0.25">
      <c r="A3081" s="110"/>
      <c r="B3081" s="125" t="s">
        <v>2704</v>
      </c>
      <c r="C3081" s="138">
        <v>1.2</v>
      </c>
      <c r="D3081" s="138">
        <v>72</v>
      </c>
      <c r="E3081" s="138">
        <v>50</v>
      </c>
      <c r="F3081" s="139">
        <v>1.2</v>
      </c>
    </row>
    <row r="3082" spans="1:6" x14ac:dyDescent="0.25">
      <c r="A3082" s="110"/>
      <c r="B3082" s="125" t="s">
        <v>2704</v>
      </c>
      <c r="C3082" s="138">
        <v>1.2</v>
      </c>
      <c r="D3082" s="138">
        <v>72</v>
      </c>
      <c r="E3082" s="138">
        <v>50</v>
      </c>
      <c r="F3082" s="139">
        <v>1.2</v>
      </c>
    </row>
    <row r="3083" spans="1:6" x14ac:dyDescent="0.25">
      <c r="A3083" s="110"/>
      <c r="B3083" s="125" t="s">
        <v>2705</v>
      </c>
      <c r="C3083" s="138">
        <v>1.2</v>
      </c>
      <c r="D3083" s="138">
        <v>72</v>
      </c>
      <c r="E3083" s="138">
        <v>50</v>
      </c>
      <c r="F3083" s="139">
        <v>1.2</v>
      </c>
    </row>
    <row r="3084" spans="1:6" x14ac:dyDescent="0.25">
      <c r="A3084" s="110"/>
      <c r="B3084" s="125" t="s">
        <v>2706</v>
      </c>
      <c r="C3084" s="138">
        <v>1.2</v>
      </c>
      <c r="D3084" s="138">
        <v>72</v>
      </c>
      <c r="E3084" s="138">
        <v>50</v>
      </c>
      <c r="F3084" s="139">
        <v>1.2</v>
      </c>
    </row>
    <row r="3085" spans="1:6" x14ac:dyDescent="0.25">
      <c r="A3085" s="110"/>
      <c r="B3085" s="125" t="s">
        <v>2707</v>
      </c>
      <c r="C3085" s="138">
        <v>1.2</v>
      </c>
      <c r="D3085" s="138">
        <v>72</v>
      </c>
      <c r="E3085" s="138">
        <v>50</v>
      </c>
      <c r="F3085" s="139">
        <v>1.2</v>
      </c>
    </row>
    <row r="3086" spans="1:6" x14ac:dyDescent="0.25">
      <c r="A3086" s="110"/>
      <c r="B3086" s="125" t="s">
        <v>2707</v>
      </c>
      <c r="C3086" s="138">
        <v>1.2</v>
      </c>
      <c r="D3086" s="138">
        <v>72</v>
      </c>
      <c r="E3086" s="138">
        <v>50</v>
      </c>
      <c r="F3086" s="139">
        <v>1.2</v>
      </c>
    </row>
    <row r="3087" spans="1:6" x14ac:dyDescent="0.25">
      <c r="A3087" s="110"/>
      <c r="B3087" s="125" t="s">
        <v>2707</v>
      </c>
      <c r="C3087" s="138">
        <v>1.2</v>
      </c>
      <c r="D3087" s="138">
        <v>72</v>
      </c>
      <c r="E3087" s="138">
        <v>50</v>
      </c>
      <c r="F3087" s="139">
        <v>1.2</v>
      </c>
    </row>
    <row r="3088" spans="1:6" x14ac:dyDescent="0.25">
      <c r="A3088" s="110"/>
      <c r="B3088" s="125" t="s">
        <v>2708</v>
      </c>
      <c r="C3088" s="138">
        <v>1.2</v>
      </c>
      <c r="D3088" s="138">
        <v>72</v>
      </c>
      <c r="E3088" s="138">
        <v>50</v>
      </c>
      <c r="F3088" s="139">
        <v>1.2</v>
      </c>
    </row>
    <row r="3089" spans="1:6" x14ac:dyDescent="0.25">
      <c r="A3089" s="110"/>
      <c r="B3089" s="125" t="s">
        <v>2709</v>
      </c>
      <c r="C3089" s="138">
        <v>1.2</v>
      </c>
      <c r="D3089" s="138">
        <v>72</v>
      </c>
      <c r="E3089" s="138">
        <v>50</v>
      </c>
      <c r="F3089" s="139">
        <v>1.2</v>
      </c>
    </row>
    <row r="3090" spans="1:6" x14ac:dyDescent="0.25">
      <c r="A3090" s="110"/>
      <c r="B3090" s="125" t="s">
        <v>2709</v>
      </c>
      <c r="C3090" s="138">
        <v>1.2</v>
      </c>
      <c r="D3090" s="138">
        <v>72</v>
      </c>
      <c r="E3090" s="138">
        <v>50</v>
      </c>
      <c r="F3090" s="139">
        <v>1.2</v>
      </c>
    </row>
    <row r="3091" spans="1:6" x14ac:dyDescent="0.25">
      <c r="A3091" s="110"/>
      <c r="B3091" s="125" t="s">
        <v>2710</v>
      </c>
      <c r="C3091" s="138">
        <v>1.2</v>
      </c>
      <c r="D3091" s="138">
        <v>72</v>
      </c>
      <c r="E3091" s="138">
        <v>50</v>
      </c>
      <c r="F3091" s="139">
        <v>1.2</v>
      </c>
    </row>
    <row r="3092" spans="1:6" x14ac:dyDescent="0.25">
      <c r="A3092" s="110"/>
      <c r="B3092" s="125" t="s">
        <v>2711</v>
      </c>
      <c r="C3092" s="138">
        <v>1.2</v>
      </c>
      <c r="D3092" s="138">
        <v>72</v>
      </c>
      <c r="E3092" s="138">
        <v>50</v>
      </c>
      <c r="F3092" s="139">
        <v>1.2</v>
      </c>
    </row>
    <row r="3093" spans="1:6" x14ac:dyDescent="0.25">
      <c r="A3093" s="110"/>
      <c r="B3093" s="125" t="s">
        <v>2712</v>
      </c>
      <c r="C3093" s="138">
        <v>1.2</v>
      </c>
      <c r="D3093" s="138">
        <v>72</v>
      </c>
      <c r="E3093" s="138">
        <v>50</v>
      </c>
      <c r="F3093" s="139">
        <v>1.2</v>
      </c>
    </row>
    <row r="3094" spans="1:6" x14ac:dyDescent="0.25">
      <c r="A3094" s="110"/>
      <c r="B3094" s="125" t="s">
        <v>2713</v>
      </c>
      <c r="C3094" s="138">
        <v>1.2</v>
      </c>
      <c r="D3094" s="138">
        <v>72</v>
      </c>
      <c r="E3094" s="138">
        <v>50</v>
      </c>
      <c r="F3094" s="139">
        <v>1.2</v>
      </c>
    </row>
    <row r="3095" spans="1:6" x14ac:dyDescent="0.25">
      <c r="A3095" s="110"/>
      <c r="B3095" s="125" t="s">
        <v>2714</v>
      </c>
      <c r="C3095" s="138">
        <v>1.2</v>
      </c>
      <c r="D3095" s="138">
        <v>72</v>
      </c>
      <c r="E3095" s="138">
        <v>50</v>
      </c>
      <c r="F3095" s="139">
        <v>1.2</v>
      </c>
    </row>
    <row r="3096" spans="1:6" x14ac:dyDescent="0.25">
      <c r="A3096" s="110"/>
      <c r="B3096" s="125" t="s">
        <v>2715</v>
      </c>
      <c r="C3096" s="138">
        <v>1.2</v>
      </c>
      <c r="D3096" s="138">
        <v>72</v>
      </c>
      <c r="E3096" s="138">
        <v>50</v>
      </c>
      <c r="F3096" s="139">
        <v>1.2</v>
      </c>
    </row>
    <row r="3097" spans="1:6" x14ac:dyDescent="0.25">
      <c r="A3097" s="110"/>
      <c r="B3097" s="125" t="s">
        <v>2715</v>
      </c>
      <c r="C3097" s="138">
        <v>1.2</v>
      </c>
      <c r="D3097" s="138">
        <v>72</v>
      </c>
      <c r="E3097" s="138">
        <v>50</v>
      </c>
      <c r="F3097" s="139">
        <v>1.2</v>
      </c>
    </row>
    <row r="3098" spans="1:6" x14ac:dyDescent="0.25">
      <c r="A3098" s="110"/>
      <c r="B3098" s="125" t="s">
        <v>2716</v>
      </c>
      <c r="C3098" s="138">
        <v>1.2</v>
      </c>
      <c r="D3098" s="138">
        <v>72</v>
      </c>
      <c r="E3098" s="138">
        <v>50</v>
      </c>
      <c r="F3098" s="139">
        <v>1.2</v>
      </c>
    </row>
    <row r="3099" spans="1:6" x14ac:dyDescent="0.25">
      <c r="A3099" s="110"/>
      <c r="B3099" s="125" t="s">
        <v>2716</v>
      </c>
      <c r="C3099" s="138">
        <v>1.2</v>
      </c>
      <c r="D3099" s="138">
        <v>72</v>
      </c>
      <c r="E3099" s="138">
        <v>50</v>
      </c>
      <c r="F3099" s="139">
        <v>1.2</v>
      </c>
    </row>
    <row r="3100" spans="1:6" x14ac:dyDescent="0.25">
      <c r="A3100" s="110"/>
      <c r="B3100" s="125" t="s">
        <v>2717</v>
      </c>
      <c r="C3100" s="138">
        <v>1.2</v>
      </c>
      <c r="D3100" s="138">
        <v>72</v>
      </c>
      <c r="E3100" s="138">
        <v>50</v>
      </c>
      <c r="F3100" s="139">
        <v>1.2</v>
      </c>
    </row>
    <row r="3101" spans="1:6" x14ac:dyDescent="0.25">
      <c r="A3101" s="110"/>
      <c r="B3101" s="125" t="s">
        <v>2718</v>
      </c>
      <c r="C3101" s="138">
        <v>1.03</v>
      </c>
      <c r="D3101" s="138">
        <v>61.800000000000004</v>
      </c>
      <c r="E3101" s="138">
        <v>58.252427184466015</v>
      </c>
      <c r="F3101" s="139">
        <v>1.03</v>
      </c>
    </row>
    <row r="3102" spans="1:6" x14ac:dyDescent="0.25">
      <c r="A3102" s="110"/>
      <c r="B3102" s="125" t="s">
        <v>2719</v>
      </c>
      <c r="C3102" s="138">
        <v>1.03</v>
      </c>
      <c r="D3102" s="138">
        <v>61.800000000000004</v>
      </c>
      <c r="E3102" s="138">
        <v>58.252427184466015</v>
      </c>
      <c r="F3102" s="139">
        <v>1.03</v>
      </c>
    </row>
    <row r="3103" spans="1:6" x14ac:dyDescent="0.25">
      <c r="A3103" s="110"/>
      <c r="B3103" s="125" t="s">
        <v>2720</v>
      </c>
      <c r="C3103" s="138">
        <v>1.03</v>
      </c>
      <c r="D3103" s="138">
        <v>61.800000000000004</v>
      </c>
      <c r="E3103" s="138">
        <v>58.252427184466015</v>
      </c>
      <c r="F3103" s="139">
        <v>1.03</v>
      </c>
    </row>
    <row r="3104" spans="1:6" x14ac:dyDescent="0.25">
      <c r="A3104" s="110"/>
      <c r="B3104" s="125" t="s">
        <v>2719</v>
      </c>
      <c r="C3104" s="138">
        <v>1.58</v>
      </c>
      <c r="D3104" s="138">
        <v>94.800000000000011</v>
      </c>
      <c r="E3104" s="138">
        <v>37.974683544303794</v>
      </c>
      <c r="F3104" s="139">
        <v>1.58</v>
      </c>
    </row>
    <row r="3105" spans="1:6" x14ac:dyDescent="0.25">
      <c r="A3105" s="110"/>
      <c r="B3105" s="125" t="s">
        <v>2721</v>
      </c>
      <c r="C3105" s="138">
        <v>1.03</v>
      </c>
      <c r="D3105" s="138">
        <v>61.800000000000004</v>
      </c>
      <c r="E3105" s="138">
        <v>58.252427184466015</v>
      </c>
      <c r="F3105" s="139">
        <v>1.03</v>
      </c>
    </row>
    <row r="3106" spans="1:6" x14ac:dyDescent="0.25">
      <c r="A3106" s="110"/>
      <c r="B3106" s="125" t="s">
        <v>2722</v>
      </c>
      <c r="C3106" s="138">
        <v>1.03</v>
      </c>
      <c r="D3106" s="138">
        <v>61.800000000000004</v>
      </c>
      <c r="E3106" s="138">
        <v>58.252427184466015</v>
      </c>
      <c r="F3106" s="139">
        <v>1.03</v>
      </c>
    </row>
    <row r="3107" spans="1:6" x14ac:dyDescent="0.25">
      <c r="A3107" s="110"/>
      <c r="B3107" s="125" t="s">
        <v>2723</v>
      </c>
      <c r="C3107" s="138">
        <v>1.03</v>
      </c>
      <c r="D3107" s="138">
        <v>61.800000000000004</v>
      </c>
      <c r="E3107" s="138">
        <v>58.252427184466015</v>
      </c>
      <c r="F3107" s="139">
        <v>1.03</v>
      </c>
    </row>
    <row r="3108" spans="1:6" x14ac:dyDescent="0.25">
      <c r="A3108" s="110"/>
      <c r="B3108" s="125" t="s">
        <v>2724</v>
      </c>
      <c r="C3108" s="138">
        <v>1.03</v>
      </c>
      <c r="D3108" s="138">
        <v>61.800000000000004</v>
      </c>
      <c r="E3108" s="138">
        <v>58.252427184466015</v>
      </c>
      <c r="F3108" s="139">
        <v>1.03</v>
      </c>
    </row>
    <row r="3109" spans="1:6" x14ac:dyDescent="0.25">
      <c r="A3109" s="110"/>
      <c r="B3109" s="125" t="s">
        <v>2725</v>
      </c>
      <c r="C3109" s="138">
        <v>1.03</v>
      </c>
      <c r="D3109" s="138">
        <v>61.800000000000004</v>
      </c>
      <c r="E3109" s="138">
        <v>58.252427184466015</v>
      </c>
      <c r="F3109" s="139">
        <v>1.03</v>
      </c>
    </row>
    <row r="3110" spans="1:6" x14ac:dyDescent="0.25">
      <c r="A3110" s="110"/>
      <c r="B3110" s="125" t="s">
        <v>2725</v>
      </c>
      <c r="C3110" s="138">
        <v>1.03</v>
      </c>
      <c r="D3110" s="138">
        <v>61.800000000000004</v>
      </c>
      <c r="E3110" s="138">
        <v>58.252427184466015</v>
      </c>
      <c r="F3110" s="139">
        <v>1.03</v>
      </c>
    </row>
    <row r="3111" spans="1:6" x14ac:dyDescent="0.25">
      <c r="A3111" s="110"/>
      <c r="B3111" s="125" t="s">
        <v>2723</v>
      </c>
      <c r="C3111" s="138">
        <v>1.03</v>
      </c>
      <c r="D3111" s="138">
        <v>61.800000000000004</v>
      </c>
      <c r="E3111" s="138">
        <v>58.252427184466015</v>
      </c>
      <c r="F3111" s="139">
        <v>1.03</v>
      </c>
    </row>
    <row r="3112" spans="1:6" x14ac:dyDescent="0.25">
      <c r="A3112" s="110"/>
      <c r="B3112" s="125" t="s">
        <v>2726</v>
      </c>
      <c r="C3112" s="138">
        <v>1.03</v>
      </c>
      <c r="D3112" s="138">
        <v>61.800000000000004</v>
      </c>
      <c r="E3112" s="138">
        <v>58.252427184466015</v>
      </c>
      <c r="F3112" s="139">
        <v>1.03</v>
      </c>
    </row>
    <row r="3113" spans="1:6" x14ac:dyDescent="0.25">
      <c r="A3113" s="110"/>
      <c r="B3113" s="125" t="s">
        <v>2727</v>
      </c>
      <c r="C3113" s="138">
        <v>1.03</v>
      </c>
      <c r="D3113" s="138">
        <v>61.800000000000004</v>
      </c>
      <c r="E3113" s="138">
        <v>58.252427184466015</v>
      </c>
      <c r="F3113" s="139">
        <v>1.03</v>
      </c>
    </row>
    <row r="3114" spans="1:6" x14ac:dyDescent="0.25">
      <c r="A3114" s="110"/>
      <c r="B3114" s="125" t="s">
        <v>2728</v>
      </c>
      <c r="C3114" s="138">
        <v>1.03</v>
      </c>
      <c r="D3114" s="138">
        <v>61.800000000000004</v>
      </c>
      <c r="E3114" s="138">
        <v>58.252427184466015</v>
      </c>
      <c r="F3114" s="139">
        <v>1.03</v>
      </c>
    </row>
    <row r="3115" spans="1:6" x14ac:dyDescent="0.25">
      <c r="A3115" s="110"/>
      <c r="B3115" s="125" t="s">
        <v>2728</v>
      </c>
      <c r="C3115" s="138">
        <v>1.03</v>
      </c>
      <c r="D3115" s="138">
        <v>61.800000000000004</v>
      </c>
      <c r="E3115" s="138">
        <v>58.252427184466015</v>
      </c>
      <c r="F3115" s="139">
        <v>1.03</v>
      </c>
    </row>
    <row r="3116" spans="1:6" x14ac:dyDescent="0.25">
      <c r="A3116" s="110"/>
      <c r="B3116" s="125" t="s">
        <v>2727</v>
      </c>
      <c r="C3116" s="138">
        <v>1.03</v>
      </c>
      <c r="D3116" s="138">
        <v>61.800000000000004</v>
      </c>
      <c r="E3116" s="138">
        <v>58.252427184466015</v>
      </c>
      <c r="F3116" s="139">
        <v>1.03</v>
      </c>
    </row>
    <row r="3117" spans="1:6" x14ac:dyDescent="0.25">
      <c r="A3117" s="110"/>
      <c r="B3117" s="125" t="s">
        <v>2729</v>
      </c>
      <c r="C3117" s="138">
        <v>1.03</v>
      </c>
      <c r="D3117" s="138">
        <v>61.800000000000004</v>
      </c>
      <c r="E3117" s="138">
        <v>58.252427184466015</v>
      </c>
      <c r="F3117" s="139">
        <v>1.03</v>
      </c>
    </row>
    <row r="3118" spans="1:6" x14ac:dyDescent="0.25">
      <c r="A3118" s="110"/>
      <c r="B3118" s="125" t="s">
        <v>2730</v>
      </c>
      <c r="C3118" s="138">
        <v>1.03</v>
      </c>
      <c r="D3118" s="138">
        <v>61.800000000000004</v>
      </c>
      <c r="E3118" s="138">
        <v>58.252427184466015</v>
      </c>
      <c r="F3118" s="139">
        <v>1.03</v>
      </c>
    </row>
    <row r="3119" spans="1:6" x14ac:dyDescent="0.25">
      <c r="A3119" s="110"/>
      <c r="B3119" s="125" t="s">
        <v>2731</v>
      </c>
      <c r="C3119" s="138">
        <v>1.03</v>
      </c>
      <c r="D3119" s="138">
        <v>61.800000000000004</v>
      </c>
      <c r="E3119" s="138">
        <v>58.252427184466015</v>
      </c>
      <c r="F3119" s="139">
        <v>1.03</v>
      </c>
    </row>
    <row r="3120" spans="1:6" x14ac:dyDescent="0.25">
      <c r="A3120" s="110"/>
      <c r="B3120" s="125" t="s">
        <v>2732</v>
      </c>
      <c r="C3120" s="138">
        <v>1.03</v>
      </c>
      <c r="D3120" s="138">
        <v>61.800000000000004</v>
      </c>
      <c r="E3120" s="138">
        <v>58.252427184466015</v>
      </c>
      <c r="F3120" s="139">
        <v>1.03</v>
      </c>
    </row>
    <row r="3121" spans="1:6" x14ac:dyDescent="0.25">
      <c r="A3121" s="110"/>
      <c r="B3121" s="125" t="s">
        <v>2733</v>
      </c>
      <c r="C3121" s="138">
        <v>1.03</v>
      </c>
      <c r="D3121" s="138">
        <v>61.800000000000004</v>
      </c>
      <c r="E3121" s="138">
        <v>58.252427184466015</v>
      </c>
      <c r="F3121" s="139">
        <v>1.03</v>
      </c>
    </row>
    <row r="3122" spans="1:6" x14ac:dyDescent="0.25">
      <c r="A3122" s="110"/>
      <c r="B3122" s="125" t="s">
        <v>2734</v>
      </c>
      <c r="C3122" s="138">
        <v>1.03</v>
      </c>
      <c r="D3122" s="138">
        <v>61.800000000000004</v>
      </c>
      <c r="E3122" s="138">
        <v>58.252427184466015</v>
      </c>
      <c r="F3122" s="139">
        <v>1.03</v>
      </c>
    </row>
    <row r="3123" spans="1:6" x14ac:dyDescent="0.25">
      <c r="A3123" s="110"/>
      <c r="B3123" s="125" t="s">
        <v>2735</v>
      </c>
      <c r="C3123" s="138">
        <v>1.03</v>
      </c>
      <c r="D3123" s="138">
        <v>61.800000000000004</v>
      </c>
      <c r="E3123" s="138">
        <v>58.252427184466015</v>
      </c>
      <c r="F3123" s="139">
        <v>1.03</v>
      </c>
    </row>
    <row r="3124" spans="1:6" x14ac:dyDescent="0.25">
      <c r="A3124" s="110"/>
      <c r="B3124" s="125" t="s">
        <v>2736</v>
      </c>
      <c r="C3124" s="138">
        <v>0.97</v>
      </c>
      <c r="D3124" s="138">
        <v>58.199999999999996</v>
      </c>
      <c r="E3124" s="138">
        <v>61.855670103092791</v>
      </c>
      <c r="F3124" s="139">
        <v>0.97</v>
      </c>
    </row>
    <row r="3125" spans="1:6" x14ac:dyDescent="0.25">
      <c r="A3125" s="110"/>
      <c r="B3125" s="125" t="s">
        <v>2737</v>
      </c>
      <c r="C3125" s="138">
        <v>0.97</v>
      </c>
      <c r="D3125" s="138">
        <v>58.199999999999996</v>
      </c>
      <c r="E3125" s="138">
        <v>61.855670103092791</v>
      </c>
      <c r="F3125" s="139">
        <v>0.97</v>
      </c>
    </row>
    <row r="3126" spans="1:6" x14ac:dyDescent="0.25">
      <c r="A3126" s="110"/>
      <c r="B3126" s="125" t="s">
        <v>2737</v>
      </c>
      <c r="C3126" s="138">
        <v>0.97</v>
      </c>
      <c r="D3126" s="138">
        <v>58.199999999999996</v>
      </c>
      <c r="E3126" s="138">
        <v>61.855670103092791</v>
      </c>
      <c r="F3126" s="139">
        <v>0.97</v>
      </c>
    </row>
    <row r="3127" spans="1:6" x14ac:dyDescent="0.25">
      <c r="A3127" s="110"/>
      <c r="B3127" s="125" t="s">
        <v>2738</v>
      </c>
      <c r="C3127" s="138">
        <v>0.97</v>
      </c>
      <c r="D3127" s="138">
        <v>58.199999999999996</v>
      </c>
      <c r="E3127" s="138">
        <v>61.855670103092791</v>
      </c>
      <c r="F3127" s="139">
        <v>0.97</v>
      </c>
    </row>
    <row r="3128" spans="1:6" x14ac:dyDescent="0.25">
      <c r="A3128" s="110"/>
      <c r="B3128" s="125" t="s">
        <v>2739</v>
      </c>
      <c r="C3128" s="138">
        <v>0.97</v>
      </c>
      <c r="D3128" s="138">
        <v>58.199999999999996</v>
      </c>
      <c r="E3128" s="138">
        <v>61.855670103092791</v>
      </c>
      <c r="F3128" s="139">
        <v>0.97</v>
      </c>
    </row>
    <row r="3129" spans="1:6" x14ac:dyDescent="0.25">
      <c r="A3129" s="110"/>
      <c r="B3129" s="125" t="s">
        <v>2740</v>
      </c>
      <c r="C3129" s="138">
        <v>0.97</v>
      </c>
      <c r="D3129" s="138">
        <v>58.199999999999996</v>
      </c>
      <c r="E3129" s="138">
        <v>61.855670103092791</v>
      </c>
      <c r="F3129" s="139">
        <v>0.97</v>
      </c>
    </row>
    <row r="3130" spans="1:6" x14ac:dyDescent="0.25">
      <c r="A3130" s="110"/>
      <c r="B3130" s="125" t="s">
        <v>2741</v>
      </c>
      <c r="C3130" s="138">
        <v>0.97</v>
      </c>
      <c r="D3130" s="138">
        <v>58.199999999999996</v>
      </c>
      <c r="E3130" s="138">
        <v>61.855670103092791</v>
      </c>
      <c r="F3130" s="139">
        <v>0.97</v>
      </c>
    </row>
    <row r="3131" spans="1:6" x14ac:dyDescent="0.25">
      <c r="A3131" s="110"/>
      <c r="B3131" s="125" t="s">
        <v>2742</v>
      </c>
      <c r="C3131" s="138">
        <v>0.97</v>
      </c>
      <c r="D3131" s="138">
        <v>58.199999999999996</v>
      </c>
      <c r="E3131" s="138">
        <v>61.855670103092791</v>
      </c>
      <c r="F3131" s="139">
        <v>0.97</v>
      </c>
    </row>
    <row r="3132" spans="1:6" x14ac:dyDescent="0.25">
      <c r="A3132" s="110"/>
      <c r="B3132" s="125" t="s">
        <v>2743</v>
      </c>
      <c r="C3132" s="138">
        <v>0.97</v>
      </c>
      <c r="D3132" s="138">
        <v>58.199999999999996</v>
      </c>
      <c r="E3132" s="138">
        <v>61.855670103092791</v>
      </c>
      <c r="F3132" s="139">
        <v>0.97</v>
      </c>
    </row>
    <row r="3133" spans="1:6" x14ac:dyDescent="0.25">
      <c r="A3133" s="110"/>
      <c r="B3133" s="125" t="s">
        <v>2744</v>
      </c>
      <c r="C3133" s="138">
        <v>0.97</v>
      </c>
      <c r="D3133" s="138">
        <v>58.199999999999996</v>
      </c>
      <c r="E3133" s="138">
        <v>61.855670103092791</v>
      </c>
      <c r="F3133" s="139">
        <v>0.97</v>
      </c>
    </row>
    <row r="3134" spans="1:6" x14ac:dyDescent="0.25">
      <c r="A3134" s="110"/>
      <c r="B3134" s="125" t="s">
        <v>2745</v>
      </c>
      <c r="C3134" s="138">
        <v>1</v>
      </c>
      <c r="D3134" s="138">
        <v>60</v>
      </c>
      <c r="E3134" s="138">
        <v>60</v>
      </c>
      <c r="F3134" s="139">
        <v>1</v>
      </c>
    </row>
    <row r="3135" spans="1:6" x14ac:dyDescent="0.25">
      <c r="A3135" s="110"/>
      <c r="B3135" s="125" t="s">
        <v>2746</v>
      </c>
      <c r="C3135" s="138">
        <v>1</v>
      </c>
      <c r="D3135" s="138">
        <v>60</v>
      </c>
      <c r="E3135" s="138">
        <v>60</v>
      </c>
      <c r="F3135" s="139">
        <v>1</v>
      </c>
    </row>
    <row r="3136" spans="1:6" x14ac:dyDescent="0.25">
      <c r="A3136" s="110"/>
      <c r="B3136" s="125" t="s">
        <v>2747</v>
      </c>
      <c r="C3136" s="138">
        <v>1</v>
      </c>
      <c r="D3136" s="138">
        <v>60</v>
      </c>
      <c r="E3136" s="138">
        <v>60</v>
      </c>
      <c r="F3136" s="139">
        <v>1</v>
      </c>
    </row>
    <row r="3137" spans="1:6" x14ac:dyDescent="0.25">
      <c r="A3137" s="110"/>
      <c r="B3137" s="125" t="s">
        <v>2748</v>
      </c>
      <c r="C3137" s="138">
        <v>1</v>
      </c>
      <c r="D3137" s="138">
        <v>60</v>
      </c>
      <c r="E3137" s="138">
        <v>60</v>
      </c>
      <c r="F3137" s="139">
        <v>1</v>
      </c>
    </row>
    <row r="3138" spans="1:6" x14ac:dyDescent="0.25">
      <c r="A3138" s="110"/>
      <c r="B3138" s="125" t="s">
        <v>2748</v>
      </c>
      <c r="C3138" s="138">
        <v>1</v>
      </c>
      <c r="D3138" s="138">
        <v>60</v>
      </c>
      <c r="E3138" s="138">
        <v>60</v>
      </c>
      <c r="F3138" s="139">
        <v>1</v>
      </c>
    </row>
    <row r="3139" spans="1:6" x14ac:dyDescent="0.25">
      <c r="A3139" s="110"/>
      <c r="B3139" s="125" t="s">
        <v>2749</v>
      </c>
      <c r="C3139" s="138">
        <v>1</v>
      </c>
      <c r="D3139" s="138">
        <v>60</v>
      </c>
      <c r="E3139" s="138">
        <v>60</v>
      </c>
      <c r="F3139" s="139">
        <v>1</v>
      </c>
    </row>
    <row r="3140" spans="1:6" x14ac:dyDescent="0.25">
      <c r="A3140" s="110"/>
      <c r="B3140" s="125" t="s">
        <v>2750</v>
      </c>
      <c r="C3140" s="138">
        <v>1</v>
      </c>
      <c r="D3140" s="138">
        <v>60</v>
      </c>
      <c r="E3140" s="138">
        <v>60</v>
      </c>
      <c r="F3140" s="139">
        <v>1</v>
      </c>
    </row>
    <row r="3141" spans="1:6" x14ac:dyDescent="0.25">
      <c r="A3141" s="110"/>
      <c r="B3141" s="125" t="s">
        <v>2751</v>
      </c>
      <c r="C3141" s="138">
        <v>1</v>
      </c>
      <c r="D3141" s="138">
        <v>60</v>
      </c>
      <c r="E3141" s="138">
        <v>60</v>
      </c>
      <c r="F3141" s="139">
        <v>1</v>
      </c>
    </row>
    <row r="3142" spans="1:6" x14ac:dyDescent="0.25">
      <c r="A3142" s="110"/>
      <c r="B3142" s="125" t="s">
        <v>2752</v>
      </c>
      <c r="C3142" s="138">
        <v>1</v>
      </c>
      <c r="D3142" s="138">
        <v>60</v>
      </c>
      <c r="E3142" s="138">
        <v>60</v>
      </c>
      <c r="F3142" s="139">
        <v>1</v>
      </c>
    </row>
    <row r="3143" spans="1:6" x14ac:dyDescent="0.25">
      <c r="A3143" s="110"/>
      <c r="B3143" s="125" t="s">
        <v>2753</v>
      </c>
      <c r="C3143" s="138">
        <v>3</v>
      </c>
      <c r="D3143" s="138">
        <v>180</v>
      </c>
      <c r="E3143" s="138">
        <v>20</v>
      </c>
      <c r="F3143" s="139">
        <v>3</v>
      </c>
    </row>
    <row r="3144" spans="1:6" x14ac:dyDescent="0.25">
      <c r="A3144" s="110"/>
      <c r="B3144" s="125" t="s">
        <v>2753</v>
      </c>
      <c r="C3144" s="138">
        <v>3</v>
      </c>
      <c r="D3144" s="138">
        <v>180</v>
      </c>
      <c r="E3144" s="138">
        <v>20</v>
      </c>
      <c r="F3144" s="139">
        <v>3</v>
      </c>
    </row>
    <row r="3145" spans="1:6" x14ac:dyDescent="0.25">
      <c r="A3145" s="110"/>
      <c r="B3145" s="125" t="s">
        <v>2753</v>
      </c>
      <c r="C3145" s="138">
        <v>3</v>
      </c>
      <c r="D3145" s="138">
        <v>180</v>
      </c>
      <c r="E3145" s="138">
        <v>20</v>
      </c>
      <c r="F3145" s="139">
        <v>3</v>
      </c>
    </row>
    <row r="3146" spans="1:6" x14ac:dyDescent="0.25">
      <c r="A3146" s="110"/>
      <c r="B3146" s="125" t="s">
        <v>2753</v>
      </c>
      <c r="C3146" s="138">
        <v>3</v>
      </c>
      <c r="D3146" s="138">
        <v>180</v>
      </c>
      <c r="E3146" s="138">
        <v>20</v>
      </c>
      <c r="F3146" s="139">
        <v>3</v>
      </c>
    </row>
    <row r="3147" spans="1:6" x14ac:dyDescent="0.25">
      <c r="A3147" s="110"/>
      <c r="B3147" s="125" t="s">
        <v>2754</v>
      </c>
      <c r="C3147" s="138">
        <v>3</v>
      </c>
      <c r="D3147" s="138">
        <v>180</v>
      </c>
      <c r="E3147" s="138">
        <v>20</v>
      </c>
      <c r="F3147" s="139">
        <v>3</v>
      </c>
    </row>
    <row r="3148" spans="1:6" x14ac:dyDescent="0.25">
      <c r="A3148" s="110"/>
      <c r="B3148" s="125" t="s">
        <v>2754</v>
      </c>
      <c r="C3148" s="138">
        <v>3</v>
      </c>
      <c r="D3148" s="138">
        <v>180</v>
      </c>
      <c r="E3148" s="138">
        <v>20</v>
      </c>
      <c r="F3148" s="139">
        <v>3</v>
      </c>
    </row>
    <row r="3149" spans="1:6" x14ac:dyDescent="0.25">
      <c r="A3149" s="110"/>
      <c r="B3149" s="125" t="s">
        <v>2754</v>
      </c>
      <c r="C3149" s="138">
        <v>3</v>
      </c>
      <c r="D3149" s="138">
        <v>180</v>
      </c>
      <c r="E3149" s="138">
        <v>20</v>
      </c>
      <c r="F3149" s="139">
        <v>3</v>
      </c>
    </row>
    <row r="3150" spans="1:6" x14ac:dyDescent="0.25">
      <c r="A3150" s="110"/>
      <c r="B3150" s="125" t="s">
        <v>2754</v>
      </c>
      <c r="C3150" s="138">
        <v>3</v>
      </c>
      <c r="D3150" s="138">
        <v>180</v>
      </c>
      <c r="E3150" s="138">
        <v>20</v>
      </c>
      <c r="F3150" s="139">
        <v>3</v>
      </c>
    </row>
    <row r="3151" spans="1:6" x14ac:dyDescent="0.25">
      <c r="A3151" s="110"/>
      <c r="B3151" s="125" t="s">
        <v>2755</v>
      </c>
      <c r="C3151" s="138">
        <v>2.4</v>
      </c>
      <c r="D3151" s="138">
        <v>144</v>
      </c>
      <c r="E3151" s="138">
        <v>25</v>
      </c>
      <c r="F3151" s="139">
        <v>2.4</v>
      </c>
    </row>
    <row r="3152" spans="1:6" x14ac:dyDescent="0.25">
      <c r="A3152" s="110"/>
      <c r="B3152" s="125" t="s">
        <v>2756</v>
      </c>
      <c r="C3152" s="138">
        <v>2.4</v>
      </c>
      <c r="D3152" s="138">
        <v>144</v>
      </c>
      <c r="E3152" s="138">
        <v>25</v>
      </c>
      <c r="F3152" s="139">
        <v>2.4</v>
      </c>
    </row>
    <row r="3153" spans="1:6" x14ac:dyDescent="0.25">
      <c r="A3153" s="110"/>
      <c r="B3153" s="125" t="s">
        <v>2757</v>
      </c>
      <c r="C3153" s="138">
        <v>4.29</v>
      </c>
      <c r="D3153" s="138">
        <v>257.39999999999998</v>
      </c>
      <c r="E3153" s="138">
        <v>13.986013986013987</v>
      </c>
      <c r="F3153" s="139">
        <v>4.29</v>
      </c>
    </row>
    <row r="3154" spans="1:6" x14ac:dyDescent="0.25">
      <c r="A3154" s="110"/>
      <c r="B3154" s="125" t="s">
        <v>2757</v>
      </c>
      <c r="C3154" s="138">
        <v>4.29</v>
      </c>
      <c r="D3154" s="138">
        <v>257.39999999999998</v>
      </c>
      <c r="E3154" s="138">
        <v>13.986013986013987</v>
      </c>
      <c r="F3154" s="139">
        <v>4.29</v>
      </c>
    </row>
    <row r="3155" spans="1:6" x14ac:dyDescent="0.25">
      <c r="A3155" s="110"/>
      <c r="B3155" s="125" t="s">
        <v>2758</v>
      </c>
      <c r="C3155" s="138">
        <v>4.29</v>
      </c>
      <c r="D3155" s="138">
        <v>257.39999999999998</v>
      </c>
      <c r="E3155" s="138">
        <v>13.986013986013987</v>
      </c>
      <c r="F3155" s="139">
        <v>4.29</v>
      </c>
    </row>
    <row r="3156" spans="1:6" x14ac:dyDescent="0.25">
      <c r="A3156" s="110"/>
      <c r="B3156" s="125" t="s">
        <v>2758</v>
      </c>
      <c r="C3156" s="138">
        <v>4.29</v>
      </c>
      <c r="D3156" s="138">
        <v>257.39999999999998</v>
      </c>
      <c r="E3156" s="138">
        <v>13.986013986013987</v>
      </c>
      <c r="F3156" s="139">
        <v>4.29</v>
      </c>
    </row>
    <row r="3157" spans="1:6" x14ac:dyDescent="0.25">
      <c r="A3157" s="110"/>
      <c r="B3157" s="125" t="s">
        <v>2759</v>
      </c>
      <c r="C3157" s="138">
        <v>1.58</v>
      </c>
      <c r="D3157" s="138">
        <v>94.800000000000011</v>
      </c>
      <c r="E3157" s="138">
        <v>37.974683544303794</v>
      </c>
      <c r="F3157" s="139">
        <v>1.58</v>
      </c>
    </row>
    <row r="3158" spans="1:6" x14ac:dyDescent="0.25">
      <c r="A3158" s="110"/>
      <c r="B3158" s="125" t="s">
        <v>2760</v>
      </c>
      <c r="C3158" s="138">
        <v>1.58</v>
      </c>
      <c r="D3158" s="138">
        <v>94.800000000000011</v>
      </c>
      <c r="E3158" s="138">
        <v>37.974683544303794</v>
      </c>
      <c r="F3158" s="139">
        <v>1.58</v>
      </c>
    </row>
    <row r="3159" spans="1:6" x14ac:dyDescent="0.25">
      <c r="A3159" s="110"/>
      <c r="B3159" s="125" t="s">
        <v>2761</v>
      </c>
      <c r="C3159" s="138">
        <v>1.58</v>
      </c>
      <c r="D3159" s="138">
        <v>94.800000000000011</v>
      </c>
      <c r="E3159" s="138">
        <v>37.974683544303794</v>
      </c>
      <c r="F3159" s="139">
        <v>1.58</v>
      </c>
    </row>
    <row r="3160" spans="1:6" x14ac:dyDescent="0.25">
      <c r="A3160" s="110"/>
      <c r="B3160" s="125" t="s">
        <v>2761</v>
      </c>
      <c r="C3160" s="138">
        <v>1.58</v>
      </c>
      <c r="D3160" s="138">
        <v>94.800000000000011</v>
      </c>
      <c r="E3160" s="138">
        <v>37.974683544303794</v>
      </c>
      <c r="F3160" s="139">
        <v>1.58</v>
      </c>
    </row>
    <row r="3161" spans="1:6" x14ac:dyDescent="0.25">
      <c r="A3161" s="110"/>
      <c r="B3161" s="125" t="s">
        <v>2762</v>
      </c>
      <c r="C3161" s="138">
        <v>1.58</v>
      </c>
      <c r="D3161" s="138">
        <v>94.800000000000011</v>
      </c>
      <c r="E3161" s="138">
        <v>37.974683544303794</v>
      </c>
      <c r="F3161" s="139">
        <v>1.58</v>
      </c>
    </row>
    <row r="3162" spans="1:6" x14ac:dyDescent="0.25">
      <c r="A3162" s="110"/>
      <c r="B3162" s="125" t="s">
        <v>2763</v>
      </c>
      <c r="C3162" s="138">
        <v>1.58</v>
      </c>
      <c r="D3162" s="138">
        <v>94.800000000000011</v>
      </c>
      <c r="E3162" s="138">
        <v>37.974683544303794</v>
      </c>
      <c r="F3162" s="139">
        <v>1.58</v>
      </c>
    </row>
    <row r="3163" spans="1:6" x14ac:dyDescent="0.25">
      <c r="A3163" s="110"/>
      <c r="B3163" s="125" t="s">
        <v>2764</v>
      </c>
      <c r="C3163" s="138">
        <v>1.58</v>
      </c>
      <c r="D3163" s="138">
        <v>94.800000000000011</v>
      </c>
      <c r="E3163" s="138">
        <v>37.974683544303794</v>
      </c>
      <c r="F3163" s="139">
        <v>1.58</v>
      </c>
    </row>
    <row r="3164" spans="1:6" x14ac:dyDescent="0.25">
      <c r="A3164" s="110"/>
      <c r="B3164" s="125" t="s">
        <v>2765</v>
      </c>
      <c r="C3164" s="138">
        <v>1.58</v>
      </c>
      <c r="D3164" s="138">
        <v>94.800000000000011</v>
      </c>
      <c r="E3164" s="138">
        <v>37.974683544303794</v>
      </c>
      <c r="F3164" s="139">
        <v>1.58</v>
      </c>
    </row>
    <row r="3165" spans="1:6" x14ac:dyDescent="0.25">
      <c r="A3165" s="110"/>
      <c r="B3165" s="125" t="s">
        <v>2766</v>
      </c>
      <c r="C3165" s="138">
        <v>1.58</v>
      </c>
      <c r="D3165" s="138">
        <v>94.800000000000011</v>
      </c>
      <c r="E3165" s="138">
        <v>37.974683544303794</v>
      </c>
      <c r="F3165" s="139">
        <v>1.58</v>
      </c>
    </row>
    <row r="3166" spans="1:6" x14ac:dyDescent="0.25">
      <c r="A3166" s="110"/>
      <c r="B3166" s="125" t="s">
        <v>2767</v>
      </c>
      <c r="C3166" s="138">
        <v>1.58</v>
      </c>
      <c r="D3166" s="138">
        <v>94.800000000000011</v>
      </c>
      <c r="E3166" s="138">
        <v>37.974683544303794</v>
      </c>
      <c r="F3166" s="139">
        <v>1.58</v>
      </c>
    </row>
    <row r="3167" spans="1:6" x14ac:dyDescent="0.25">
      <c r="A3167" s="110"/>
      <c r="B3167" s="125" t="s">
        <v>2767</v>
      </c>
      <c r="C3167" s="138">
        <v>1.58</v>
      </c>
      <c r="D3167" s="138">
        <v>94.800000000000011</v>
      </c>
      <c r="E3167" s="138">
        <v>37.974683544303794</v>
      </c>
      <c r="F3167" s="139">
        <v>1.58</v>
      </c>
    </row>
    <row r="3168" spans="1:6" x14ac:dyDescent="0.25">
      <c r="A3168" s="110"/>
      <c r="B3168" s="125" t="s">
        <v>2768</v>
      </c>
      <c r="C3168" s="138">
        <v>1.58</v>
      </c>
      <c r="D3168" s="138">
        <v>94.800000000000011</v>
      </c>
      <c r="E3168" s="138">
        <v>37.974683544303794</v>
      </c>
      <c r="F3168" s="139">
        <v>1.58</v>
      </c>
    </row>
    <row r="3169" spans="1:6" x14ac:dyDescent="0.25">
      <c r="A3169" s="110"/>
      <c r="B3169" s="125" t="s">
        <v>2768</v>
      </c>
      <c r="C3169" s="138">
        <v>1.58</v>
      </c>
      <c r="D3169" s="138">
        <v>94.800000000000011</v>
      </c>
      <c r="E3169" s="138">
        <v>37.974683544303794</v>
      </c>
      <c r="F3169" s="139">
        <v>1.58</v>
      </c>
    </row>
    <row r="3170" spans="1:6" x14ac:dyDescent="0.25">
      <c r="A3170" s="110"/>
      <c r="B3170" s="125" t="s">
        <v>2769</v>
      </c>
      <c r="C3170" s="138">
        <v>1.58</v>
      </c>
      <c r="D3170" s="138">
        <v>94.800000000000011</v>
      </c>
      <c r="E3170" s="138">
        <v>37.974683544303794</v>
      </c>
      <c r="F3170" s="139">
        <v>1.58</v>
      </c>
    </row>
    <row r="3171" spans="1:6" x14ac:dyDescent="0.25">
      <c r="A3171" s="110"/>
      <c r="B3171" s="125" t="s">
        <v>2769</v>
      </c>
      <c r="C3171" s="138">
        <v>1.58</v>
      </c>
      <c r="D3171" s="138">
        <v>94.800000000000011</v>
      </c>
      <c r="E3171" s="138">
        <v>37.974683544303794</v>
      </c>
      <c r="F3171" s="139">
        <v>1.58</v>
      </c>
    </row>
    <row r="3172" spans="1:6" x14ac:dyDescent="0.25">
      <c r="A3172" s="110"/>
      <c r="B3172" s="125" t="s">
        <v>2770</v>
      </c>
      <c r="C3172" s="138">
        <v>1.58</v>
      </c>
      <c r="D3172" s="138">
        <v>94.800000000000011</v>
      </c>
      <c r="E3172" s="138">
        <v>37.974683544303794</v>
      </c>
      <c r="F3172" s="139">
        <v>1.58</v>
      </c>
    </row>
    <row r="3173" spans="1:6" x14ac:dyDescent="0.25">
      <c r="A3173" s="110"/>
      <c r="B3173" s="125" t="s">
        <v>2771</v>
      </c>
      <c r="C3173" s="138">
        <v>1.58</v>
      </c>
      <c r="D3173" s="138">
        <v>94.800000000000011</v>
      </c>
      <c r="E3173" s="138">
        <v>37.974683544303794</v>
      </c>
      <c r="F3173" s="139">
        <v>1.58</v>
      </c>
    </row>
    <row r="3174" spans="1:6" x14ac:dyDescent="0.25">
      <c r="A3174" s="110"/>
      <c r="B3174" s="125" t="s">
        <v>2772</v>
      </c>
      <c r="C3174" s="138">
        <v>1.58</v>
      </c>
      <c r="D3174" s="138">
        <v>94.800000000000011</v>
      </c>
      <c r="E3174" s="138">
        <v>37.974683544303794</v>
      </c>
      <c r="F3174" s="139">
        <v>1.58</v>
      </c>
    </row>
    <row r="3175" spans="1:6" x14ac:dyDescent="0.25">
      <c r="A3175" s="110"/>
      <c r="B3175" s="125" t="s">
        <v>2773</v>
      </c>
      <c r="C3175" s="138">
        <v>1.58</v>
      </c>
      <c r="D3175" s="138">
        <v>94.800000000000011</v>
      </c>
      <c r="E3175" s="138">
        <v>37.974683544303794</v>
      </c>
      <c r="F3175" s="139">
        <v>1.58</v>
      </c>
    </row>
    <row r="3176" spans="1:6" x14ac:dyDescent="0.25">
      <c r="A3176" s="110"/>
      <c r="B3176" s="125" t="s">
        <v>2774</v>
      </c>
      <c r="C3176" s="138">
        <v>1.58</v>
      </c>
      <c r="D3176" s="138">
        <v>94.800000000000011</v>
      </c>
      <c r="E3176" s="138">
        <v>37.974683544303794</v>
      </c>
      <c r="F3176" s="139">
        <v>1.58</v>
      </c>
    </row>
    <row r="3177" spans="1:6" x14ac:dyDescent="0.25">
      <c r="A3177" s="110"/>
      <c r="B3177" s="125" t="s">
        <v>2775</v>
      </c>
      <c r="C3177" s="138">
        <v>1.58</v>
      </c>
      <c r="D3177" s="138">
        <v>94.800000000000011</v>
      </c>
      <c r="E3177" s="138">
        <v>37.974683544303794</v>
      </c>
      <c r="F3177" s="139">
        <v>1.58</v>
      </c>
    </row>
    <row r="3178" spans="1:6" x14ac:dyDescent="0.25">
      <c r="A3178" s="110"/>
      <c r="B3178" s="125" t="s">
        <v>2776</v>
      </c>
      <c r="C3178" s="138">
        <v>1.58</v>
      </c>
      <c r="D3178" s="138">
        <v>94.800000000000011</v>
      </c>
      <c r="E3178" s="138">
        <v>37.974683544303794</v>
      </c>
      <c r="F3178" s="139">
        <v>1.58</v>
      </c>
    </row>
    <row r="3179" spans="1:6" x14ac:dyDescent="0.25">
      <c r="A3179" s="110"/>
      <c r="B3179" s="125" t="s">
        <v>2777</v>
      </c>
      <c r="C3179" s="138">
        <v>1.58</v>
      </c>
      <c r="D3179" s="138">
        <v>94.800000000000011</v>
      </c>
      <c r="E3179" s="138">
        <v>37.974683544303794</v>
      </c>
      <c r="F3179" s="139">
        <v>1.58</v>
      </c>
    </row>
    <row r="3180" spans="1:6" x14ac:dyDescent="0.25">
      <c r="A3180" s="110"/>
      <c r="B3180" s="125" t="s">
        <v>2778</v>
      </c>
      <c r="C3180" s="138">
        <v>1.58</v>
      </c>
      <c r="D3180" s="138">
        <v>94.800000000000011</v>
      </c>
      <c r="E3180" s="138">
        <v>37.974683544303794</v>
      </c>
      <c r="F3180" s="139">
        <v>1.58</v>
      </c>
    </row>
    <row r="3181" spans="1:6" x14ac:dyDescent="0.25">
      <c r="A3181" s="110"/>
      <c r="B3181" s="125" t="s">
        <v>2779</v>
      </c>
      <c r="C3181" s="138">
        <v>1.58</v>
      </c>
      <c r="D3181" s="138">
        <v>94.800000000000011</v>
      </c>
      <c r="E3181" s="138">
        <v>37.974683544303794</v>
      </c>
      <c r="F3181" s="139">
        <v>1.58</v>
      </c>
    </row>
    <row r="3182" spans="1:6" x14ac:dyDescent="0.25">
      <c r="A3182" s="110"/>
      <c r="B3182" s="125" t="s">
        <v>2780</v>
      </c>
      <c r="C3182" s="138">
        <v>1.58</v>
      </c>
      <c r="D3182" s="138">
        <v>94.800000000000011</v>
      </c>
      <c r="E3182" s="138">
        <v>37.974683544303794</v>
      </c>
      <c r="F3182" s="139">
        <v>1.58</v>
      </c>
    </row>
    <row r="3183" spans="1:6" x14ac:dyDescent="0.25">
      <c r="A3183" s="110"/>
      <c r="B3183" s="125" t="s">
        <v>2781</v>
      </c>
      <c r="C3183" s="138">
        <v>1.58</v>
      </c>
      <c r="D3183" s="138">
        <v>94.800000000000011</v>
      </c>
      <c r="E3183" s="138">
        <v>37.974683544303794</v>
      </c>
      <c r="F3183" s="139">
        <v>1.58</v>
      </c>
    </row>
    <row r="3184" spans="1:6" x14ac:dyDescent="0.25">
      <c r="A3184" s="110"/>
      <c r="B3184" s="125" t="s">
        <v>2782</v>
      </c>
      <c r="C3184" s="138">
        <v>1.58</v>
      </c>
      <c r="D3184" s="138">
        <v>94.800000000000011</v>
      </c>
      <c r="E3184" s="138">
        <v>37.974683544303794</v>
      </c>
      <c r="F3184" s="139">
        <v>1.58</v>
      </c>
    </row>
    <row r="3185" spans="1:6" x14ac:dyDescent="0.25">
      <c r="A3185" s="110"/>
      <c r="B3185" s="125" t="s">
        <v>2783</v>
      </c>
      <c r="C3185" s="138">
        <v>1.58</v>
      </c>
      <c r="D3185" s="138">
        <v>94.800000000000011</v>
      </c>
      <c r="E3185" s="138">
        <v>37.974683544303794</v>
      </c>
      <c r="F3185" s="139">
        <v>1.58</v>
      </c>
    </row>
    <row r="3186" spans="1:6" x14ac:dyDescent="0.25">
      <c r="A3186" s="110"/>
      <c r="B3186" s="125" t="s">
        <v>2784</v>
      </c>
      <c r="C3186" s="138">
        <v>1.58</v>
      </c>
      <c r="D3186" s="138">
        <v>94.800000000000011</v>
      </c>
      <c r="E3186" s="138">
        <v>37.974683544303794</v>
      </c>
      <c r="F3186" s="139">
        <v>1.58</v>
      </c>
    </row>
    <row r="3187" spans="1:6" x14ac:dyDescent="0.25">
      <c r="A3187" s="110"/>
      <c r="B3187" s="125" t="s">
        <v>2784</v>
      </c>
      <c r="C3187" s="138">
        <v>1.58</v>
      </c>
      <c r="D3187" s="138">
        <v>94.800000000000011</v>
      </c>
      <c r="E3187" s="138">
        <v>37.974683544303794</v>
      </c>
      <c r="F3187" s="139">
        <v>1.58</v>
      </c>
    </row>
    <row r="3188" spans="1:6" x14ac:dyDescent="0.25">
      <c r="A3188" s="110"/>
      <c r="B3188" s="125" t="s">
        <v>2785</v>
      </c>
      <c r="C3188" s="138">
        <v>1.58</v>
      </c>
      <c r="D3188" s="138">
        <v>94.800000000000011</v>
      </c>
      <c r="E3188" s="138">
        <v>37.974683544303794</v>
      </c>
      <c r="F3188" s="139">
        <v>1.58</v>
      </c>
    </row>
    <row r="3189" spans="1:6" x14ac:dyDescent="0.25">
      <c r="A3189" s="110"/>
      <c r="B3189" s="125" t="s">
        <v>2786</v>
      </c>
      <c r="C3189" s="138">
        <v>1.58</v>
      </c>
      <c r="D3189" s="138">
        <v>94.800000000000011</v>
      </c>
      <c r="E3189" s="138">
        <v>37.974683544303794</v>
      </c>
      <c r="F3189" s="139">
        <v>1.58</v>
      </c>
    </row>
    <row r="3190" spans="1:6" x14ac:dyDescent="0.25">
      <c r="A3190" s="110"/>
      <c r="B3190" s="125" t="s">
        <v>2787</v>
      </c>
      <c r="C3190" s="138">
        <v>1.2</v>
      </c>
      <c r="D3190" s="138">
        <v>72</v>
      </c>
      <c r="E3190" s="138">
        <v>50</v>
      </c>
      <c r="F3190" s="139">
        <v>1.2</v>
      </c>
    </row>
    <row r="3191" spans="1:6" x14ac:dyDescent="0.25">
      <c r="A3191" s="110"/>
      <c r="B3191" s="125" t="s">
        <v>2788</v>
      </c>
      <c r="C3191" s="138">
        <v>1.2</v>
      </c>
      <c r="D3191" s="138">
        <v>72</v>
      </c>
      <c r="E3191" s="138">
        <v>50</v>
      </c>
      <c r="F3191" s="139">
        <v>1.2</v>
      </c>
    </row>
    <row r="3192" spans="1:6" x14ac:dyDescent="0.25">
      <c r="A3192" s="110"/>
      <c r="B3192" s="125" t="s">
        <v>2789</v>
      </c>
      <c r="C3192" s="138">
        <v>1.2</v>
      </c>
      <c r="D3192" s="138">
        <v>72</v>
      </c>
      <c r="E3192" s="138">
        <v>50</v>
      </c>
      <c r="F3192" s="139">
        <v>1.2</v>
      </c>
    </row>
    <row r="3193" spans="1:6" x14ac:dyDescent="0.25">
      <c r="A3193" s="110"/>
      <c r="B3193" s="125" t="s">
        <v>2790</v>
      </c>
      <c r="C3193" s="138">
        <v>1.2</v>
      </c>
      <c r="D3193" s="138">
        <v>72</v>
      </c>
      <c r="E3193" s="138">
        <v>50</v>
      </c>
      <c r="F3193" s="139">
        <v>1.2</v>
      </c>
    </row>
    <row r="3194" spans="1:6" x14ac:dyDescent="0.25">
      <c r="A3194" s="110"/>
      <c r="B3194" s="125" t="s">
        <v>2791</v>
      </c>
      <c r="C3194" s="138">
        <v>1.2</v>
      </c>
      <c r="D3194" s="138">
        <v>72</v>
      </c>
      <c r="E3194" s="138">
        <v>50</v>
      </c>
      <c r="F3194" s="139">
        <v>1.2</v>
      </c>
    </row>
    <row r="3195" spans="1:6" x14ac:dyDescent="0.25">
      <c r="A3195" s="110"/>
      <c r="B3195" s="125" t="s">
        <v>2792</v>
      </c>
      <c r="C3195" s="138">
        <v>1.2</v>
      </c>
      <c r="D3195" s="138">
        <v>72</v>
      </c>
      <c r="E3195" s="138">
        <v>50</v>
      </c>
      <c r="F3195" s="139">
        <v>1.2</v>
      </c>
    </row>
    <row r="3196" spans="1:6" x14ac:dyDescent="0.25">
      <c r="A3196" s="110"/>
      <c r="B3196" s="125" t="s">
        <v>2793</v>
      </c>
      <c r="C3196" s="138">
        <v>1.2</v>
      </c>
      <c r="D3196" s="138">
        <v>72</v>
      </c>
      <c r="E3196" s="138">
        <v>50</v>
      </c>
      <c r="F3196" s="139">
        <v>1.2</v>
      </c>
    </row>
    <row r="3197" spans="1:6" x14ac:dyDescent="0.25">
      <c r="A3197" s="110"/>
      <c r="B3197" s="125" t="s">
        <v>2794</v>
      </c>
      <c r="C3197" s="138">
        <v>1.2</v>
      </c>
      <c r="D3197" s="138">
        <v>72</v>
      </c>
      <c r="E3197" s="138">
        <v>50</v>
      </c>
      <c r="F3197" s="139">
        <v>1.2</v>
      </c>
    </row>
    <row r="3198" spans="1:6" x14ac:dyDescent="0.25">
      <c r="A3198" s="110"/>
      <c r="B3198" s="125" t="s">
        <v>2795</v>
      </c>
      <c r="C3198" s="138">
        <v>1.2</v>
      </c>
      <c r="D3198" s="138">
        <v>72</v>
      </c>
      <c r="E3198" s="138">
        <v>50</v>
      </c>
      <c r="F3198" s="139">
        <v>1.2</v>
      </c>
    </row>
    <row r="3199" spans="1:6" x14ac:dyDescent="0.25">
      <c r="A3199" s="110"/>
      <c r="B3199" s="125" t="s">
        <v>2796</v>
      </c>
      <c r="C3199" s="138">
        <v>1.2</v>
      </c>
      <c r="D3199" s="138">
        <v>72</v>
      </c>
      <c r="E3199" s="138">
        <v>50</v>
      </c>
      <c r="F3199" s="139">
        <v>1.2</v>
      </c>
    </row>
    <row r="3200" spans="1:6" x14ac:dyDescent="0.25">
      <c r="A3200" s="110"/>
      <c r="B3200" s="125" t="s">
        <v>2797</v>
      </c>
      <c r="C3200" s="138">
        <v>1.2</v>
      </c>
      <c r="D3200" s="138">
        <v>72</v>
      </c>
      <c r="E3200" s="138">
        <v>50</v>
      </c>
      <c r="F3200" s="139">
        <v>1.2</v>
      </c>
    </row>
    <row r="3201" spans="1:6" x14ac:dyDescent="0.25">
      <c r="A3201" s="110"/>
      <c r="B3201" s="125" t="s">
        <v>2798</v>
      </c>
      <c r="C3201" s="138">
        <v>1.58</v>
      </c>
      <c r="D3201" s="138">
        <v>94.800000000000011</v>
      </c>
      <c r="E3201" s="138">
        <v>37.974683544303794</v>
      </c>
      <c r="F3201" s="139">
        <v>1.58</v>
      </c>
    </row>
    <row r="3202" spans="1:6" x14ac:dyDescent="0.25">
      <c r="A3202" s="110"/>
      <c r="B3202" s="125" t="s">
        <v>2799</v>
      </c>
      <c r="C3202" s="138">
        <v>0.97</v>
      </c>
      <c r="D3202" s="138">
        <v>58.199999999999996</v>
      </c>
      <c r="E3202" s="138">
        <v>61.855670103092791</v>
      </c>
      <c r="F3202" s="139">
        <v>0.97</v>
      </c>
    </row>
    <row r="3203" spans="1:6" x14ac:dyDescent="0.25">
      <c r="A3203" s="110"/>
      <c r="B3203" s="125" t="s">
        <v>2800</v>
      </c>
      <c r="C3203" s="138">
        <v>2</v>
      </c>
      <c r="D3203" s="138">
        <v>120</v>
      </c>
      <c r="E3203" s="138">
        <v>30</v>
      </c>
      <c r="F3203" s="139">
        <v>2</v>
      </c>
    </row>
    <row r="3204" spans="1:6" x14ac:dyDescent="0.25">
      <c r="A3204" s="110"/>
      <c r="B3204" s="125" t="s">
        <v>2801</v>
      </c>
      <c r="C3204" s="138">
        <v>0.97</v>
      </c>
      <c r="D3204" s="138">
        <v>58.199999999999996</v>
      </c>
      <c r="E3204" s="138">
        <v>61.855670103092791</v>
      </c>
      <c r="F3204" s="139">
        <v>0.97</v>
      </c>
    </row>
    <row r="3205" spans="1:6" x14ac:dyDescent="0.25">
      <c r="A3205" s="110"/>
      <c r="B3205" s="125" t="s">
        <v>2802</v>
      </c>
      <c r="C3205" s="138">
        <v>2</v>
      </c>
      <c r="D3205" s="138">
        <v>120</v>
      </c>
      <c r="E3205" s="138">
        <v>30</v>
      </c>
      <c r="F3205" s="139">
        <v>2</v>
      </c>
    </row>
    <row r="3206" spans="1:6" x14ac:dyDescent="0.25">
      <c r="A3206" s="110"/>
      <c r="B3206" s="125" t="s">
        <v>2803</v>
      </c>
      <c r="C3206" s="138">
        <v>1.58</v>
      </c>
      <c r="D3206" s="138">
        <v>94.800000000000011</v>
      </c>
      <c r="E3206" s="138">
        <v>37.974683544303794</v>
      </c>
      <c r="F3206" s="139">
        <v>1.58</v>
      </c>
    </row>
    <row r="3207" spans="1:6" x14ac:dyDescent="0.25">
      <c r="A3207" s="110"/>
      <c r="B3207" s="125" t="s">
        <v>2804</v>
      </c>
      <c r="C3207" s="138">
        <v>1.03</v>
      </c>
      <c r="D3207" s="138">
        <v>61.800000000000004</v>
      </c>
      <c r="E3207" s="138">
        <v>58.252427184466015</v>
      </c>
      <c r="F3207" s="139">
        <v>1.03</v>
      </c>
    </row>
    <row r="3208" spans="1:6" x14ac:dyDescent="0.25">
      <c r="A3208" s="110"/>
      <c r="B3208" s="125" t="s">
        <v>2805</v>
      </c>
      <c r="C3208" s="138">
        <v>1.03</v>
      </c>
      <c r="D3208" s="138">
        <v>61.800000000000004</v>
      </c>
      <c r="E3208" s="138">
        <v>58.252427184466015</v>
      </c>
      <c r="F3208" s="139">
        <v>1.03</v>
      </c>
    </row>
    <row r="3209" spans="1:6" x14ac:dyDescent="0.25">
      <c r="A3209" s="110"/>
      <c r="B3209" s="125" t="s">
        <v>2806</v>
      </c>
      <c r="C3209" s="138">
        <v>0.97</v>
      </c>
      <c r="D3209" s="138">
        <v>58.199999999999996</v>
      </c>
      <c r="E3209" s="138">
        <v>61.855670103092791</v>
      </c>
      <c r="F3209" s="139">
        <v>0.97</v>
      </c>
    </row>
    <row r="3210" spans="1:6" x14ac:dyDescent="0.25">
      <c r="A3210" s="110"/>
      <c r="B3210" s="125" t="s">
        <v>2807</v>
      </c>
      <c r="C3210" s="138">
        <v>1.58</v>
      </c>
      <c r="D3210" s="138">
        <v>94.800000000000011</v>
      </c>
      <c r="E3210" s="138">
        <v>37.974683544303794</v>
      </c>
      <c r="F3210" s="139">
        <v>1.58</v>
      </c>
    </row>
    <row r="3211" spans="1:6" x14ac:dyDescent="0.25">
      <c r="A3211" s="110"/>
      <c r="B3211" s="125" t="s">
        <v>2808</v>
      </c>
      <c r="C3211" s="138">
        <v>1.58</v>
      </c>
      <c r="D3211" s="138">
        <v>94.800000000000011</v>
      </c>
      <c r="E3211" s="138">
        <v>37.974683544303794</v>
      </c>
      <c r="F3211" s="139">
        <v>1.58</v>
      </c>
    </row>
    <row r="3212" spans="1:6" x14ac:dyDescent="0.25">
      <c r="A3212" s="110"/>
      <c r="B3212" s="125" t="s">
        <v>2809</v>
      </c>
      <c r="C3212" s="138">
        <v>1.5</v>
      </c>
      <c r="D3212" s="138">
        <v>90</v>
      </c>
      <c r="E3212" s="138">
        <v>40</v>
      </c>
      <c r="F3212" s="139">
        <v>1.5</v>
      </c>
    </row>
    <row r="3213" spans="1:6" x14ac:dyDescent="0.25">
      <c r="A3213" s="110"/>
      <c r="B3213" s="125" t="s">
        <v>2810</v>
      </c>
      <c r="C3213" s="138">
        <v>1.5</v>
      </c>
      <c r="D3213" s="138">
        <v>90</v>
      </c>
      <c r="E3213" s="138">
        <v>40</v>
      </c>
      <c r="F3213" s="139">
        <v>1.5</v>
      </c>
    </row>
    <row r="3214" spans="1:6" x14ac:dyDescent="0.25">
      <c r="A3214" s="110"/>
      <c r="B3214" s="125" t="s">
        <v>2811</v>
      </c>
      <c r="C3214" s="138">
        <v>1.5</v>
      </c>
      <c r="D3214" s="138">
        <v>90</v>
      </c>
      <c r="E3214" s="138">
        <v>40</v>
      </c>
      <c r="F3214" s="139">
        <v>1.5</v>
      </c>
    </row>
    <row r="3215" spans="1:6" x14ac:dyDescent="0.25">
      <c r="A3215" s="110"/>
      <c r="B3215" s="125" t="s">
        <v>2812</v>
      </c>
      <c r="C3215" s="138">
        <v>1.5</v>
      </c>
      <c r="D3215" s="138">
        <v>90</v>
      </c>
      <c r="E3215" s="138">
        <v>40</v>
      </c>
      <c r="F3215" s="139">
        <v>1.5</v>
      </c>
    </row>
    <row r="3216" spans="1:6" x14ac:dyDescent="0.25">
      <c r="A3216" s="110"/>
      <c r="B3216" s="125" t="s">
        <v>2813</v>
      </c>
      <c r="C3216" s="138">
        <v>1.2</v>
      </c>
      <c r="D3216" s="138">
        <v>72</v>
      </c>
      <c r="E3216" s="138">
        <v>50</v>
      </c>
      <c r="F3216" s="139">
        <v>1.2</v>
      </c>
    </row>
    <row r="3217" spans="1:6" x14ac:dyDescent="0.25">
      <c r="A3217" s="110"/>
      <c r="B3217" s="125" t="s">
        <v>2814</v>
      </c>
      <c r="C3217" s="138">
        <v>1.2</v>
      </c>
      <c r="D3217" s="138">
        <v>72</v>
      </c>
      <c r="E3217" s="138">
        <v>50</v>
      </c>
      <c r="F3217" s="139">
        <v>1.2</v>
      </c>
    </row>
    <row r="3218" spans="1:6" x14ac:dyDescent="0.25">
      <c r="A3218" s="110"/>
      <c r="B3218" s="125" t="s">
        <v>2815</v>
      </c>
      <c r="C3218" s="138">
        <v>0.85</v>
      </c>
      <c r="D3218" s="138">
        <v>51</v>
      </c>
      <c r="E3218" s="138">
        <v>70.588235294117652</v>
      </c>
      <c r="F3218" s="139">
        <v>0.85</v>
      </c>
    </row>
    <row r="3219" spans="1:6" x14ac:dyDescent="0.25">
      <c r="A3219" s="110"/>
      <c r="B3219" s="125" t="s">
        <v>2816</v>
      </c>
      <c r="C3219" s="138">
        <v>0.85</v>
      </c>
      <c r="D3219" s="138">
        <v>51</v>
      </c>
      <c r="E3219" s="138">
        <v>70.588235294117652</v>
      </c>
      <c r="F3219" s="139">
        <v>0.85</v>
      </c>
    </row>
    <row r="3220" spans="1:6" x14ac:dyDescent="0.25">
      <c r="A3220" s="110"/>
      <c r="B3220" s="125" t="s">
        <v>2817</v>
      </c>
      <c r="C3220" s="138">
        <v>0.85</v>
      </c>
      <c r="D3220" s="138">
        <v>51</v>
      </c>
      <c r="E3220" s="138">
        <v>70.588235294117652</v>
      </c>
      <c r="F3220" s="139">
        <v>0.85</v>
      </c>
    </row>
    <row r="3221" spans="1:6" x14ac:dyDescent="0.25">
      <c r="A3221" s="110"/>
      <c r="B3221" s="125" t="s">
        <v>2818</v>
      </c>
      <c r="C3221" s="138">
        <v>0.85</v>
      </c>
      <c r="D3221" s="138">
        <v>51</v>
      </c>
      <c r="E3221" s="138">
        <v>70.588235294117652</v>
      </c>
      <c r="F3221" s="139">
        <v>0.85</v>
      </c>
    </row>
    <row r="3222" spans="1:6" x14ac:dyDescent="0.25">
      <c r="A3222" s="110"/>
      <c r="B3222" s="125" t="s">
        <v>2819</v>
      </c>
      <c r="C3222" s="138">
        <v>0.85</v>
      </c>
      <c r="D3222" s="138">
        <v>51</v>
      </c>
      <c r="E3222" s="138">
        <v>70.588235294117652</v>
      </c>
      <c r="F3222" s="139">
        <v>0.85</v>
      </c>
    </row>
    <row r="3223" spans="1:6" x14ac:dyDescent="0.25">
      <c r="A3223" s="110"/>
      <c r="B3223" s="125" t="s">
        <v>2820</v>
      </c>
      <c r="C3223" s="138">
        <v>0.85</v>
      </c>
      <c r="D3223" s="138">
        <v>51</v>
      </c>
      <c r="E3223" s="138">
        <v>70.588235294117652</v>
      </c>
      <c r="F3223" s="139">
        <v>0.85</v>
      </c>
    </row>
    <row r="3224" spans="1:6" x14ac:dyDescent="0.25">
      <c r="A3224" s="110"/>
      <c r="B3224" s="125" t="s">
        <v>2821</v>
      </c>
      <c r="C3224" s="138">
        <v>0.85</v>
      </c>
      <c r="D3224" s="138">
        <v>51</v>
      </c>
      <c r="E3224" s="138">
        <v>70.588235294117652</v>
      </c>
      <c r="F3224" s="139">
        <v>0.85</v>
      </c>
    </row>
    <row r="3225" spans="1:6" x14ac:dyDescent="0.25">
      <c r="A3225" s="110"/>
      <c r="B3225" s="125" t="s">
        <v>2822</v>
      </c>
      <c r="C3225" s="138">
        <v>0.85</v>
      </c>
      <c r="D3225" s="138">
        <v>51</v>
      </c>
      <c r="E3225" s="138">
        <v>70.588235294117652</v>
      </c>
      <c r="F3225" s="139">
        <v>0.85</v>
      </c>
    </row>
    <row r="3226" spans="1:6" x14ac:dyDescent="0.25">
      <c r="A3226" s="110"/>
      <c r="B3226" s="125" t="s">
        <v>2823</v>
      </c>
      <c r="C3226" s="138">
        <v>0.85</v>
      </c>
      <c r="D3226" s="138">
        <v>51</v>
      </c>
      <c r="E3226" s="138">
        <v>70.588235294117652</v>
      </c>
      <c r="F3226" s="139">
        <v>0.85</v>
      </c>
    </row>
    <row r="3227" spans="1:6" x14ac:dyDescent="0.25">
      <c r="A3227" s="110"/>
      <c r="B3227" s="125" t="s">
        <v>2824</v>
      </c>
      <c r="C3227" s="138">
        <v>0.85</v>
      </c>
      <c r="D3227" s="138">
        <v>51</v>
      </c>
      <c r="E3227" s="138">
        <v>70.588235294117652</v>
      </c>
      <c r="F3227" s="139">
        <v>0.85</v>
      </c>
    </row>
    <row r="3228" spans="1:6" x14ac:dyDescent="0.25">
      <c r="A3228" s="110"/>
      <c r="B3228" s="125" t="s">
        <v>2825</v>
      </c>
      <c r="C3228" s="138">
        <v>0.85</v>
      </c>
      <c r="D3228" s="138">
        <v>51</v>
      </c>
      <c r="E3228" s="138">
        <v>70.588235294117652</v>
      </c>
      <c r="F3228" s="139">
        <v>0.85</v>
      </c>
    </row>
    <row r="3229" spans="1:6" x14ac:dyDescent="0.25">
      <c r="A3229" s="110"/>
      <c r="B3229" s="125" t="s">
        <v>2826</v>
      </c>
      <c r="C3229" s="138">
        <v>0.85</v>
      </c>
      <c r="D3229" s="138">
        <v>51</v>
      </c>
      <c r="E3229" s="138">
        <v>70.588235294117652</v>
      </c>
      <c r="F3229" s="139">
        <v>0.85</v>
      </c>
    </row>
    <row r="3230" spans="1:6" x14ac:dyDescent="0.25">
      <c r="A3230" s="110"/>
      <c r="B3230" s="125" t="s">
        <v>2827</v>
      </c>
      <c r="C3230" s="138">
        <v>0.85</v>
      </c>
      <c r="D3230" s="138">
        <v>51</v>
      </c>
      <c r="E3230" s="138">
        <v>70.588235294117652</v>
      </c>
      <c r="F3230" s="139">
        <v>0.85</v>
      </c>
    </row>
    <row r="3231" spans="1:6" x14ac:dyDescent="0.25">
      <c r="A3231" s="110"/>
      <c r="B3231" s="125" t="s">
        <v>2828</v>
      </c>
      <c r="C3231" s="138">
        <v>0.85</v>
      </c>
      <c r="D3231" s="138">
        <v>51</v>
      </c>
      <c r="E3231" s="138">
        <v>70.588235294117652</v>
      </c>
      <c r="F3231" s="139">
        <v>0.85</v>
      </c>
    </row>
    <row r="3232" spans="1:6" x14ac:dyDescent="0.25">
      <c r="A3232" s="110"/>
      <c r="B3232" s="125" t="s">
        <v>2829</v>
      </c>
      <c r="C3232" s="138">
        <v>0.85</v>
      </c>
      <c r="D3232" s="138">
        <v>51</v>
      </c>
      <c r="E3232" s="138">
        <v>70.588235294117652</v>
      </c>
      <c r="F3232" s="139">
        <v>0.85</v>
      </c>
    </row>
    <row r="3233" spans="1:6" x14ac:dyDescent="0.25">
      <c r="A3233" s="110"/>
      <c r="B3233" s="125" t="s">
        <v>2830</v>
      </c>
      <c r="C3233" s="138">
        <v>0.85</v>
      </c>
      <c r="D3233" s="138">
        <v>51</v>
      </c>
      <c r="E3233" s="138">
        <v>70.588235294117652</v>
      </c>
      <c r="F3233" s="139">
        <v>0.85</v>
      </c>
    </row>
    <row r="3234" spans="1:6" x14ac:dyDescent="0.25">
      <c r="A3234" s="110"/>
      <c r="B3234" s="125" t="s">
        <v>2831</v>
      </c>
      <c r="C3234" s="138">
        <v>0.85</v>
      </c>
      <c r="D3234" s="138">
        <v>51</v>
      </c>
      <c r="E3234" s="138">
        <v>70.588235294117652</v>
      </c>
      <c r="F3234" s="139">
        <v>0.85</v>
      </c>
    </row>
    <row r="3235" spans="1:6" x14ac:dyDescent="0.25">
      <c r="A3235" s="110"/>
      <c r="B3235" s="125" t="s">
        <v>2832</v>
      </c>
      <c r="C3235" s="138">
        <v>0.85</v>
      </c>
      <c r="D3235" s="138">
        <v>51</v>
      </c>
      <c r="E3235" s="138">
        <v>70.588235294117652</v>
      </c>
      <c r="F3235" s="139">
        <v>0.85</v>
      </c>
    </row>
    <row r="3236" spans="1:6" x14ac:dyDescent="0.25">
      <c r="A3236" s="110"/>
      <c r="B3236" s="125" t="s">
        <v>2833</v>
      </c>
      <c r="C3236" s="138">
        <v>0.85</v>
      </c>
      <c r="D3236" s="138">
        <v>51</v>
      </c>
      <c r="E3236" s="138">
        <v>70.588235294117652</v>
      </c>
      <c r="F3236" s="139">
        <v>0.85</v>
      </c>
    </row>
    <row r="3237" spans="1:6" x14ac:dyDescent="0.25">
      <c r="A3237" s="110"/>
      <c r="B3237" s="125" t="s">
        <v>2834</v>
      </c>
      <c r="C3237" s="138">
        <v>0.85</v>
      </c>
      <c r="D3237" s="138">
        <v>51</v>
      </c>
      <c r="E3237" s="138">
        <v>70.588235294117652</v>
      </c>
      <c r="F3237" s="139">
        <v>0.85</v>
      </c>
    </row>
    <row r="3238" spans="1:6" x14ac:dyDescent="0.25">
      <c r="A3238" s="110"/>
      <c r="B3238" s="125" t="s">
        <v>2835</v>
      </c>
      <c r="C3238" s="138">
        <v>0.85</v>
      </c>
      <c r="D3238" s="138">
        <v>51</v>
      </c>
      <c r="E3238" s="138">
        <v>70.588235294117652</v>
      </c>
      <c r="F3238" s="139">
        <v>0.85</v>
      </c>
    </row>
    <row r="3239" spans="1:6" x14ac:dyDescent="0.25">
      <c r="A3239" s="110"/>
      <c r="B3239" s="125" t="s">
        <v>2836</v>
      </c>
      <c r="C3239" s="138">
        <v>0.85</v>
      </c>
      <c r="D3239" s="138">
        <v>51</v>
      </c>
      <c r="E3239" s="138">
        <v>70.588235294117652</v>
      </c>
      <c r="F3239" s="139">
        <v>0.85</v>
      </c>
    </row>
    <row r="3240" spans="1:6" x14ac:dyDescent="0.25">
      <c r="A3240" s="110"/>
      <c r="B3240" s="125" t="s">
        <v>2837</v>
      </c>
      <c r="C3240" s="138">
        <v>0.85</v>
      </c>
      <c r="D3240" s="138">
        <v>51</v>
      </c>
      <c r="E3240" s="138">
        <v>70.588235294117652</v>
      </c>
      <c r="F3240" s="139">
        <v>0.85</v>
      </c>
    </row>
    <row r="3241" spans="1:6" x14ac:dyDescent="0.25">
      <c r="A3241" s="110"/>
      <c r="B3241" s="125" t="s">
        <v>2838</v>
      </c>
      <c r="C3241" s="138">
        <v>0.85</v>
      </c>
      <c r="D3241" s="138">
        <v>51</v>
      </c>
      <c r="E3241" s="138">
        <v>70.588235294117652</v>
      </c>
      <c r="F3241" s="139">
        <v>0.85</v>
      </c>
    </row>
    <row r="3242" spans="1:6" x14ac:dyDescent="0.25">
      <c r="A3242" s="110"/>
      <c r="B3242" s="125" t="s">
        <v>2839</v>
      </c>
      <c r="C3242" s="138">
        <v>0.85</v>
      </c>
      <c r="D3242" s="138">
        <v>51</v>
      </c>
      <c r="E3242" s="138">
        <v>70.588235294117652</v>
      </c>
      <c r="F3242" s="139">
        <v>0.85</v>
      </c>
    </row>
    <row r="3243" spans="1:6" x14ac:dyDescent="0.25">
      <c r="A3243" s="110"/>
      <c r="B3243" s="125" t="s">
        <v>2840</v>
      </c>
      <c r="C3243" s="138">
        <v>0.85</v>
      </c>
      <c r="D3243" s="138">
        <v>51</v>
      </c>
      <c r="E3243" s="138">
        <v>70.588235294117652</v>
      </c>
      <c r="F3243" s="139">
        <v>0.85</v>
      </c>
    </row>
    <row r="3244" spans="1:6" x14ac:dyDescent="0.25">
      <c r="A3244" s="110"/>
      <c r="B3244" s="125" t="s">
        <v>2841</v>
      </c>
      <c r="C3244" s="138">
        <v>0.85</v>
      </c>
      <c r="D3244" s="138">
        <v>51</v>
      </c>
      <c r="E3244" s="138">
        <v>70.588235294117652</v>
      </c>
      <c r="F3244" s="139">
        <v>0.85</v>
      </c>
    </row>
    <row r="3245" spans="1:6" x14ac:dyDescent="0.25">
      <c r="A3245" s="110"/>
      <c r="B3245" s="125" t="s">
        <v>2842</v>
      </c>
      <c r="C3245" s="138">
        <v>0.85</v>
      </c>
      <c r="D3245" s="138">
        <v>51</v>
      </c>
      <c r="E3245" s="138">
        <v>70.588235294117652</v>
      </c>
      <c r="F3245" s="139">
        <v>0.85</v>
      </c>
    </row>
    <row r="3246" spans="1:6" x14ac:dyDescent="0.25">
      <c r="A3246" s="110"/>
      <c r="B3246" s="125" t="s">
        <v>2843</v>
      </c>
      <c r="C3246" s="138">
        <v>0.85</v>
      </c>
      <c r="D3246" s="138">
        <v>51</v>
      </c>
      <c r="E3246" s="138">
        <v>70.588235294117652</v>
      </c>
      <c r="F3246" s="139">
        <v>0.85</v>
      </c>
    </row>
    <row r="3247" spans="1:6" x14ac:dyDescent="0.25">
      <c r="A3247" s="110"/>
      <c r="B3247" s="125" t="s">
        <v>2844</v>
      </c>
      <c r="C3247" s="138">
        <v>0.85</v>
      </c>
      <c r="D3247" s="138">
        <v>51</v>
      </c>
      <c r="E3247" s="138">
        <v>70.588235294117652</v>
      </c>
      <c r="F3247" s="139">
        <v>0.85</v>
      </c>
    </row>
    <row r="3248" spans="1:6" x14ac:dyDescent="0.25">
      <c r="A3248" s="110"/>
      <c r="B3248" s="125" t="s">
        <v>2845</v>
      </c>
      <c r="C3248" s="138">
        <v>0.85</v>
      </c>
      <c r="D3248" s="138">
        <v>51</v>
      </c>
      <c r="E3248" s="138">
        <v>70.588235294117652</v>
      </c>
      <c r="F3248" s="139">
        <v>0.85</v>
      </c>
    </row>
    <row r="3249" spans="1:6" x14ac:dyDescent="0.25">
      <c r="A3249" s="110"/>
      <c r="B3249" s="125" t="s">
        <v>2846</v>
      </c>
      <c r="C3249" s="138">
        <v>0.85</v>
      </c>
      <c r="D3249" s="138">
        <v>51</v>
      </c>
      <c r="E3249" s="138">
        <v>70.588235294117652</v>
      </c>
      <c r="F3249" s="139">
        <v>0.85</v>
      </c>
    </row>
    <row r="3250" spans="1:6" x14ac:dyDescent="0.25">
      <c r="A3250" s="110"/>
      <c r="B3250" s="125" t="s">
        <v>2847</v>
      </c>
      <c r="C3250" s="138">
        <v>0.85</v>
      </c>
      <c r="D3250" s="138">
        <v>51</v>
      </c>
      <c r="E3250" s="138">
        <v>70.588235294117652</v>
      </c>
      <c r="F3250" s="139">
        <v>0.85</v>
      </c>
    </row>
    <row r="3251" spans="1:6" x14ac:dyDescent="0.25">
      <c r="A3251" s="110"/>
      <c r="B3251" s="125" t="s">
        <v>2848</v>
      </c>
      <c r="C3251" s="138">
        <v>0.85</v>
      </c>
      <c r="D3251" s="138">
        <v>51</v>
      </c>
      <c r="E3251" s="138">
        <v>70.588235294117652</v>
      </c>
      <c r="F3251" s="139">
        <v>0.85</v>
      </c>
    </row>
    <row r="3252" spans="1:6" x14ac:dyDescent="0.25">
      <c r="A3252" s="110"/>
      <c r="B3252" s="125" t="s">
        <v>2849</v>
      </c>
      <c r="C3252" s="138">
        <v>0.85</v>
      </c>
      <c r="D3252" s="138">
        <v>51</v>
      </c>
      <c r="E3252" s="138">
        <v>70.588235294117652</v>
      </c>
      <c r="F3252" s="139">
        <v>0.85</v>
      </c>
    </row>
    <row r="3253" spans="1:6" x14ac:dyDescent="0.25">
      <c r="A3253" s="110"/>
      <c r="B3253" s="125" t="s">
        <v>2850</v>
      </c>
      <c r="C3253" s="138">
        <v>0.85</v>
      </c>
      <c r="D3253" s="138">
        <v>51</v>
      </c>
      <c r="E3253" s="138">
        <v>70.588235294117652</v>
      </c>
      <c r="F3253" s="139">
        <v>0.85</v>
      </c>
    </row>
    <row r="3254" spans="1:6" x14ac:dyDescent="0.25">
      <c r="A3254" s="110"/>
      <c r="B3254" s="125" t="s">
        <v>2851</v>
      </c>
      <c r="C3254" s="138">
        <v>0.85</v>
      </c>
      <c r="D3254" s="138">
        <v>51</v>
      </c>
      <c r="E3254" s="138">
        <v>70.588235294117652</v>
      </c>
      <c r="F3254" s="139">
        <v>0.85</v>
      </c>
    </row>
    <row r="3255" spans="1:6" x14ac:dyDescent="0.25">
      <c r="A3255" s="110"/>
      <c r="B3255" s="125" t="s">
        <v>2852</v>
      </c>
      <c r="C3255" s="138">
        <v>0.85</v>
      </c>
      <c r="D3255" s="138">
        <v>51</v>
      </c>
      <c r="E3255" s="138">
        <v>70.588235294117652</v>
      </c>
      <c r="F3255" s="139">
        <v>0.85</v>
      </c>
    </row>
    <row r="3256" spans="1:6" x14ac:dyDescent="0.25">
      <c r="A3256" s="110"/>
      <c r="B3256" s="125" t="s">
        <v>2853</v>
      </c>
      <c r="C3256" s="138">
        <v>0.85</v>
      </c>
      <c r="D3256" s="138">
        <v>51</v>
      </c>
      <c r="E3256" s="138">
        <v>70.588235294117652</v>
      </c>
      <c r="F3256" s="139">
        <v>0.85</v>
      </c>
    </row>
    <row r="3257" spans="1:6" x14ac:dyDescent="0.25">
      <c r="A3257" s="110"/>
      <c r="B3257" s="125" t="s">
        <v>2854</v>
      </c>
      <c r="C3257" s="138">
        <v>0.85</v>
      </c>
      <c r="D3257" s="138">
        <v>51</v>
      </c>
      <c r="E3257" s="138">
        <v>70.588235294117652</v>
      </c>
      <c r="F3257" s="139">
        <v>0.85</v>
      </c>
    </row>
    <row r="3258" spans="1:6" x14ac:dyDescent="0.25">
      <c r="A3258" s="110"/>
      <c r="B3258" s="125" t="s">
        <v>2855</v>
      </c>
      <c r="C3258" s="138">
        <v>0.85</v>
      </c>
      <c r="D3258" s="138">
        <v>51</v>
      </c>
      <c r="E3258" s="138">
        <v>70.588235294117652</v>
      </c>
      <c r="F3258" s="139">
        <v>0.85</v>
      </c>
    </row>
    <row r="3259" spans="1:6" x14ac:dyDescent="0.25">
      <c r="A3259" s="110"/>
      <c r="B3259" s="125" t="s">
        <v>2856</v>
      </c>
      <c r="C3259" s="138">
        <v>0.85</v>
      </c>
      <c r="D3259" s="138">
        <v>51</v>
      </c>
      <c r="E3259" s="138">
        <v>70.588235294117652</v>
      </c>
      <c r="F3259" s="139">
        <v>0.85</v>
      </c>
    </row>
    <row r="3260" spans="1:6" x14ac:dyDescent="0.25">
      <c r="A3260" s="110"/>
      <c r="B3260" s="125" t="s">
        <v>2857</v>
      </c>
      <c r="C3260" s="138">
        <v>0.85</v>
      </c>
      <c r="D3260" s="138">
        <v>51</v>
      </c>
      <c r="E3260" s="138">
        <v>70.588235294117652</v>
      </c>
      <c r="F3260" s="139">
        <v>0.85</v>
      </c>
    </row>
    <row r="3261" spans="1:6" x14ac:dyDescent="0.25">
      <c r="A3261" s="110"/>
      <c r="B3261" s="125" t="s">
        <v>2858</v>
      </c>
      <c r="C3261" s="138">
        <v>0.85</v>
      </c>
      <c r="D3261" s="138">
        <v>51</v>
      </c>
      <c r="E3261" s="138">
        <v>70.588235294117652</v>
      </c>
      <c r="F3261" s="139">
        <v>0.85</v>
      </c>
    </row>
    <row r="3262" spans="1:6" x14ac:dyDescent="0.25">
      <c r="A3262" s="110"/>
      <c r="B3262" s="125" t="s">
        <v>2859</v>
      </c>
      <c r="C3262" s="138">
        <v>0.85</v>
      </c>
      <c r="D3262" s="138">
        <v>51</v>
      </c>
      <c r="E3262" s="138">
        <v>70.588235294117652</v>
      </c>
      <c r="F3262" s="139">
        <v>0.85</v>
      </c>
    </row>
    <row r="3263" spans="1:6" x14ac:dyDescent="0.25">
      <c r="A3263" s="110"/>
      <c r="B3263" s="125" t="s">
        <v>2860</v>
      </c>
      <c r="C3263" s="138">
        <v>0.85</v>
      </c>
      <c r="D3263" s="138">
        <v>51</v>
      </c>
      <c r="E3263" s="138">
        <v>70.588235294117652</v>
      </c>
      <c r="F3263" s="139">
        <v>0.85</v>
      </c>
    </row>
    <row r="3264" spans="1:6" x14ac:dyDescent="0.25">
      <c r="A3264" s="110"/>
      <c r="B3264" s="125" t="s">
        <v>2861</v>
      </c>
      <c r="C3264" s="138">
        <v>0.85</v>
      </c>
      <c r="D3264" s="138">
        <v>51</v>
      </c>
      <c r="E3264" s="138">
        <v>70.588235294117652</v>
      </c>
      <c r="F3264" s="139">
        <v>0.85</v>
      </c>
    </row>
    <row r="3265" spans="1:6" x14ac:dyDescent="0.25">
      <c r="A3265" s="110"/>
      <c r="B3265" s="125" t="s">
        <v>2862</v>
      </c>
      <c r="C3265" s="138">
        <v>0.85</v>
      </c>
      <c r="D3265" s="138">
        <v>51</v>
      </c>
      <c r="E3265" s="138">
        <v>70.588235294117652</v>
      </c>
      <c r="F3265" s="139">
        <v>0.85</v>
      </c>
    </row>
    <row r="3266" spans="1:6" x14ac:dyDescent="0.25">
      <c r="A3266" s="110"/>
      <c r="B3266" s="125" t="s">
        <v>2863</v>
      </c>
      <c r="C3266" s="138">
        <v>0.85</v>
      </c>
      <c r="D3266" s="138">
        <v>51</v>
      </c>
      <c r="E3266" s="138">
        <v>70.588235294117652</v>
      </c>
      <c r="F3266" s="139">
        <v>0.85</v>
      </c>
    </row>
    <row r="3267" spans="1:6" x14ac:dyDescent="0.25">
      <c r="A3267" s="110"/>
      <c r="B3267" s="125" t="s">
        <v>2864</v>
      </c>
      <c r="C3267" s="138">
        <v>0.85</v>
      </c>
      <c r="D3267" s="138">
        <v>51</v>
      </c>
      <c r="E3267" s="138">
        <v>70.588235294117652</v>
      </c>
      <c r="F3267" s="139">
        <v>0.85</v>
      </c>
    </row>
    <row r="3268" spans="1:6" x14ac:dyDescent="0.25">
      <c r="A3268" s="110"/>
      <c r="B3268" s="125" t="s">
        <v>2865</v>
      </c>
      <c r="C3268" s="138">
        <v>0.85</v>
      </c>
      <c r="D3268" s="138">
        <v>51</v>
      </c>
      <c r="E3268" s="138">
        <v>70.588235294117652</v>
      </c>
      <c r="F3268" s="139">
        <v>0.85</v>
      </c>
    </row>
    <row r="3269" spans="1:6" x14ac:dyDescent="0.25">
      <c r="A3269" s="110"/>
      <c r="B3269" s="125" t="s">
        <v>2866</v>
      </c>
      <c r="C3269" s="138">
        <v>0.85</v>
      </c>
      <c r="D3269" s="138">
        <v>51</v>
      </c>
      <c r="E3269" s="138">
        <v>70.588235294117652</v>
      </c>
      <c r="F3269" s="139">
        <v>0.85</v>
      </c>
    </row>
    <row r="3270" spans="1:6" x14ac:dyDescent="0.25">
      <c r="A3270" s="110"/>
      <c r="B3270" s="125" t="s">
        <v>2867</v>
      </c>
      <c r="C3270" s="138">
        <v>0.85</v>
      </c>
      <c r="D3270" s="138">
        <v>51</v>
      </c>
      <c r="E3270" s="138">
        <v>70.588235294117652</v>
      </c>
      <c r="F3270" s="139">
        <v>0.85</v>
      </c>
    </row>
    <row r="3271" spans="1:6" x14ac:dyDescent="0.25">
      <c r="A3271" s="110"/>
      <c r="B3271" s="125" t="s">
        <v>2868</v>
      </c>
      <c r="C3271" s="138">
        <v>0.9</v>
      </c>
      <c r="D3271" s="138">
        <v>54</v>
      </c>
      <c r="E3271" s="138">
        <v>66.666666666666671</v>
      </c>
      <c r="F3271" s="139">
        <v>0.9</v>
      </c>
    </row>
    <row r="3272" spans="1:6" x14ac:dyDescent="0.25">
      <c r="A3272" s="110"/>
      <c r="B3272" s="125" t="s">
        <v>2869</v>
      </c>
      <c r="C3272" s="138">
        <v>3.1</v>
      </c>
      <c r="D3272" s="138">
        <v>186</v>
      </c>
      <c r="E3272" s="138">
        <v>19.35483870967742</v>
      </c>
      <c r="F3272" s="139">
        <v>3.1</v>
      </c>
    </row>
    <row r="3273" spans="1:6" x14ac:dyDescent="0.25">
      <c r="A3273" s="110"/>
      <c r="B3273" s="125" t="s">
        <v>2870</v>
      </c>
      <c r="C3273" s="138">
        <v>2.95</v>
      </c>
      <c r="D3273" s="138">
        <v>177</v>
      </c>
      <c r="E3273" s="138">
        <v>20.338983050847457</v>
      </c>
      <c r="F3273" s="139">
        <v>2.95</v>
      </c>
    </row>
    <row r="3274" spans="1:6" x14ac:dyDescent="0.25">
      <c r="A3274" s="110"/>
      <c r="B3274" s="125" t="s">
        <v>2871</v>
      </c>
      <c r="C3274" s="138">
        <v>3.1</v>
      </c>
      <c r="D3274" s="138">
        <v>186</v>
      </c>
      <c r="E3274" s="138">
        <v>19.35483870967742</v>
      </c>
      <c r="F3274" s="139">
        <v>3.1</v>
      </c>
    </row>
    <row r="3275" spans="1:6" x14ac:dyDescent="0.25">
      <c r="A3275" s="110"/>
      <c r="B3275" s="125" t="s">
        <v>2872</v>
      </c>
      <c r="C3275" s="138">
        <v>2.95</v>
      </c>
      <c r="D3275" s="138">
        <v>177</v>
      </c>
      <c r="E3275" s="138">
        <v>20.338983050847457</v>
      </c>
      <c r="F3275" s="139">
        <v>2.95</v>
      </c>
    </row>
    <row r="3276" spans="1:6" x14ac:dyDescent="0.25">
      <c r="A3276" s="110"/>
      <c r="B3276" s="125" t="s">
        <v>2873</v>
      </c>
      <c r="C3276" s="138">
        <v>0.92</v>
      </c>
      <c r="D3276" s="138">
        <v>55.2</v>
      </c>
      <c r="E3276" s="138">
        <v>65.217391304347828</v>
      </c>
      <c r="F3276" s="139">
        <v>0.92</v>
      </c>
    </row>
    <row r="3277" spans="1:6" x14ac:dyDescent="0.25">
      <c r="A3277" s="110"/>
      <c r="B3277" s="125" t="s">
        <v>2874</v>
      </c>
      <c r="C3277" s="138">
        <v>0.92</v>
      </c>
      <c r="D3277" s="138">
        <v>55.2</v>
      </c>
      <c r="E3277" s="138">
        <v>65.217391304347828</v>
      </c>
      <c r="F3277" s="139">
        <v>0.92</v>
      </c>
    </row>
    <row r="3278" spans="1:6" x14ac:dyDescent="0.25">
      <c r="A3278" s="110"/>
      <c r="B3278" s="125" t="s">
        <v>2875</v>
      </c>
      <c r="C3278" s="138">
        <v>0</v>
      </c>
      <c r="D3278" s="138">
        <v>0</v>
      </c>
      <c r="E3278" s="138" t="e">
        <v>#DIV/0!</v>
      </c>
      <c r="F3278" s="139">
        <v>0</v>
      </c>
    </row>
    <row r="3279" spans="1:6" x14ac:dyDescent="0.25">
      <c r="A3279" s="110"/>
      <c r="B3279" s="125" t="s">
        <v>2876</v>
      </c>
      <c r="C3279" s="138">
        <v>0</v>
      </c>
      <c r="D3279" s="138">
        <v>0</v>
      </c>
      <c r="E3279" s="138" t="e">
        <v>#DIV/0!</v>
      </c>
      <c r="F3279" s="139">
        <v>0</v>
      </c>
    </row>
    <row r="3280" spans="1:6" x14ac:dyDescent="0.25">
      <c r="A3280" s="110"/>
      <c r="B3280" s="125" t="s">
        <v>2877</v>
      </c>
      <c r="C3280" s="138">
        <v>0.6</v>
      </c>
      <c r="D3280" s="138">
        <v>36</v>
      </c>
      <c r="E3280" s="138">
        <v>100</v>
      </c>
      <c r="F3280" s="139">
        <v>0.6</v>
      </c>
    </row>
    <row r="3281" spans="1:6" x14ac:dyDescent="0.25">
      <c r="A3281" s="110"/>
      <c r="B3281" s="125" t="s">
        <v>2878</v>
      </c>
      <c r="C3281" s="138">
        <v>0.6</v>
      </c>
      <c r="D3281" s="138">
        <v>36</v>
      </c>
      <c r="E3281" s="138">
        <v>100</v>
      </c>
      <c r="F3281" s="139">
        <v>0.6</v>
      </c>
    </row>
    <row r="3282" spans="1:6" x14ac:dyDescent="0.25">
      <c r="A3282" s="110"/>
      <c r="B3282" s="125" t="s">
        <v>2879</v>
      </c>
      <c r="C3282" s="138">
        <v>0.92</v>
      </c>
      <c r="D3282" s="138">
        <v>55.2</v>
      </c>
      <c r="E3282" s="138">
        <v>65.217391304347828</v>
      </c>
      <c r="F3282" s="139">
        <v>0.92</v>
      </c>
    </row>
    <row r="3283" spans="1:6" x14ac:dyDescent="0.25">
      <c r="A3283" s="110"/>
      <c r="B3283" s="125" t="s">
        <v>2880</v>
      </c>
      <c r="C3283" s="138">
        <v>0.92</v>
      </c>
      <c r="D3283" s="138">
        <v>55.2</v>
      </c>
      <c r="E3283" s="138">
        <v>65.217391304347828</v>
      </c>
      <c r="F3283" s="139">
        <v>0.92</v>
      </c>
    </row>
    <row r="3284" spans="1:6" x14ac:dyDescent="0.25">
      <c r="A3284" s="110"/>
      <c r="B3284" s="125" t="s">
        <v>2881</v>
      </c>
      <c r="C3284" s="138">
        <v>1.33</v>
      </c>
      <c r="D3284" s="138">
        <v>79.800000000000011</v>
      </c>
      <c r="E3284" s="138">
        <v>45.112781954887211</v>
      </c>
      <c r="F3284" s="139">
        <v>1.33</v>
      </c>
    </row>
    <row r="3285" spans="1:6" x14ac:dyDescent="0.25">
      <c r="A3285" s="110"/>
      <c r="B3285" s="125" t="s">
        <v>2882</v>
      </c>
      <c r="C3285" s="138">
        <v>1.33</v>
      </c>
      <c r="D3285" s="138">
        <v>79.800000000000011</v>
      </c>
      <c r="E3285" s="138">
        <v>45.112781954887211</v>
      </c>
      <c r="F3285" s="139">
        <v>1.33</v>
      </c>
    </row>
    <row r="3286" spans="1:6" x14ac:dyDescent="0.25">
      <c r="A3286" s="110"/>
      <c r="B3286" s="125" t="s">
        <v>2883</v>
      </c>
      <c r="C3286" s="138">
        <v>1.33</v>
      </c>
      <c r="D3286" s="138">
        <v>79.800000000000011</v>
      </c>
      <c r="E3286" s="138">
        <v>45.112781954887211</v>
      </c>
      <c r="F3286" s="139">
        <v>1.33</v>
      </c>
    </row>
    <row r="3287" spans="1:6" x14ac:dyDescent="0.25">
      <c r="A3287" s="110"/>
      <c r="B3287" s="125" t="s">
        <v>2884</v>
      </c>
      <c r="C3287" s="138">
        <v>1.33</v>
      </c>
      <c r="D3287" s="138">
        <v>79.800000000000011</v>
      </c>
      <c r="E3287" s="138">
        <v>45.112781954887211</v>
      </c>
      <c r="F3287" s="139">
        <v>1.33</v>
      </c>
    </row>
    <row r="3288" spans="1:6" x14ac:dyDescent="0.25">
      <c r="A3288" s="110"/>
      <c r="B3288" s="125" t="s">
        <v>2885</v>
      </c>
      <c r="C3288" s="138">
        <v>0.91</v>
      </c>
      <c r="D3288" s="138">
        <v>54.6</v>
      </c>
      <c r="E3288" s="138">
        <v>65.934065934065927</v>
      </c>
      <c r="F3288" s="139">
        <v>0.91</v>
      </c>
    </row>
    <row r="3289" spans="1:6" x14ac:dyDescent="0.25">
      <c r="A3289" s="110"/>
      <c r="B3289" s="125" t="s">
        <v>2886</v>
      </c>
      <c r="C3289" s="138">
        <v>0.91</v>
      </c>
      <c r="D3289" s="138">
        <v>54.6</v>
      </c>
      <c r="E3289" s="138">
        <v>65.934065934065927</v>
      </c>
      <c r="F3289" s="139">
        <v>0.91</v>
      </c>
    </row>
    <row r="3290" spans="1:6" x14ac:dyDescent="0.25">
      <c r="A3290" s="110"/>
      <c r="B3290" s="125" t="s">
        <v>2887</v>
      </c>
      <c r="C3290" s="138">
        <v>1.33</v>
      </c>
      <c r="D3290" s="138">
        <v>79.800000000000011</v>
      </c>
      <c r="E3290" s="138">
        <v>45.112781954887211</v>
      </c>
      <c r="F3290" s="139">
        <v>1.33</v>
      </c>
    </row>
    <row r="3291" spans="1:6" x14ac:dyDescent="0.25">
      <c r="A3291" s="110"/>
      <c r="B3291" s="125" t="s">
        <v>2888</v>
      </c>
      <c r="C3291" s="138">
        <v>1.33</v>
      </c>
      <c r="D3291" s="138">
        <v>79.800000000000011</v>
      </c>
      <c r="E3291" s="138">
        <v>45.112781954887211</v>
      </c>
      <c r="F3291" s="139">
        <v>1.33</v>
      </c>
    </row>
    <row r="3292" spans="1:6" x14ac:dyDescent="0.25">
      <c r="A3292" s="110"/>
      <c r="B3292" s="125" t="s">
        <v>2889</v>
      </c>
      <c r="C3292" s="138">
        <v>0.77</v>
      </c>
      <c r="D3292" s="138">
        <v>46.2</v>
      </c>
      <c r="E3292" s="138">
        <v>77.922077922077918</v>
      </c>
      <c r="F3292" s="139">
        <v>0.77</v>
      </c>
    </row>
    <row r="3293" spans="1:6" x14ac:dyDescent="0.25">
      <c r="A3293" s="110"/>
      <c r="B3293" s="125" t="s">
        <v>2890</v>
      </c>
      <c r="C3293" s="138">
        <v>0.77</v>
      </c>
      <c r="D3293" s="138">
        <v>46.2</v>
      </c>
      <c r="E3293" s="138">
        <v>77.922077922077918</v>
      </c>
      <c r="F3293" s="139">
        <v>0.77</v>
      </c>
    </row>
    <row r="3294" spans="1:6" x14ac:dyDescent="0.25">
      <c r="A3294" s="110"/>
      <c r="B3294" s="125" t="s">
        <v>2891</v>
      </c>
      <c r="C3294" s="138">
        <v>1.33</v>
      </c>
      <c r="D3294" s="138">
        <v>79.800000000000011</v>
      </c>
      <c r="E3294" s="138">
        <v>45.112781954887211</v>
      </c>
      <c r="F3294" s="139">
        <v>1.33</v>
      </c>
    </row>
    <row r="3295" spans="1:6" x14ac:dyDescent="0.25">
      <c r="A3295" s="110"/>
      <c r="B3295" s="125" t="s">
        <v>2892</v>
      </c>
      <c r="C3295" s="138">
        <v>1.33</v>
      </c>
      <c r="D3295" s="138">
        <v>79.800000000000011</v>
      </c>
      <c r="E3295" s="138">
        <v>45.112781954887211</v>
      </c>
      <c r="F3295" s="139">
        <v>1.33</v>
      </c>
    </row>
    <row r="3296" spans="1:6" x14ac:dyDescent="0.25">
      <c r="A3296" s="110"/>
      <c r="B3296" s="125" t="s">
        <v>2893</v>
      </c>
      <c r="C3296" s="138">
        <v>0.92</v>
      </c>
      <c r="D3296" s="138">
        <v>55.2</v>
      </c>
      <c r="E3296" s="138">
        <v>65.217391304347828</v>
      </c>
      <c r="F3296" s="139">
        <v>0.92</v>
      </c>
    </row>
    <row r="3297" spans="1:6" x14ac:dyDescent="0.25">
      <c r="A3297" s="110"/>
      <c r="B3297" s="125" t="s">
        <v>2894</v>
      </c>
      <c r="C3297" s="138">
        <v>0.92</v>
      </c>
      <c r="D3297" s="138">
        <v>55.2</v>
      </c>
      <c r="E3297" s="138">
        <v>65.217391304347828</v>
      </c>
      <c r="F3297" s="139">
        <v>0.92</v>
      </c>
    </row>
    <row r="3298" spans="1:6" x14ac:dyDescent="0.25">
      <c r="A3298" s="110"/>
      <c r="B3298" s="125" t="s">
        <v>2895</v>
      </c>
      <c r="C3298" s="138">
        <v>0.92</v>
      </c>
      <c r="D3298" s="138">
        <v>55.2</v>
      </c>
      <c r="E3298" s="138">
        <v>65.217391304347828</v>
      </c>
      <c r="F3298" s="139">
        <v>0.92</v>
      </c>
    </row>
    <row r="3299" spans="1:6" x14ac:dyDescent="0.25">
      <c r="A3299" s="110"/>
      <c r="B3299" s="125" t="s">
        <v>2896</v>
      </c>
      <c r="C3299" s="138">
        <v>0.92</v>
      </c>
      <c r="D3299" s="138">
        <v>55.2</v>
      </c>
      <c r="E3299" s="138">
        <v>65.217391304347828</v>
      </c>
      <c r="F3299" s="139">
        <v>0.92</v>
      </c>
    </row>
    <row r="3300" spans="1:6" x14ac:dyDescent="0.25">
      <c r="A3300" s="110"/>
      <c r="B3300" s="125" t="s">
        <v>2897</v>
      </c>
      <c r="C3300" s="138">
        <v>0.92</v>
      </c>
      <c r="D3300" s="138">
        <v>55.2</v>
      </c>
      <c r="E3300" s="138">
        <v>65.217391304347828</v>
      </c>
      <c r="F3300" s="139">
        <v>0.92</v>
      </c>
    </row>
    <row r="3301" spans="1:6" x14ac:dyDescent="0.25">
      <c r="A3301" s="110"/>
      <c r="B3301" s="125" t="s">
        <v>2898</v>
      </c>
      <c r="C3301" s="138">
        <v>0.92</v>
      </c>
      <c r="D3301" s="138">
        <v>55.2</v>
      </c>
      <c r="E3301" s="138">
        <v>65.217391304347828</v>
      </c>
      <c r="F3301" s="139">
        <v>0.92</v>
      </c>
    </row>
    <row r="3302" spans="1:6" x14ac:dyDescent="0.25">
      <c r="A3302" s="110"/>
      <c r="B3302" s="125" t="s">
        <v>2899</v>
      </c>
      <c r="C3302" s="138">
        <v>0.8</v>
      </c>
      <c r="D3302" s="138">
        <v>48</v>
      </c>
      <c r="E3302" s="138">
        <v>75</v>
      </c>
      <c r="F3302" s="139">
        <v>0.8</v>
      </c>
    </row>
    <row r="3303" spans="1:6" x14ac:dyDescent="0.25">
      <c r="A3303" s="110"/>
      <c r="B3303" s="125" t="s">
        <v>706</v>
      </c>
      <c r="C3303" s="138">
        <v>0.66</v>
      </c>
      <c r="D3303" s="138">
        <v>39.6</v>
      </c>
      <c r="E3303" s="138">
        <v>90.909090909090907</v>
      </c>
      <c r="F3303" s="139">
        <v>0.66</v>
      </c>
    </row>
    <row r="3304" spans="1:6" x14ac:dyDescent="0.25">
      <c r="A3304" s="110"/>
      <c r="B3304" s="125" t="s">
        <v>707</v>
      </c>
      <c r="C3304" s="138">
        <v>0.66</v>
      </c>
      <c r="D3304" s="138">
        <v>39.6</v>
      </c>
      <c r="E3304" s="138">
        <v>90.909090909090907</v>
      </c>
      <c r="F3304" s="139">
        <v>0.66</v>
      </c>
    </row>
    <row r="3305" spans="1:6" x14ac:dyDescent="0.25">
      <c r="A3305" s="110"/>
      <c r="B3305" s="125" t="s">
        <v>2900</v>
      </c>
      <c r="C3305" s="138">
        <v>0</v>
      </c>
      <c r="D3305" s="138">
        <v>0</v>
      </c>
      <c r="E3305" s="138" t="e">
        <v>#DIV/0!</v>
      </c>
      <c r="F3305" s="139">
        <v>0</v>
      </c>
    </row>
    <row r="3306" spans="1:6" x14ac:dyDescent="0.25">
      <c r="A3306" s="110"/>
      <c r="B3306" s="125" t="s">
        <v>2901</v>
      </c>
      <c r="C3306" s="138">
        <v>0</v>
      </c>
      <c r="D3306" s="138">
        <v>0</v>
      </c>
      <c r="E3306" s="138" t="e">
        <v>#DIV/0!</v>
      </c>
      <c r="F3306" s="139">
        <v>0</v>
      </c>
    </row>
    <row r="3307" spans="1:6" x14ac:dyDescent="0.25">
      <c r="A3307" s="110"/>
      <c r="B3307" s="125" t="s">
        <v>2902</v>
      </c>
      <c r="C3307" s="138">
        <v>1.55</v>
      </c>
      <c r="D3307" s="138">
        <v>93</v>
      </c>
      <c r="E3307" s="138">
        <v>38.70967741935484</v>
      </c>
      <c r="F3307" s="139">
        <v>1.55</v>
      </c>
    </row>
    <row r="3308" spans="1:6" x14ac:dyDescent="0.25">
      <c r="A3308" s="110"/>
      <c r="B3308" s="125" t="s">
        <v>2903</v>
      </c>
      <c r="C3308" s="138">
        <v>1.55</v>
      </c>
      <c r="D3308" s="138">
        <v>93</v>
      </c>
      <c r="E3308" s="138">
        <v>38.70967741935484</v>
      </c>
      <c r="F3308" s="139">
        <v>1.55</v>
      </c>
    </row>
    <row r="3309" spans="1:6" x14ac:dyDescent="0.25">
      <c r="A3309" s="110"/>
      <c r="B3309" s="125" t="s">
        <v>2904</v>
      </c>
      <c r="C3309" s="138">
        <v>0</v>
      </c>
      <c r="D3309" s="138">
        <v>0</v>
      </c>
      <c r="E3309" s="138" t="e">
        <v>#DIV/0!</v>
      </c>
      <c r="F3309" s="139">
        <v>0</v>
      </c>
    </row>
    <row r="3310" spans="1:6" x14ac:dyDescent="0.25">
      <c r="A3310" s="110"/>
      <c r="B3310" s="125" t="s">
        <v>2905</v>
      </c>
      <c r="C3310" s="138">
        <v>0</v>
      </c>
      <c r="D3310" s="138">
        <v>0</v>
      </c>
      <c r="E3310" s="138" t="e">
        <v>#DIV/0!</v>
      </c>
      <c r="F3310" s="139">
        <v>0</v>
      </c>
    </row>
    <row r="3311" spans="1:6" x14ac:dyDescent="0.25">
      <c r="A3311" s="110"/>
      <c r="B3311" s="125" t="s">
        <v>2906</v>
      </c>
      <c r="C3311" s="138">
        <v>0.88</v>
      </c>
      <c r="D3311" s="138">
        <v>52.8</v>
      </c>
      <c r="E3311" s="138">
        <v>68.181818181818187</v>
      </c>
      <c r="F3311" s="139">
        <v>0.88</v>
      </c>
    </row>
    <row r="3312" spans="1:6" x14ac:dyDescent="0.25">
      <c r="A3312" s="110"/>
      <c r="B3312" s="125" t="s">
        <v>2907</v>
      </c>
      <c r="C3312" s="138">
        <v>0.88</v>
      </c>
      <c r="D3312" s="138">
        <v>52.8</v>
      </c>
      <c r="E3312" s="138">
        <v>68.181818181818187</v>
      </c>
      <c r="F3312" s="139">
        <v>0.88</v>
      </c>
    </row>
    <row r="3313" spans="1:6" x14ac:dyDescent="0.25">
      <c r="A3313" s="110"/>
      <c r="B3313" s="125" t="s">
        <v>2908</v>
      </c>
      <c r="C3313" s="138">
        <v>0.6</v>
      </c>
      <c r="D3313" s="138">
        <v>36</v>
      </c>
      <c r="E3313" s="138">
        <v>100</v>
      </c>
      <c r="F3313" s="139">
        <v>0.6</v>
      </c>
    </row>
    <row r="3314" spans="1:6" x14ac:dyDescent="0.25">
      <c r="A3314" s="110"/>
      <c r="B3314" s="125" t="s">
        <v>2909</v>
      </c>
      <c r="C3314" s="138">
        <v>0.6</v>
      </c>
      <c r="D3314" s="138">
        <v>36</v>
      </c>
      <c r="E3314" s="138">
        <v>100</v>
      </c>
      <c r="F3314" s="139">
        <v>0.6</v>
      </c>
    </row>
    <row r="3315" spans="1:6" x14ac:dyDescent="0.25">
      <c r="A3315" s="110"/>
      <c r="B3315" s="125" t="s">
        <v>2910</v>
      </c>
      <c r="C3315" s="138">
        <v>1.82</v>
      </c>
      <c r="D3315" s="138">
        <v>109.2</v>
      </c>
      <c r="E3315" s="138">
        <v>32.967032967032964</v>
      </c>
      <c r="F3315" s="139">
        <v>1.82</v>
      </c>
    </row>
    <row r="3316" spans="1:6" x14ac:dyDescent="0.25">
      <c r="A3316" s="110"/>
      <c r="B3316" s="125" t="s">
        <v>2911</v>
      </c>
      <c r="C3316" s="138">
        <v>0</v>
      </c>
      <c r="D3316" s="138">
        <v>0</v>
      </c>
      <c r="E3316" s="138" t="e">
        <v>#DIV/0!</v>
      </c>
      <c r="F3316" s="139">
        <v>0</v>
      </c>
    </row>
    <row r="3317" spans="1:6" x14ac:dyDescent="0.25">
      <c r="A3317" s="110"/>
      <c r="B3317" s="125" t="s">
        <v>2912</v>
      </c>
      <c r="C3317" s="138">
        <v>0</v>
      </c>
      <c r="D3317" s="138">
        <v>0</v>
      </c>
      <c r="E3317" s="138" t="e">
        <v>#DIV/0!</v>
      </c>
      <c r="F3317" s="139">
        <v>0</v>
      </c>
    </row>
    <row r="3318" spans="1:6" x14ac:dyDescent="0.25">
      <c r="A3318" s="110"/>
      <c r="B3318" s="125" t="s">
        <v>2913</v>
      </c>
      <c r="C3318" s="138">
        <v>0</v>
      </c>
      <c r="D3318" s="138">
        <v>0</v>
      </c>
      <c r="E3318" s="138" t="e">
        <v>#DIV/0!</v>
      </c>
      <c r="F3318" s="139">
        <v>0</v>
      </c>
    </row>
    <row r="3319" spans="1:6" x14ac:dyDescent="0.25">
      <c r="A3319" s="110"/>
      <c r="B3319" s="125" t="s">
        <v>2914</v>
      </c>
      <c r="C3319" s="138">
        <v>1</v>
      </c>
      <c r="D3319" s="138">
        <v>60</v>
      </c>
      <c r="E3319" s="138">
        <v>60</v>
      </c>
      <c r="F3319" s="139">
        <v>1</v>
      </c>
    </row>
    <row r="3320" spans="1:6" x14ac:dyDescent="0.25">
      <c r="A3320" s="110"/>
      <c r="B3320" s="125" t="s">
        <v>2915</v>
      </c>
      <c r="C3320" s="138">
        <v>1.2</v>
      </c>
      <c r="D3320" s="138">
        <v>72</v>
      </c>
      <c r="E3320" s="138">
        <v>50</v>
      </c>
      <c r="F3320" s="139">
        <v>1.2</v>
      </c>
    </row>
    <row r="3321" spans="1:6" x14ac:dyDescent="0.25">
      <c r="A3321" s="110"/>
      <c r="B3321" s="125" t="s">
        <v>2916</v>
      </c>
      <c r="C3321" s="138">
        <v>1</v>
      </c>
      <c r="D3321" s="138">
        <v>60</v>
      </c>
      <c r="E3321" s="138">
        <v>60</v>
      </c>
      <c r="F3321" s="139">
        <v>1</v>
      </c>
    </row>
    <row r="3322" spans="1:6" x14ac:dyDescent="0.25">
      <c r="A3322" s="110"/>
      <c r="B3322" s="125" t="s">
        <v>2917</v>
      </c>
      <c r="C3322" s="138">
        <v>1</v>
      </c>
      <c r="D3322" s="138">
        <v>60</v>
      </c>
      <c r="E3322" s="138">
        <v>60</v>
      </c>
      <c r="F3322" s="139">
        <v>1</v>
      </c>
    </row>
    <row r="3323" spans="1:6" x14ac:dyDescent="0.25">
      <c r="A3323" s="110"/>
      <c r="B3323" s="125" t="s">
        <v>2918</v>
      </c>
      <c r="C3323" s="138">
        <v>1</v>
      </c>
      <c r="D3323" s="138">
        <v>60</v>
      </c>
      <c r="E3323" s="138">
        <v>60</v>
      </c>
      <c r="F3323" s="139">
        <v>1</v>
      </c>
    </row>
    <row r="3324" spans="1:6" x14ac:dyDescent="0.25">
      <c r="A3324" s="110"/>
      <c r="B3324" s="125" t="s">
        <v>2919</v>
      </c>
      <c r="C3324" s="138">
        <v>1.2</v>
      </c>
      <c r="D3324" s="138">
        <v>72</v>
      </c>
      <c r="E3324" s="138">
        <v>50</v>
      </c>
      <c r="F3324" s="139">
        <v>1.2</v>
      </c>
    </row>
    <row r="3325" spans="1:6" x14ac:dyDescent="0.25">
      <c r="A3325" s="110"/>
      <c r="B3325" s="125" t="s">
        <v>2920</v>
      </c>
      <c r="C3325" s="138">
        <v>1</v>
      </c>
      <c r="D3325" s="138">
        <v>60</v>
      </c>
      <c r="E3325" s="138">
        <v>60</v>
      </c>
      <c r="F3325" s="139">
        <v>1</v>
      </c>
    </row>
    <row r="3326" spans="1:6" x14ac:dyDescent="0.25">
      <c r="A3326" s="110"/>
      <c r="B3326" s="125" t="s">
        <v>2921</v>
      </c>
      <c r="C3326" s="138">
        <v>1</v>
      </c>
      <c r="D3326" s="138">
        <v>60</v>
      </c>
      <c r="E3326" s="138">
        <v>60</v>
      </c>
      <c r="F3326" s="139">
        <v>1</v>
      </c>
    </row>
    <row r="3327" spans="1:6" x14ac:dyDescent="0.25">
      <c r="A3327" s="110"/>
      <c r="B3327" s="125" t="s">
        <v>2922</v>
      </c>
      <c r="C3327" s="138">
        <v>1.82</v>
      </c>
      <c r="D3327" s="138">
        <v>109.2</v>
      </c>
      <c r="E3327" s="138">
        <v>32.967032967032964</v>
      </c>
      <c r="F3327" s="139">
        <v>1.82</v>
      </c>
    </row>
    <row r="3328" spans="1:6" x14ac:dyDescent="0.25">
      <c r="A3328" s="110"/>
      <c r="B3328" s="125" t="s">
        <v>2923</v>
      </c>
      <c r="C3328" s="138">
        <v>1.82</v>
      </c>
      <c r="D3328" s="138">
        <v>109.2</v>
      </c>
      <c r="E3328" s="138">
        <v>32.967032967032964</v>
      </c>
      <c r="F3328" s="139">
        <v>1.82</v>
      </c>
    </row>
    <row r="3329" spans="1:6" x14ac:dyDescent="0.25">
      <c r="A3329" s="110"/>
      <c r="B3329" s="125" t="s">
        <v>2924</v>
      </c>
      <c r="C3329" s="138">
        <v>1.82</v>
      </c>
      <c r="D3329" s="138">
        <v>109.2</v>
      </c>
      <c r="E3329" s="138">
        <v>32.967032967032964</v>
      </c>
      <c r="F3329" s="139">
        <v>1.82</v>
      </c>
    </row>
    <row r="3330" spans="1:6" x14ac:dyDescent="0.25">
      <c r="A3330" s="110"/>
      <c r="B3330" s="125" t="s">
        <v>2925</v>
      </c>
      <c r="C3330" s="138">
        <v>1.82</v>
      </c>
      <c r="D3330" s="138">
        <v>109.2</v>
      </c>
      <c r="E3330" s="138">
        <v>32.967032967032964</v>
      </c>
      <c r="F3330" s="139">
        <v>1.82</v>
      </c>
    </row>
    <row r="3331" spans="1:6" x14ac:dyDescent="0.25">
      <c r="A3331" s="110"/>
      <c r="B3331" s="125" t="s">
        <v>2926</v>
      </c>
      <c r="C3331" s="138">
        <v>1.82</v>
      </c>
      <c r="D3331" s="138">
        <v>109.2</v>
      </c>
      <c r="E3331" s="138">
        <v>32.967032967032964</v>
      </c>
      <c r="F3331" s="139">
        <v>1.82</v>
      </c>
    </row>
    <row r="3332" spans="1:6" x14ac:dyDescent="0.25">
      <c r="A3332" s="110"/>
      <c r="B3332" s="125" t="s">
        <v>2927</v>
      </c>
      <c r="C3332" s="138">
        <v>1.82</v>
      </c>
      <c r="D3332" s="138">
        <v>109.2</v>
      </c>
      <c r="E3332" s="138">
        <v>32.967032967032964</v>
      </c>
      <c r="F3332" s="139">
        <v>1.82</v>
      </c>
    </row>
    <row r="3333" spans="1:6" x14ac:dyDescent="0.25">
      <c r="A3333" s="110"/>
      <c r="B3333" s="125" t="s">
        <v>2928</v>
      </c>
      <c r="C3333" s="138">
        <v>1.82</v>
      </c>
      <c r="D3333" s="138">
        <v>109.2</v>
      </c>
      <c r="E3333" s="138">
        <v>32.967032967032964</v>
      </c>
      <c r="F3333" s="139">
        <v>1.82</v>
      </c>
    </row>
    <row r="3334" spans="1:6" x14ac:dyDescent="0.25">
      <c r="A3334" s="110"/>
      <c r="B3334" s="125" t="s">
        <v>2929</v>
      </c>
      <c r="C3334" s="138">
        <v>1.82</v>
      </c>
      <c r="D3334" s="138">
        <v>109.2</v>
      </c>
      <c r="E3334" s="138">
        <v>32.967032967032964</v>
      </c>
      <c r="F3334" s="139">
        <v>1.82</v>
      </c>
    </row>
    <row r="3335" spans="1:6" x14ac:dyDescent="0.25">
      <c r="A3335" s="110"/>
      <c r="B3335" s="125" t="s">
        <v>2930</v>
      </c>
      <c r="C3335" s="138">
        <v>3.39</v>
      </c>
      <c r="D3335" s="138">
        <v>203.4</v>
      </c>
      <c r="E3335" s="138">
        <v>17.699115044247787</v>
      </c>
      <c r="F3335" s="139">
        <v>3.39</v>
      </c>
    </row>
    <row r="3336" spans="1:6" x14ac:dyDescent="0.25">
      <c r="A3336" s="110"/>
      <c r="B3336" s="125" t="s">
        <v>2931</v>
      </c>
      <c r="C3336" s="138">
        <v>1.33</v>
      </c>
      <c r="D3336" s="138">
        <v>79.800000000000011</v>
      </c>
      <c r="E3336" s="138">
        <v>45.112781954887211</v>
      </c>
      <c r="F3336" s="139">
        <v>1.33</v>
      </c>
    </row>
    <row r="3337" spans="1:6" x14ac:dyDescent="0.25">
      <c r="A3337" s="110"/>
      <c r="B3337" s="125" t="s">
        <v>2932</v>
      </c>
      <c r="C3337" s="138">
        <v>1.33</v>
      </c>
      <c r="D3337" s="138">
        <v>79.800000000000011</v>
      </c>
      <c r="E3337" s="138">
        <v>45.112781954887211</v>
      </c>
      <c r="F3337" s="139">
        <v>1.33</v>
      </c>
    </row>
    <row r="3338" spans="1:6" x14ac:dyDescent="0.25">
      <c r="A3338" s="110"/>
      <c r="B3338" s="125" t="s">
        <v>2933</v>
      </c>
      <c r="C3338" s="138">
        <v>1.82</v>
      </c>
      <c r="D3338" s="138">
        <v>109.2</v>
      </c>
      <c r="E3338" s="138">
        <v>32.967032967032964</v>
      </c>
      <c r="F3338" s="139">
        <v>1.82</v>
      </c>
    </row>
    <row r="3339" spans="1:6" x14ac:dyDescent="0.25">
      <c r="A3339" s="110"/>
      <c r="B3339" s="125" t="s">
        <v>2934</v>
      </c>
      <c r="C3339" s="138">
        <v>1.82</v>
      </c>
      <c r="D3339" s="138">
        <v>109.2</v>
      </c>
      <c r="E3339" s="138">
        <v>32.967032967032964</v>
      </c>
      <c r="F3339" s="139">
        <v>1.82</v>
      </c>
    </row>
    <row r="3340" spans="1:6" x14ac:dyDescent="0.25">
      <c r="A3340" s="110"/>
      <c r="B3340" s="125" t="s">
        <v>2935</v>
      </c>
      <c r="C3340" s="138">
        <v>1.82</v>
      </c>
      <c r="D3340" s="138">
        <v>109.2</v>
      </c>
      <c r="E3340" s="138">
        <v>32.967032967032964</v>
      </c>
      <c r="F3340" s="139">
        <v>1.82</v>
      </c>
    </row>
    <row r="3341" spans="1:6" x14ac:dyDescent="0.25">
      <c r="A3341" s="110"/>
      <c r="B3341" s="125" t="s">
        <v>2751</v>
      </c>
      <c r="C3341" s="138">
        <v>1</v>
      </c>
      <c r="D3341" s="138">
        <v>60</v>
      </c>
      <c r="E3341" s="138">
        <v>60</v>
      </c>
      <c r="F3341" s="139">
        <v>1</v>
      </c>
    </row>
    <row r="3342" spans="1:6" x14ac:dyDescent="0.25">
      <c r="A3342" s="110"/>
      <c r="B3342" s="125" t="s">
        <v>2752</v>
      </c>
      <c r="C3342" s="138">
        <v>1</v>
      </c>
      <c r="D3342" s="138">
        <v>60</v>
      </c>
      <c r="E3342" s="138">
        <v>60</v>
      </c>
      <c r="F3342" s="139">
        <v>1</v>
      </c>
    </row>
    <row r="3343" spans="1:6" x14ac:dyDescent="0.25">
      <c r="A3343" s="110"/>
      <c r="B3343" s="125" t="s">
        <v>2745</v>
      </c>
      <c r="C3343" s="138">
        <v>1</v>
      </c>
      <c r="D3343" s="138">
        <v>60</v>
      </c>
      <c r="E3343" s="138">
        <v>60</v>
      </c>
      <c r="F3343" s="139">
        <v>1</v>
      </c>
    </row>
    <row r="3344" spans="1:6" x14ac:dyDescent="0.25">
      <c r="A3344" s="110"/>
      <c r="B3344" s="125" t="s">
        <v>2936</v>
      </c>
      <c r="C3344" s="138">
        <v>1.82</v>
      </c>
      <c r="D3344" s="138">
        <v>109.2</v>
      </c>
      <c r="E3344" s="138">
        <v>32.967032967032964</v>
      </c>
      <c r="F3344" s="139">
        <v>1.82</v>
      </c>
    </row>
    <row r="3345" spans="1:6" x14ac:dyDescent="0.25">
      <c r="A3345" s="110"/>
      <c r="B3345" s="125" t="s">
        <v>2937</v>
      </c>
      <c r="C3345" s="138">
        <v>1</v>
      </c>
      <c r="D3345" s="138">
        <v>60</v>
      </c>
      <c r="E3345" s="138">
        <v>60</v>
      </c>
      <c r="F3345" s="139">
        <v>1</v>
      </c>
    </row>
    <row r="3346" spans="1:6" x14ac:dyDescent="0.25">
      <c r="A3346" s="110"/>
      <c r="B3346" s="125" t="s">
        <v>2937</v>
      </c>
      <c r="C3346" s="138">
        <v>1</v>
      </c>
      <c r="D3346" s="138">
        <v>60</v>
      </c>
      <c r="E3346" s="138">
        <v>60</v>
      </c>
      <c r="F3346" s="139">
        <v>1</v>
      </c>
    </row>
    <row r="3347" spans="1:6" x14ac:dyDescent="0.25">
      <c r="A3347" s="110"/>
      <c r="B3347" s="125" t="s">
        <v>2938</v>
      </c>
      <c r="C3347" s="138">
        <v>1</v>
      </c>
      <c r="D3347" s="138">
        <v>60</v>
      </c>
      <c r="E3347" s="138">
        <v>60</v>
      </c>
      <c r="F3347" s="139">
        <v>1</v>
      </c>
    </row>
    <row r="3348" spans="1:6" x14ac:dyDescent="0.25">
      <c r="A3348" s="110"/>
      <c r="B3348" s="125" t="s">
        <v>2749</v>
      </c>
      <c r="C3348" s="138">
        <v>1</v>
      </c>
      <c r="D3348" s="138">
        <v>60</v>
      </c>
      <c r="E3348" s="138">
        <v>60</v>
      </c>
      <c r="F3348" s="139">
        <v>1</v>
      </c>
    </row>
    <row r="3349" spans="1:6" x14ac:dyDescent="0.25">
      <c r="A3349" s="110"/>
      <c r="B3349" s="125" t="s">
        <v>2939</v>
      </c>
      <c r="C3349" s="138">
        <v>1</v>
      </c>
      <c r="D3349" s="138">
        <v>60</v>
      </c>
      <c r="E3349" s="138">
        <v>60</v>
      </c>
      <c r="F3349" s="139">
        <v>1</v>
      </c>
    </row>
    <row r="3350" spans="1:6" x14ac:dyDescent="0.25">
      <c r="A3350" s="110"/>
      <c r="B3350" s="125" t="s">
        <v>2940</v>
      </c>
      <c r="C3350" s="138">
        <v>1.4</v>
      </c>
      <c r="D3350" s="138">
        <v>84</v>
      </c>
      <c r="E3350" s="138">
        <v>42.857142857142854</v>
      </c>
      <c r="F3350" s="139">
        <v>1.4</v>
      </c>
    </row>
    <row r="3351" spans="1:6" x14ac:dyDescent="0.25">
      <c r="A3351" s="110"/>
      <c r="B3351" s="125" t="s">
        <v>2941</v>
      </c>
      <c r="C3351" s="138">
        <v>1.4</v>
      </c>
      <c r="D3351" s="138">
        <v>84</v>
      </c>
      <c r="E3351" s="138">
        <v>42.857142857142854</v>
      </c>
      <c r="F3351" s="139">
        <v>1.4</v>
      </c>
    </row>
    <row r="3352" spans="1:6" x14ac:dyDescent="0.25">
      <c r="A3352" s="110"/>
      <c r="B3352" s="125" t="s">
        <v>2942</v>
      </c>
      <c r="C3352" s="138">
        <v>1.4</v>
      </c>
      <c r="D3352" s="138">
        <v>84</v>
      </c>
      <c r="E3352" s="138">
        <v>42.857142857142854</v>
      </c>
      <c r="F3352" s="139">
        <v>1.4</v>
      </c>
    </row>
    <row r="3353" spans="1:6" x14ac:dyDescent="0.25">
      <c r="A3353" s="110"/>
      <c r="B3353" s="125" t="s">
        <v>2943</v>
      </c>
      <c r="C3353" s="138">
        <v>1.4</v>
      </c>
      <c r="D3353" s="138">
        <v>84</v>
      </c>
      <c r="E3353" s="138">
        <v>42.857142857142854</v>
      </c>
      <c r="F3353" s="139">
        <v>1.4</v>
      </c>
    </row>
    <row r="3354" spans="1:6" x14ac:dyDescent="0.25">
      <c r="A3354" s="110"/>
      <c r="B3354" s="125" t="s">
        <v>2944</v>
      </c>
      <c r="C3354" s="138">
        <v>1.35</v>
      </c>
      <c r="D3354" s="138">
        <v>81</v>
      </c>
      <c r="E3354" s="138">
        <v>44.444444444444443</v>
      </c>
      <c r="F3354" s="139">
        <v>1.35</v>
      </c>
    </row>
    <row r="3355" spans="1:6" x14ac:dyDescent="0.25">
      <c r="A3355" s="110"/>
      <c r="B3355" s="125" t="s">
        <v>2945</v>
      </c>
      <c r="C3355" s="138">
        <v>1.35</v>
      </c>
      <c r="D3355" s="138">
        <v>81</v>
      </c>
      <c r="E3355" s="138">
        <v>44.444444444444443</v>
      </c>
      <c r="F3355" s="139">
        <v>1.35</v>
      </c>
    </row>
    <row r="3356" spans="1:6" x14ac:dyDescent="0.25">
      <c r="A3356" s="110"/>
      <c r="B3356" s="125" t="s">
        <v>2946</v>
      </c>
      <c r="C3356" s="138">
        <v>0.42</v>
      </c>
      <c r="D3356" s="138">
        <v>25.2</v>
      </c>
      <c r="E3356" s="138">
        <v>142.85714285714286</v>
      </c>
      <c r="F3356" s="139">
        <v>0.42</v>
      </c>
    </row>
    <row r="3357" spans="1:6" x14ac:dyDescent="0.25">
      <c r="A3357" s="110"/>
      <c r="B3357" s="125" t="s">
        <v>2947</v>
      </c>
      <c r="C3357" s="138">
        <v>1.2</v>
      </c>
      <c r="D3357" s="138">
        <v>72</v>
      </c>
      <c r="E3357" s="138">
        <v>50</v>
      </c>
      <c r="F3357" s="139">
        <v>1.2</v>
      </c>
    </row>
    <row r="3358" spans="1:6" x14ac:dyDescent="0.25">
      <c r="A3358" s="110"/>
      <c r="B3358" s="125" t="s">
        <v>2947</v>
      </c>
      <c r="C3358" s="138">
        <v>1.2</v>
      </c>
      <c r="D3358" s="138">
        <v>72</v>
      </c>
      <c r="E3358" s="138">
        <v>50</v>
      </c>
      <c r="F3358" s="139">
        <v>1.2</v>
      </c>
    </row>
    <row r="3359" spans="1:6" x14ac:dyDescent="0.25">
      <c r="A3359" s="110"/>
      <c r="B3359" s="125" t="s">
        <v>2948</v>
      </c>
      <c r="C3359" s="138">
        <v>1.2</v>
      </c>
      <c r="D3359" s="138">
        <v>72</v>
      </c>
      <c r="E3359" s="138">
        <v>50</v>
      </c>
      <c r="F3359" s="139">
        <v>1.2</v>
      </c>
    </row>
    <row r="3360" spans="1:6" x14ac:dyDescent="0.25">
      <c r="A3360" s="110"/>
      <c r="B3360" s="125" t="s">
        <v>2948</v>
      </c>
      <c r="C3360" s="138">
        <v>1.2</v>
      </c>
      <c r="D3360" s="138">
        <v>72</v>
      </c>
      <c r="E3360" s="138">
        <v>50</v>
      </c>
      <c r="F3360" s="139">
        <v>1.2</v>
      </c>
    </row>
    <row r="3361" spans="1:6" x14ac:dyDescent="0.25">
      <c r="A3361" s="110"/>
      <c r="B3361" s="125" t="s">
        <v>2949</v>
      </c>
      <c r="C3361" s="138">
        <v>1.2</v>
      </c>
      <c r="D3361" s="138">
        <v>72</v>
      </c>
      <c r="E3361" s="138">
        <v>50</v>
      </c>
      <c r="F3361" s="139">
        <v>1.2</v>
      </c>
    </row>
    <row r="3362" spans="1:6" x14ac:dyDescent="0.25">
      <c r="A3362" s="110"/>
      <c r="B3362" s="125" t="s">
        <v>2949</v>
      </c>
      <c r="C3362" s="138">
        <v>1.2</v>
      </c>
      <c r="D3362" s="138">
        <v>72</v>
      </c>
      <c r="E3362" s="138">
        <v>50</v>
      </c>
      <c r="F3362" s="139">
        <v>1.2</v>
      </c>
    </row>
    <row r="3363" spans="1:6" x14ac:dyDescent="0.25">
      <c r="A3363" s="110"/>
      <c r="B3363" s="125" t="s">
        <v>2949</v>
      </c>
      <c r="C3363" s="138">
        <v>1.2</v>
      </c>
      <c r="D3363" s="138">
        <v>72</v>
      </c>
      <c r="E3363" s="138">
        <v>50</v>
      </c>
      <c r="F3363" s="139">
        <v>1.2</v>
      </c>
    </row>
    <row r="3364" spans="1:6" x14ac:dyDescent="0.25">
      <c r="A3364" s="110"/>
      <c r="B3364" s="125" t="s">
        <v>2950</v>
      </c>
      <c r="C3364" s="138">
        <v>1.2</v>
      </c>
      <c r="D3364" s="138">
        <v>72</v>
      </c>
      <c r="E3364" s="138">
        <v>50</v>
      </c>
      <c r="F3364" s="139">
        <v>1.2</v>
      </c>
    </row>
    <row r="3365" spans="1:6" x14ac:dyDescent="0.25">
      <c r="A3365" s="110"/>
      <c r="B3365" s="125" t="s">
        <v>2950</v>
      </c>
      <c r="C3365" s="138">
        <v>1.2</v>
      </c>
      <c r="D3365" s="138">
        <v>72</v>
      </c>
      <c r="E3365" s="138">
        <v>50</v>
      </c>
      <c r="F3365" s="139">
        <v>1.2</v>
      </c>
    </row>
    <row r="3366" spans="1:6" x14ac:dyDescent="0.25">
      <c r="A3366" s="110"/>
      <c r="B3366" s="125" t="s">
        <v>2951</v>
      </c>
      <c r="C3366" s="138">
        <v>1.2</v>
      </c>
      <c r="D3366" s="138">
        <v>72</v>
      </c>
      <c r="E3366" s="138">
        <v>50</v>
      </c>
      <c r="F3366" s="139">
        <v>1.2</v>
      </c>
    </row>
    <row r="3367" spans="1:6" x14ac:dyDescent="0.25">
      <c r="A3367" s="110"/>
      <c r="B3367" s="125" t="s">
        <v>2951</v>
      </c>
      <c r="C3367" s="138">
        <v>1.2</v>
      </c>
      <c r="D3367" s="138">
        <v>72</v>
      </c>
      <c r="E3367" s="138">
        <v>50</v>
      </c>
      <c r="F3367" s="139">
        <v>1.2</v>
      </c>
    </row>
    <row r="3368" spans="1:6" x14ac:dyDescent="0.25">
      <c r="A3368" s="110"/>
      <c r="B3368" s="125" t="s">
        <v>2952</v>
      </c>
      <c r="C3368" s="138">
        <v>1.2</v>
      </c>
      <c r="D3368" s="138">
        <v>72</v>
      </c>
      <c r="E3368" s="138">
        <v>50</v>
      </c>
      <c r="F3368" s="139">
        <v>1.2</v>
      </c>
    </row>
    <row r="3369" spans="1:6" x14ac:dyDescent="0.25">
      <c r="A3369" s="110"/>
      <c r="B3369" s="125" t="s">
        <v>2952</v>
      </c>
      <c r="C3369" s="138">
        <v>1.2</v>
      </c>
      <c r="D3369" s="138">
        <v>72</v>
      </c>
      <c r="E3369" s="138">
        <v>50</v>
      </c>
      <c r="F3369" s="139">
        <v>1.2</v>
      </c>
    </row>
    <row r="3370" spans="1:6" x14ac:dyDescent="0.25">
      <c r="A3370" s="110"/>
      <c r="B3370" s="125" t="s">
        <v>2952</v>
      </c>
      <c r="C3370" s="138">
        <v>1.5</v>
      </c>
      <c r="D3370" s="138">
        <v>90</v>
      </c>
      <c r="E3370" s="138">
        <v>40</v>
      </c>
      <c r="F3370" s="139">
        <v>1.5</v>
      </c>
    </row>
    <row r="3371" spans="1:6" x14ac:dyDescent="0.25">
      <c r="A3371" s="110"/>
      <c r="B3371" s="125" t="s">
        <v>2953</v>
      </c>
      <c r="C3371" s="138">
        <v>1.48</v>
      </c>
      <c r="D3371" s="138">
        <v>88.8</v>
      </c>
      <c r="E3371" s="138">
        <v>40.54054054054054</v>
      </c>
      <c r="F3371" s="139">
        <v>1.48</v>
      </c>
    </row>
    <row r="3372" spans="1:6" x14ac:dyDescent="0.25">
      <c r="A3372" s="110"/>
      <c r="B3372" s="125" t="s">
        <v>2954</v>
      </c>
      <c r="C3372" s="138">
        <v>1.48</v>
      </c>
      <c r="D3372" s="138">
        <v>88.8</v>
      </c>
      <c r="E3372" s="138">
        <v>40.54054054054054</v>
      </c>
      <c r="F3372" s="139">
        <v>1.48</v>
      </c>
    </row>
    <row r="3373" spans="1:6" x14ac:dyDescent="0.25">
      <c r="A3373" s="110"/>
      <c r="B3373" s="125" t="s">
        <v>2955</v>
      </c>
      <c r="C3373" s="138">
        <v>1.48</v>
      </c>
      <c r="D3373" s="138">
        <v>88.8</v>
      </c>
      <c r="E3373" s="138">
        <v>40.54054054054054</v>
      </c>
      <c r="F3373" s="139">
        <v>1.48</v>
      </c>
    </row>
    <row r="3374" spans="1:6" x14ac:dyDescent="0.25">
      <c r="A3374" s="110"/>
      <c r="B3374" s="125" t="s">
        <v>2956</v>
      </c>
      <c r="C3374" s="138">
        <v>1.48</v>
      </c>
      <c r="D3374" s="138">
        <v>88.8</v>
      </c>
      <c r="E3374" s="138">
        <v>40.54054054054054</v>
      </c>
      <c r="F3374" s="139">
        <v>1.48</v>
      </c>
    </row>
    <row r="3375" spans="1:6" x14ac:dyDescent="0.25">
      <c r="A3375" s="110"/>
      <c r="B3375" s="125" t="s">
        <v>2957</v>
      </c>
      <c r="C3375" s="138">
        <v>1.18</v>
      </c>
      <c r="D3375" s="138">
        <v>70.8</v>
      </c>
      <c r="E3375" s="138">
        <v>50.847457627118644</v>
      </c>
      <c r="F3375" s="139">
        <v>1.18</v>
      </c>
    </row>
    <row r="3376" spans="1:6" x14ac:dyDescent="0.25">
      <c r="A3376" s="110"/>
      <c r="B3376" s="125" t="s">
        <v>2958</v>
      </c>
      <c r="C3376" s="138">
        <v>1.18</v>
      </c>
      <c r="D3376" s="138">
        <v>70.8</v>
      </c>
      <c r="E3376" s="138">
        <v>50.847457627118644</v>
      </c>
      <c r="F3376" s="139">
        <v>1.18</v>
      </c>
    </row>
    <row r="3377" spans="1:6" x14ac:dyDescent="0.25">
      <c r="A3377" s="110"/>
      <c r="B3377" s="125" t="s">
        <v>2959</v>
      </c>
      <c r="C3377" s="138">
        <v>1.18</v>
      </c>
      <c r="D3377" s="138">
        <v>70.8</v>
      </c>
      <c r="E3377" s="138">
        <v>50.847457627118644</v>
      </c>
      <c r="F3377" s="139">
        <v>1.18</v>
      </c>
    </row>
    <row r="3378" spans="1:6" x14ac:dyDescent="0.25">
      <c r="A3378" s="110"/>
      <c r="B3378" s="125" t="s">
        <v>2960</v>
      </c>
      <c r="C3378" s="138">
        <v>1.18</v>
      </c>
      <c r="D3378" s="138">
        <v>70.8</v>
      </c>
      <c r="E3378" s="138">
        <v>50.847457627118644</v>
      </c>
      <c r="F3378" s="139">
        <v>1.18</v>
      </c>
    </row>
    <row r="3379" spans="1:6" x14ac:dyDescent="0.25">
      <c r="A3379" s="110"/>
      <c r="B3379" s="125" t="s">
        <v>2961</v>
      </c>
      <c r="C3379" s="138">
        <v>1.4</v>
      </c>
      <c r="D3379" s="138">
        <v>84</v>
      </c>
      <c r="E3379" s="138">
        <v>42.857142857142854</v>
      </c>
      <c r="F3379" s="139">
        <v>1.4</v>
      </c>
    </row>
    <row r="3380" spans="1:6" x14ac:dyDescent="0.25">
      <c r="A3380" s="110"/>
      <c r="B3380" s="125" t="s">
        <v>2962</v>
      </c>
      <c r="C3380" s="138">
        <v>1.4</v>
      </c>
      <c r="D3380" s="138">
        <v>84</v>
      </c>
      <c r="E3380" s="138">
        <v>42.857142857142854</v>
      </c>
      <c r="F3380" s="139">
        <v>1.4</v>
      </c>
    </row>
    <row r="3381" spans="1:6" x14ac:dyDescent="0.25">
      <c r="A3381" s="110"/>
      <c r="B3381" s="125" t="s">
        <v>2961</v>
      </c>
      <c r="C3381" s="138">
        <v>1.4</v>
      </c>
      <c r="D3381" s="138">
        <v>84</v>
      </c>
      <c r="E3381" s="138">
        <v>42.857142857142854</v>
      </c>
      <c r="F3381" s="139">
        <v>1.4</v>
      </c>
    </row>
    <row r="3382" spans="1:6" x14ac:dyDescent="0.25">
      <c r="A3382" s="110"/>
      <c r="B3382" s="125" t="s">
        <v>2963</v>
      </c>
      <c r="C3382" s="138">
        <v>1.4</v>
      </c>
      <c r="D3382" s="138">
        <v>84</v>
      </c>
      <c r="E3382" s="138">
        <v>42.857142857142854</v>
      </c>
      <c r="F3382" s="139">
        <v>1.4</v>
      </c>
    </row>
    <row r="3383" spans="1:6" x14ac:dyDescent="0.25">
      <c r="A3383" s="110"/>
      <c r="B3383" s="125" t="s">
        <v>2964</v>
      </c>
      <c r="C3383" s="138">
        <v>1.4</v>
      </c>
      <c r="D3383" s="138">
        <v>84</v>
      </c>
      <c r="E3383" s="138">
        <v>42.857142857142854</v>
      </c>
      <c r="F3383" s="139">
        <v>1.4</v>
      </c>
    </row>
    <row r="3384" spans="1:6" x14ac:dyDescent="0.25">
      <c r="A3384" s="110"/>
      <c r="B3384" s="125" t="s">
        <v>2964</v>
      </c>
      <c r="C3384" s="138">
        <v>1.4</v>
      </c>
      <c r="D3384" s="138">
        <v>84</v>
      </c>
      <c r="E3384" s="138">
        <v>42.857142857142854</v>
      </c>
      <c r="F3384" s="139">
        <v>1.4</v>
      </c>
    </row>
    <row r="3385" spans="1:6" x14ac:dyDescent="0.25">
      <c r="A3385" s="110"/>
      <c r="B3385" s="125" t="s">
        <v>2965</v>
      </c>
      <c r="C3385" s="138">
        <v>1.4</v>
      </c>
      <c r="D3385" s="138">
        <v>84</v>
      </c>
      <c r="E3385" s="138">
        <v>42.857142857142854</v>
      </c>
      <c r="F3385" s="139">
        <v>1.4</v>
      </c>
    </row>
    <row r="3386" spans="1:6" x14ac:dyDescent="0.25">
      <c r="A3386" s="110"/>
      <c r="B3386" s="125" t="s">
        <v>2966</v>
      </c>
      <c r="C3386" s="138">
        <v>1.4</v>
      </c>
      <c r="D3386" s="138">
        <v>84</v>
      </c>
      <c r="E3386" s="138">
        <v>42.857142857142854</v>
      </c>
      <c r="F3386" s="139">
        <v>1.4</v>
      </c>
    </row>
    <row r="3387" spans="1:6" x14ac:dyDescent="0.25">
      <c r="A3387" s="110"/>
      <c r="B3387" s="125" t="s">
        <v>2967</v>
      </c>
      <c r="C3387" s="138">
        <v>1.4</v>
      </c>
      <c r="D3387" s="138">
        <v>84</v>
      </c>
      <c r="E3387" s="138">
        <v>42.857142857142854</v>
      </c>
      <c r="F3387" s="139">
        <v>1.4</v>
      </c>
    </row>
    <row r="3388" spans="1:6" x14ac:dyDescent="0.25">
      <c r="A3388" s="110"/>
      <c r="B3388" s="125" t="s">
        <v>2968</v>
      </c>
      <c r="C3388" s="138">
        <v>1.4</v>
      </c>
      <c r="D3388" s="138">
        <v>84</v>
      </c>
      <c r="E3388" s="138">
        <v>42.857142857142854</v>
      </c>
      <c r="F3388" s="139">
        <v>1.4</v>
      </c>
    </row>
    <row r="3389" spans="1:6" x14ac:dyDescent="0.25">
      <c r="A3389" s="110"/>
      <c r="B3389" s="125" t="s">
        <v>2969</v>
      </c>
      <c r="C3389" s="138">
        <v>1.58</v>
      </c>
      <c r="D3389" s="138">
        <v>94.800000000000011</v>
      </c>
      <c r="E3389" s="138">
        <v>37.974683544303794</v>
      </c>
      <c r="F3389" s="139">
        <v>1.58</v>
      </c>
    </row>
    <row r="3390" spans="1:6" x14ac:dyDescent="0.25">
      <c r="A3390" s="110"/>
      <c r="B3390" s="125" t="s">
        <v>2970</v>
      </c>
      <c r="C3390" s="138">
        <v>0.5</v>
      </c>
      <c r="D3390" s="138">
        <v>30</v>
      </c>
      <c r="E3390" s="138">
        <v>120</v>
      </c>
      <c r="F3390" s="139">
        <v>0.5</v>
      </c>
    </row>
    <row r="3391" spans="1:6" x14ac:dyDescent="0.25">
      <c r="A3391" s="110"/>
      <c r="B3391" s="125" t="s">
        <v>2970</v>
      </c>
      <c r="C3391" s="138">
        <v>0.5</v>
      </c>
      <c r="D3391" s="138">
        <v>30</v>
      </c>
      <c r="E3391" s="138">
        <v>120</v>
      </c>
      <c r="F3391" s="139">
        <v>0.5</v>
      </c>
    </row>
    <row r="3392" spans="1:6" x14ac:dyDescent="0.25">
      <c r="A3392" s="110"/>
      <c r="B3392" s="125" t="s">
        <v>2971</v>
      </c>
      <c r="C3392" s="138">
        <v>0.5</v>
      </c>
      <c r="D3392" s="138">
        <v>30</v>
      </c>
      <c r="E3392" s="138">
        <v>120</v>
      </c>
      <c r="F3392" s="139">
        <v>0.5</v>
      </c>
    </row>
    <row r="3393" spans="1:6" x14ac:dyDescent="0.25">
      <c r="A3393" s="110"/>
      <c r="B3393" s="125" t="s">
        <v>2971</v>
      </c>
      <c r="C3393" s="138">
        <v>0.5</v>
      </c>
      <c r="D3393" s="138">
        <v>30</v>
      </c>
      <c r="E3393" s="138">
        <v>120</v>
      </c>
      <c r="F3393" s="139">
        <v>0.5</v>
      </c>
    </row>
    <row r="3394" spans="1:6" x14ac:dyDescent="0.25">
      <c r="A3394" s="110"/>
      <c r="B3394" s="125" t="s">
        <v>2972</v>
      </c>
      <c r="C3394" s="138">
        <v>0.5</v>
      </c>
      <c r="D3394" s="138">
        <v>30</v>
      </c>
      <c r="E3394" s="138">
        <v>120</v>
      </c>
      <c r="F3394" s="139">
        <v>0.5</v>
      </c>
    </row>
    <row r="3395" spans="1:6" x14ac:dyDescent="0.25">
      <c r="A3395" s="110"/>
      <c r="B3395" s="125" t="s">
        <v>2972</v>
      </c>
      <c r="C3395" s="138">
        <v>0.5</v>
      </c>
      <c r="D3395" s="138">
        <v>30</v>
      </c>
      <c r="E3395" s="138">
        <v>120</v>
      </c>
      <c r="F3395" s="139">
        <v>0.5</v>
      </c>
    </row>
    <row r="3396" spans="1:6" x14ac:dyDescent="0.25">
      <c r="A3396" s="110"/>
      <c r="B3396" s="125" t="s">
        <v>2973</v>
      </c>
      <c r="C3396" s="138">
        <v>0.5</v>
      </c>
      <c r="D3396" s="138">
        <v>30</v>
      </c>
      <c r="E3396" s="138">
        <v>120</v>
      </c>
      <c r="F3396" s="139">
        <v>0.5</v>
      </c>
    </row>
    <row r="3397" spans="1:6" x14ac:dyDescent="0.25">
      <c r="A3397" s="110"/>
      <c r="B3397" s="125" t="s">
        <v>2973</v>
      </c>
      <c r="C3397" s="138">
        <v>0.5</v>
      </c>
      <c r="D3397" s="138">
        <v>30</v>
      </c>
      <c r="E3397" s="138">
        <v>120</v>
      </c>
      <c r="F3397" s="139">
        <v>0.5</v>
      </c>
    </row>
    <row r="3398" spans="1:6" x14ac:dyDescent="0.25">
      <c r="A3398" s="110"/>
      <c r="B3398" s="125" t="s">
        <v>2974</v>
      </c>
      <c r="C3398" s="138">
        <v>1.2</v>
      </c>
      <c r="D3398" s="138">
        <v>72</v>
      </c>
      <c r="E3398" s="138">
        <v>50</v>
      </c>
      <c r="F3398" s="139">
        <v>1.2</v>
      </c>
    </row>
    <row r="3399" spans="1:6" x14ac:dyDescent="0.25">
      <c r="A3399" s="110"/>
      <c r="B3399" s="125" t="s">
        <v>2974</v>
      </c>
      <c r="C3399" s="138">
        <v>1.2</v>
      </c>
      <c r="D3399" s="138">
        <v>72</v>
      </c>
      <c r="E3399" s="138">
        <v>50</v>
      </c>
      <c r="F3399" s="139">
        <v>1.2</v>
      </c>
    </row>
    <row r="3400" spans="1:6" x14ac:dyDescent="0.25">
      <c r="A3400" s="110"/>
      <c r="B3400" s="125" t="s">
        <v>2974</v>
      </c>
      <c r="C3400" s="138">
        <v>1.2</v>
      </c>
      <c r="D3400" s="138">
        <v>72</v>
      </c>
      <c r="E3400" s="138">
        <v>50</v>
      </c>
      <c r="F3400" s="139">
        <v>1.2</v>
      </c>
    </row>
    <row r="3401" spans="1:6" x14ac:dyDescent="0.25">
      <c r="A3401" s="110"/>
      <c r="B3401" s="125" t="s">
        <v>2974</v>
      </c>
      <c r="C3401" s="138">
        <v>1.2</v>
      </c>
      <c r="D3401" s="138">
        <v>72</v>
      </c>
      <c r="E3401" s="138">
        <v>50</v>
      </c>
      <c r="F3401" s="139">
        <v>1.2</v>
      </c>
    </row>
    <row r="3402" spans="1:6" x14ac:dyDescent="0.25">
      <c r="A3402" s="110"/>
      <c r="B3402" s="125" t="s">
        <v>2975</v>
      </c>
      <c r="C3402" s="138">
        <v>1.2</v>
      </c>
      <c r="D3402" s="138">
        <v>72</v>
      </c>
      <c r="E3402" s="138">
        <v>50</v>
      </c>
      <c r="F3402" s="139">
        <v>1.2</v>
      </c>
    </row>
    <row r="3403" spans="1:6" x14ac:dyDescent="0.25">
      <c r="A3403" s="110"/>
      <c r="B3403" s="125" t="s">
        <v>2975</v>
      </c>
      <c r="C3403" s="138">
        <v>1.2</v>
      </c>
      <c r="D3403" s="138">
        <v>72</v>
      </c>
      <c r="E3403" s="138">
        <v>50</v>
      </c>
      <c r="F3403" s="139">
        <v>1.2</v>
      </c>
    </row>
    <row r="3404" spans="1:6" x14ac:dyDescent="0.25">
      <c r="A3404" s="110"/>
      <c r="B3404" s="125" t="s">
        <v>2975</v>
      </c>
      <c r="C3404" s="138">
        <v>1.2</v>
      </c>
      <c r="D3404" s="138">
        <v>72</v>
      </c>
      <c r="E3404" s="138">
        <v>50</v>
      </c>
      <c r="F3404" s="139">
        <v>1.2</v>
      </c>
    </row>
    <row r="3405" spans="1:6" x14ac:dyDescent="0.25">
      <c r="A3405" s="110"/>
      <c r="B3405" s="125" t="s">
        <v>2975</v>
      </c>
      <c r="C3405" s="138">
        <v>1.2</v>
      </c>
      <c r="D3405" s="138">
        <v>72</v>
      </c>
      <c r="E3405" s="138">
        <v>50</v>
      </c>
      <c r="F3405" s="139">
        <v>1.2</v>
      </c>
    </row>
    <row r="3406" spans="1:6" x14ac:dyDescent="0.25">
      <c r="A3406" s="110"/>
      <c r="B3406" s="125" t="s">
        <v>2976</v>
      </c>
      <c r="C3406" s="138">
        <v>0.75</v>
      </c>
      <c r="D3406" s="138">
        <v>45</v>
      </c>
      <c r="E3406" s="138">
        <v>80</v>
      </c>
      <c r="F3406" s="139">
        <v>0.75</v>
      </c>
    </row>
    <row r="3407" spans="1:6" x14ac:dyDescent="0.25">
      <c r="A3407" s="110"/>
      <c r="B3407" s="125" t="s">
        <v>2977</v>
      </c>
      <c r="C3407" s="138">
        <v>0.75</v>
      </c>
      <c r="D3407" s="138">
        <v>45</v>
      </c>
      <c r="E3407" s="138">
        <v>80</v>
      </c>
      <c r="F3407" s="139">
        <v>0.75</v>
      </c>
    </row>
    <row r="3408" spans="1:6" x14ac:dyDescent="0.25">
      <c r="A3408" s="110"/>
      <c r="B3408" s="125" t="s">
        <v>2978</v>
      </c>
      <c r="C3408" s="138">
        <v>1.33</v>
      </c>
      <c r="D3408" s="138">
        <v>79.800000000000011</v>
      </c>
      <c r="E3408" s="138">
        <v>45.112781954887211</v>
      </c>
      <c r="F3408" s="139">
        <v>1.33</v>
      </c>
    </row>
    <row r="3409" spans="1:6" x14ac:dyDescent="0.25">
      <c r="A3409" s="110"/>
      <c r="B3409" s="125" t="s">
        <v>2979</v>
      </c>
      <c r="C3409" s="138">
        <v>1.33</v>
      </c>
      <c r="D3409" s="138">
        <v>79.800000000000011</v>
      </c>
      <c r="E3409" s="138">
        <v>45.112781954887211</v>
      </c>
      <c r="F3409" s="139">
        <v>1.33</v>
      </c>
    </row>
    <row r="3410" spans="1:6" x14ac:dyDescent="0.25">
      <c r="A3410" s="110"/>
      <c r="B3410" s="125" t="s">
        <v>2980</v>
      </c>
      <c r="C3410" s="138">
        <v>1.4</v>
      </c>
      <c r="D3410" s="138">
        <v>84</v>
      </c>
      <c r="E3410" s="138">
        <v>42.857142857142854</v>
      </c>
      <c r="F3410" s="139">
        <v>1.4</v>
      </c>
    </row>
    <row r="3411" spans="1:6" x14ac:dyDescent="0.25">
      <c r="A3411" s="110"/>
      <c r="B3411" s="125" t="s">
        <v>2981</v>
      </c>
      <c r="C3411" s="138">
        <v>1.4</v>
      </c>
      <c r="D3411" s="138">
        <v>84</v>
      </c>
      <c r="E3411" s="138">
        <v>42.857142857142854</v>
      </c>
      <c r="F3411" s="139">
        <v>1.4</v>
      </c>
    </row>
    <row r="3412" spans="1:6" x14ac:dyDescent="0.25">
      <c r="A3412" s="110"/>
      <c r="B3412" s="125" t="s">
        <v>2982</v>
      </c>
      <c r="C3412" s="138">
        <v>1.5</v>
      </c>
      <c r="D3412" s="138">
        <v>90</v>
      </c>
      <c r="E3412" s="138">
        <v>40</v>
      </c>
      <c r="F3412" s="139">
        <v>1.5</v>
      </c>
    </row>
    <row r="3413" spans="1:6" x14ac:dyDescent="0.25">
      <c r="A3413" s="110"/>
      <c r="B3413" s="125" t="s">
        <v>2983</v>
      </c>
      <c r="C3413" s="138">
        <v>1.5</v>
      </c>
      <c r="D3413" s="138">
        <v>90</v>
      </c>
      <c r="E3413" s="138">
        <v>40</v>
      </c>
      <c r="F3413" s="139">
        <v>1.5</v>
      </c>
    </row>
    <row r="3414" spans="1:6" x14ac:dyDescent="0.25">
      <c r="A3414" s="110"/>
      <c r="B3414" s="125" t="s">
        <v>2984</v>
      </c>
      <c r="C3414" s="138">
        <v>3</v>
      </c>
      <c r="D3414" s="138">
        <v>180</v>
      </c>
      <c r="E3414" s="138">
        <v>20</v>
      </c>
      <c r="F3414" s="139">
        <v>3</v>
      </c>
    </row>
    <row r="3415" spans="1:6" x14ac:dyDescent="0.25">
      <c r="A3415" s="110"/>
      <c r="B3415" s="125" t="s">
        <v>2985</v>
      </c>
      <c r="C3415" s="138">
        <v>3</v>
      </c>
      <c r="D3415" s="138">
        <v>180</v>
      </c>
      <c r="E3415" s="138">
        <v>20</v>
      </c>
      <c r="F3415" s="139">
        <v>3</v>
      </c>
    </row>
    <row r="3416" spans="1:6" x14ac:dyDescent="0.25">
      <c r="A3416" s="110"/>
      <c r="B3416" s="125" t="s">
        <v>2986</v>
      </c>
      <c r="C3416" s="138">
        <v>1.2</v>
      </c>
      <c r="D3416" s="138">
        <v>72</v>
      </c>
      <c r="E3416" s="138">
        <v>50</v>
      </c>
      <c r="F3416" s="139">
        <v>1.2</v>
      </c>
    </row>
    <row r="3417" spans="1:6" x14ac:dyDescent="0.25">
      <c r="A3417" s="110"/>
      <c r="B3417" s="125" t="s">
        <v>2987</v>
      </c>
      <c r="C3417" s="138">
        <v>1.2</v>
      </c>
      <c r="D3417" s="138">
        <v>72</v>
      </c>
      <c r="E3417" s="138">
        <v>50</v>
      </c>
      <c r="F3417" s="139">
        <v>1.2</v>
      </c>
    </row>
    <row r="3418" spans="1:6" x14ac:dyDescent="0.25">
      <c r="A3418" s="110"/>
      <c r="B3418" s="125" t="s">
        <v>2988</v>
      </c>
      <c r="C3418" s="138">
        <v>1.2</v>
      </c>
      <c r="D3418" s="138">
        <v>72</v>
      </c>
      <c r="E3418" s="138">
        <v>50</v>
      </c>
      <c r="F3418" s="139">
        <v>1.2</v>
      </c>
    </row>
    <row r="3419" spans="1:6" x14ac:dyDescent="0.25">
      <c r="A3419" s="110"/>
      <c r="B3419" s="125" t="s">
        <v>2989</v>
      </c>
      <c r="C3419" s="138">
        <v>0.8</v>
      </c>
      <c r="D3419" s="138">
        <v>48</v>
      </c>
      <c r="E3419" s="138">
        <v>75</v>
      </c>
      <c r="F3419" s="139">
        <v>0.8</v>
      </c>
    </row>
    <row r="3420" spans="1:6" x14ac:dyDescent="0.25">
      <c r="A3420" s="110"/>
      <c r="B3420" s="125" t="s">
        <v>2990</v>
      </c>
      <c r="C3420" s="138">
        <v>1.2</v>
      </c>
      <c r="D3420" s="138">
        <v>72</v>
      </c>
      <c r="E3420" s="138">
        <v>50</v>
      </c>
      <c r="F3420" s="139">
        <v>1.2</v>
      </c>
    </row>
    <row r="3421" spans="1:6" x14ac:dyDescent="0.25">
      <c r="A3421" s="110"/>
      <c r="B3421" s="125" t="s">
        <v>2991</v>
      </c>
      <c r="C3421" s="138">
        <v>1.58</v>
      </c>
      <c r="D3421" s="138">
        <v>94.800000000000011</v>
      </c>
      <c r="E3421" s="138">
        <v>37.974683544303794</v>
      </c>
      <c r="F3421" s="139">
        <v>1.58</v>
      </c>
    </row>
    <row r="3422" spans="1:6" x14ac:dyDescent="0.25">
      <c r="A3422" s="110"/>
      <c r="B3422" s="125" t="s">
        <v>2992</v>
      </c>
      <c r="C3422" s="138">
        <v>1.58</v>
      </c>
      <c r="D3422" s="138">
        <v>94.800000000000011</v>
      </c>
      <c r="E3422" s="138">
        <v>37.974683544303794</v>
      </c>
      <c r="F3422" s="139">
        <v>1.58</v>
      </c>
    </row>
    <row r="3423" spans="1:6" x14ac:dyDescent="0.25">
      <c r="A3423" s="110"/>
      <c r="B3423" s="125" t="s">
        <v>2993</v>
      </c>
      <c r="C3423" s="138">
        <v>1.58</v>
      </c>
      <c r="D3423" s="138">
        <v>94.800000000000011</v>
      </c>
      <c r="E3423" s="138">
        <v>37.974683544303794</v>
      </c>
      <c r="F3423" s="139">
        <v>1.58</v>
      </c>
    </row>
    <row r="3424" spans="1:6" x14ac:dyDescent="0.25">
      <c r="A3424" s="110"/>
      <c r="B3424" s="125" t="s">
        <v>2760</v>
      </c>
      <c r="C3424" s="138">
        <v>1.58</v>
      </c>
      <c r="D3424" s="138">
        <v>94.800000000000011</v>
      </c>
      <c r="E3424" s="138">
        <v>37.974683544303794</v>
      </c>
      <c r="F3424" s="139">
        <v>1.58</v>
      </c>
    </row>
    <row r="3425" spans="1:6" x14ac:dyDescent="0.25">
      <c r="A3425" s="110"/>
      <c r="B3425" s="125" t="s">
        <v>2994</v>
      </c>
      <c r="C3425" s="138">
        <v>1.58</v>
      </c>
      <c r="D3425" s="138">
        <v>94.800000000000011</v>
      </c>
      <c r="E3425" s="138">
        <v>37.974683544303794</v>
      </c>
      <c r="F3425" s="139">
        <v>1.58</v>
      </c>
    </row>
    <row r="3426" spans="1:6" x14ac:dyDescent="0.25">
      <c r="A3426" s="110"/>
      <c r="B3426" s="125" t="s">
        <v>2995</v>
      </c>
      <c r="C3426" s="138">
        <v>1.58</v>
      </c>
      <c r="D3426" s="138">
        <v>94.800000000000011</v>
      </c>
      <c r="E3426" s="138">
        <v>37.974683544303794</v>
      </c>
      <c r="F3426" s="139">
        <v>1.58</v>
      </c>
    </row>
    <row r="3427" spans="1:6" x14ac:dyDescent="0.25">
      <c r="A3427" s="110"/>
      <c r="B3427" s="125" t="s">
        <v>2995</v>
      </c>
      <c r="C3427" s="138">
        <v>1.58</v>
      </c>
      <c r="D3427" s="138">
        <v>94.800000000000011</v>
      </c>
      <c r="E3427" s="138">
        <v>37.974683544303794</v>
      </c>
      <c r="F3427" s="139">
        <v>1.58</v>
      </c>
    </row>
    <row r="3428" spans="1:6" x14ac:dyDescent="0.25">
      <c r="A3428" s="110"/>
      <c r="B3428" s="125" t="s">
        <v>2996</v>
      </c>
      <c r="C3428" s="138">
        <v>1.58</v>
      </c>
      <c r="D3428" s="138">
        <v>94.800000000000011</v>
      </c>
      <c r="E3428" s="138">
        <v>37.974683544303794</v>
      </c>
      <c r="F3428" s="139">
        <v>1.58</v>
      </c>
    </row>
    <row r="3429" spans="1:6" x14ac:dyDescent="0.25">
      <c r="A3429" s="110"/>
      <c r="B3429" s="125" t="s">
        <v>2997</v>
      </c>
      <c r="C3429" s="138">
        <v>1</v>
      </c>
      <c r="D3429" s="138">
        <v>60</v>
      </c>
      <c r="E3429" s="138">
        <v>60</v>
      </c>
      <c r="F3429" s="139">
        <v>1</v>
      </c>
    </row>
    <row r="3430" spans="1:6" x14ac:dyDescent="0.25">
      <c r="A3430" s="110"/>
      <c r="B3430" s="125" t="s">
        <v>2998</v>
      </c>
      <c r="C3430" s="138">
        <v>1</v>
      </c>
      <c r="D3430" s="138">
        <v>60</v>
      </c>
      <c r="E3430" s="138">
        <v>60</v>
      </c>
      <c r="F3430" s="139">
        <v>1</v>
      </c>
    </row>
    <row r="3431" spans="1:6" x14ac:dyDescent="0.25">
      <c r="A3431" s="110"/>
      <c r="B3431" s="125" t="s">
        <v>2707</v>
      </c>
      <c r="C3431" s="138">
        <v>1</v>
      </c>
      <c r="D3431" s="138">
        <v>60</v>
      </c>
      <c r="E3431" s="138">
        <v>60</v>
      </c>
      <c r="F3431" s="139">
        <v>1</v>
      </c>
    </row>
    <row r="3432" spans="1:6" x14ac:dyDescent="0.25">
      <c r="A3432" s="110"/>
      <c r="B3432" s="125" t="s">
        <v>2999</v>
      </c>
      <c r="C3432" s="138">
        <v>1</v>
      </c>
      <c r="D3432" s="138">
        <v>60</v>
      </c>
      <c r="E3432" s="138">
        <v>60</v>
      </c>
      <c r="F3432" s="139">
        <v>1</v>
      </c>
    </row>
    <row r="3433" spans="1:6" x14ac:dyDescent="0.25">
      <c r="A3433" s="110"/>
      <c r="B3433" s="125" t="s">
        <v>3000</v>
      </c>
      <c r="C3433" s="138">
        <v>0.97</v>
      </c>
      <c r="D3433" s="138">
        <v>58.199999999999996</v>
      </c>
      <c r="E3433" s="138">
        <v>61.855670103092791</v>
      </c>
      <c r="F3433" s="139">
        <v>0.97</v>
      </c>
    </row>
    <row r="3434" spans="1:6" x14ac:dyDescent="0.25">
      <c r="A3434" s="110"/>
      <c r="B3434" s="125" t="s">
        <v>3001</v>
      </c>
      <c r="C3434" s="138">
        <v>0.97</v>
      </c>
      <c r="D3434" s="138">
        <v>58.199999999999996</v>
      </c>
      <c r="E3434" s="138">
        <v>61.855670103092791</v>
      </c>
      <c r="F3434" s="139">
        <v>0.97</v>
      </c>
    </row>
    <row r="3435" spans="1:6" x14ac:dyDescent="0.25">
      <c r="A3435" s="110"/>
      <c r="B3435" s="125" t="s">
        <v>3002</v>
      </c>
      <c r="C3435" s="138">
        <v>1.03</v>
      </c>
      <c r="D3435" s="138">
        <v>61.800000000000004</v>
      </c>
      <c r="E3435" s="138">
        <v>58.252427184466015</v>
      </c>
      <c r="F3435" s="139">
        <v>1.03</v>
      </c>
    </row>
    <row r="3436" spans="1:6" x14ac:dyDescent="0.25">
      <c r="A3436" s="110"/>
      <c r="B3436" s="125" t="s">
        <v>3003</v>
      </c>
      <c r="C3436" s="138">
        <v>1.03</v>
      </c>
      <c r="D3436" s="138">
        <v>61.800000000000004</v>
      </c>
      <c r="E3436" s="138">
        <v>58.252427184466015</v>
      </c>
      <c r="F3436" s="139">
        <v>1.03</v>
      </c>
    </row>
    <row r="3437" spans="1:6" x14ac:dyDescent="0.25">
      <c r="A3437" s="110"/>
      <c r="B3437" s="125" t="s">
        <v>3004</v>
      </c>
      <c r="C3437" s="138">
        <v>0.97</v>
      </c>
      <c r="D3437" s="138">
        <v>58.199999999999996</v>
      </c>
      <c r="E3437" s="138">
        <v>61.855670103092791</v>
      </c>
      <c r="F3437" s="139">
        <v>0.97</v>
      </c>
    </row>
    <row r="3438" spans="1:6" x14ac:dyDescent="0.25">
      <c r="A3438" s="110"/>
      <c r="B3438" s="125" t="s">
        <v>3005</v>
      </c>
      <c r="C3438" s="138">
        <v>0.97</v>
      </c>
      <c r="D3438" s="138">
        <v>58.199999999999996</v>
      </c>
      <c r="E3438" s="138">
        <v>61.855670103092791</v>
      </c>
      <c r="F3438" s="139">
        <v>0.97</v>
      </c>
    </row>
    <row r="3439" spans="1:6" x14ac:dyDescent="0.25">
      <c r="A3439" s="110"/>
      <c r="B3439" s="125" t="s">
        <v>3006</v>
      </c>
      <c r="C3439" s="138">
        <v>1.03</v>
      </c>
      <c r="D3439" s="138">
        <v>61.800000000000004</v>
      </c>
      <c r="E3439" s="138">
        <v>58.252427184466015</v>
      </c>
      <c r="F3439" s="139">
        <v>1.03</v>
      </c>
    </row>
    <row r="3440" spans="1:6" x14ac:dyDescent="0.25">
      <c r="A3440" s="110"/>
      <c r="B3440" s="125" t="s">
        <v>3007</v>
      </c>
      <c r="C3440" s="138">
        <v>0.97</v>
      </c>
      <c r="D3440" s="138">
        <v>58.199999999999996</v>
      </c>
      <c r="E3440" s="138">
        <v>61.855670103092791</v>
      </c>
      <c r="F3440" s="139">
        <v>0.97</v>
      </c>
    </row>
    <row r="3441" spans="1:6" x14ac:dyDescent="0.25">
      <c r="A3441" s="110"/>
      <c r="B3441" s="125" t="s">
        <v>3008</v>
      </c>
      <c r="C3441" s="138">
        <v>0.97</v>
      </c>
      <c r="D3441" s="138">
        <v>58.199999999999996</v>
      </c>
      <c r="E3441" s="138">
        <v>61.855670103092791</v>
      </c>
      <c r="F3441" s="139">
        <v>0.97</v>
      </c>
    </row>
    <row r="3442" spans="1:6" x14ac:dyDescent="0.25">
      <c r="A3442" s="110"/>
      <c r="B3442" s="125" t="s">
        <v>3009</v>
      </c>
      <c r="C3442" s="138">
        <v>0.97</v>
      </c>
      <c r="D3442" s="138">
        <v>58.199999999999996</v>
      </c>
      <c r="E3442" s="138">
        <v>61.855670103092791</v>
      </c>
      <c r="F3442" s="139">
        <v>0.97</v>
      </c>
    </row>
    <row r="3443" spans="1:6" x14ac:dyDescent="0.25">
      <c r="A3443" s="110"/>
      <c r="B3443" s="125" t="s">
        <v>3010</v>
      </c>
      <c r="C3443" s="138">
        <v>0.8</v>
      </c>
      <c r="D3443" s="138">
        <v>48</v>
      </c>
      <c r="E3443" s="138">
        <v>75</v>
      </c>
      <c r="F3443" s="139">
        <v>0.8</v>
      </c>
    </row>
    <row r="3444" spans="1:6" x14ac:dyDescent="0.25">
      <c r="A3444" s="110"/>
      <c r="B3444" s="125" t="s">
        <v>3011</v>
      </c>
      <c r="C3444" s="138">
        <v>0.97</v>
      </c>
      <c r="D3444" s="138">
        <v>58.199999999999996</v>
      </c>
      <c r="E3444" s="138">
        <v>61.855670103092791</v>
      </c>
      <c r="F3444" s="139">
        <v>0.97</v>
      </c>
    </row>
    <row r="3445" spans="1:6" x14ac:dyDescent="0.25">
      <c r="A3445" s="110"/>
      <c r="B3445" s="125" t="s">
        <v>2739</v>
      </c>
      <c r="C3445" s="138">
        <v>0.97</v>
      </c>
      <c r="D3445" s="138">
        <v>58.199999999999996</v>
      </c>
      <c r="E3445" s="138">
        <v>61.855670103092791</v>
      </c>
      <c r="F3445" s="139">
        <v>0.97</v>
      </c>
    </row>
    <row r="3446" spans="1:6" x14ac:dyDescent="0.25">
      <c r="A3446" s="110"/>
      <c r="B3446" s="125" t="s">
        <v>3012</v>
      </c>
      <c r="C3446" s="138">
        <v>0.97</v>
      </c>
      <c r="D3446" s="138">
        <v>58.199999999999996</v>
      </c>
      <c r="E3446" s="138">
        <v>61.855670103092791</v>
      </c>
      <c r="F3446" s="139">
        <v>0.97</v>
      </c>
    </row>
    <row r="3447" spans="1:6" x14ac:dyDescent="0.25">
      <c r="A3447" s="110"/>
      <c r="B3447" s="125" t="s">
        <v>3013</v>
      </c>
      <c r="C3447" s="138">
        <v>0.97</v>
      </c>
      <c r="D3447" s="138">
        <v>58.199999999999996</v>
      </c>
      <c r="E3447" s="138">
        <v>61.855670103092791</v>
      </c>
      <c r="F3447" s="139">
        <v>0.97</v>
      </c>
    </row>
    <row r="3448" spans="1:6" x14ac:dyDescent="0.25">
      <c r="A3448" s="110"/>
      <c r="B3448" s="125" t="s">
        <v>3014</v>
      </c>
      <c r="C3448" s="138">
        <v>0.97</v>
      </c>
      <c r="D3448" s="138">
        <v>58.199999999999996</v>
      </c>
      <c r="E3448" s="138">
        <v>61.855670103092791</v>
      </c>
      <c r="F3448" s="139">
        <v>0.97</v>
      </c>
    </row>
    <row r="3449" spans="1:6" x14ac:dyDescent="0.25">
      <c r="A3449" s="110"/>
      <c r="B3449" s="125" t="s">
        <v>3015</v>
      </c>
      <c r="C3449" s="138">
        <v>0.97</v>
      </c>
      <c r="D3449" s="138">
        <v>58.199999999999996</v>
      </c>
      <c r="E3449" s="138">
        <v>61.855670103092791</v>
      </c>
      <c r="F3449" s="139">
        <v>0.97</v>
      </c>
    </row>
    <row r="3450" spans="1:6" x14ac:dyDescent="0.25">
      <c r="A3450" s="110"/>
      <c r="B3450" s="125" t="s">
        <v>2744</v>
      </c>
      <c r="C3450" s="138">
        <v>0.97</v>
      </c>
      <c r="D3450" s="138">
        <v>58.199999999999996</v>
      </c>
      <c r="E3450" s="138">
        <v>61.855670103092791</v>
      </c>
      <c r="F3450" s="139">
        <v>0.97</v>
      </c>
    </row>
    <row r="3451" spans="1:6" x14ac:dyDescent="0.25">
      <c r="A3451" s="110"/>
      <c r="B3451" s="125" t="s">
        <v>2558</v>
      </c>
      <c r="C3451" s="138">
        <v>1.62</v>
      </c>
      <c r="D3451" s="138">
        <v>97.2</v>
      </c>
      <c r="E3451" s="138">
        <v>37.037037037037038</v>
      </c>
      <c r="F3451" s="139">
        <v>1.62</v>
      </c>
    </row>
    <row r="3452" spans="1:6" x14ac:dyDescent="0.25">
      <c r="A3452" s="110"/>
      <c r="B3452" s="125" t="s">
        <v>2562</v>
      </c>
      <c r="C3452" s="138">
        <v>1.62</v>
      </c>
      <c r="D3452" s="138">
        <v>97.2</v>
      </c>
      <c r="E3452" s="138">
        <v>37.037037037037038</v>
      </c>
      <c r="F3452" s="139">
        <v>1.62</v>
      </c>
    </row>
    <row r="3453" spans="1:6" x14ac:dyDescent="0.25">
      <c r="A3453" s="110"/>
      <c r="B3453" s="125" t="s">
        <v>2563</v>
      </c>
      <c r="C3453" s="138">
        <v>1.9</v>
      </c>
      <c r="D3453" s="138">
        <v>114</v>
      </c>
      <c r="E3453" s="138">
        <v>31.578947368421051</v>
      </c>
      <c r="F3453" s="139">
        <v>1.9</v>
      </c>
    </row>
    <row r="3454" spans="1:6" x14ac:dyDescent="0.25">
      <c r="A3454" s="110"/>
      <c r="B3454" s="125" t="s">
        <v>3016</v>
      </c>
      <c r="C3454" s="138">
        <v>0.97</v>
      </c>
      <c r="D3454" s="138">
        <v>58.199999999999996</v>
      </c>
      <c r="E3454" s="138">
        <v>61.855670103092791</v>
      </c>
      <c r="F3454" s="139">
        <v>0.97</v>
      </c>
    </row>
    <row r="3455" spans="1:6" x14ac:dyDescent="0.25">
      <c r="A3455" s="110"/>
      <c r="B3455" s="125" t="s">
        <v>2728</v>
      </c>
      <c r="C3455" s="138">
        <v>1.03</v>
      </c>
      <c r="D3455" s="138">
        <v>61.800000000000004</v>
      </c>
      <c r="E3455" s="138">
        <v>58.252427184466015</v>
      </c>
      <c r="F3455" s="139">
        <v>1.03</v>
      </c>
    </row>
    <row r="3456" spans="1:6" x14ac:dyDescent="0.25">
      <c r="A3456" s="110"/>
      <c r="B3456" s="125" t="s">
        <v>2546</v>
      </c>
      <c r="C3456" s="138">
        <v>1.62</v>
      </c>
      <c r="D3456" s="138">
        <v>97.2</v>
      </c>
      <c r="E3456" s="138">
        <v>37.037037037037038</v>
      </c>
      <c r="F3456" s="139">
        <v>1.62</v>
      </c>
    </row>
    <row r="3457" spans="1:6" x14ac:dyDescent="0.25">
      <c r="A3457" s="110"/>
      <c r="B3457" s="125" t="s">
        <v>2549</v>
      </c>
      <c r="C3457" s="138">
        <v>1.62</v>
      </c>
      <c r="D3457" s="138">
        <v>97.2</v>
      </c>
      <c r="E3457" s="138">
        <v>37.037037037037038</v>
      </c>
      <c r="F3457" s="139">
        <v>1.62</v>
      </c>
    </row>
    <row r="3458" spans="1:6" x14ac:dyDescent="0.25">
      <c r="A3458" s="110"/>
      <c r="B3458" s="125" t="s">
        <v>3017</v>
      </c>
      <c r="C3458" s="138">
        <v>1.1000000000000001</v>
      </c>
      <c r="D3458" s="138">
        <v>66</v>
      </c>
      <c r="E3458" s="138">
        <v>54.545454545454547</v>
      </c>
      <c r="F3458" s="139">
        <v>1.1000000000000001</v>
      </c>
    </row>
    <row r="3459" spans="1:6" x14ac:dyDescent="0.25">
      <c r="A3459" s="110"/>
      <c r="B3459" s="125" t="s">
        <v>3018</v>
      </c>
      <c r="C3459" s="138">
        <v>1.1000000000000001</v>
      </c>
      <c r="D3459" s="138">
        <v>66</v>
      </c>
      <c r="E3459" s="138">
        <v>54.545454545454547</v>
      </c>
      <c r="F3459" s="139">
        <v>1.1000000000000001</v>
      </c>
    </row>
    <row r="3460" spans="1:6" x14ac:dyDescent="0.25">
      <c r="A3460" s="110"/>
      <c r="B3460" s="125" t="s">
        <v>3019</v>
      </c>
      <c r="C3460" s="138">
        <v>1.1000000000000001</v>
      </c>
      <c r="D3460" s="138">
        <v>66</v>
      </c>
      <c r="E3460" s="138">
        <v>54.545454545454547</v>
      </c>
      <c r="F3460" s="139">
        <v>1.1000000000000001</v>
      </c>
    </row>
    <row r="3461" spans="1:6" x14ac:dyDescent="0.25">
      <c r="A3461" s="110"/>
      <c r="B3461" s="125" t="s">
        <v>2720</v>
      </c>
      <c r="C3461" s="138">
        <v>1.03</v>
      </c>
      <c r="D3461" s="138">
        <v>61.800000000000004</v>
      </c>
      <c r="E3461" s="138">
        <v>58.252427184466015</v>
      </c>
      <c r="F3461" s="139">
        <v>1.03</v>
      </c>
    </row>
    <row r="3462" spans="1:6" x14ac:dyDescent="0.25">
      <c r="A3462" s="110"/>
      <c r="B3462" s="125" t="s">
        <v>3020</v>
      </c>
      <c r="C3462" s="138">
        <v>1.03</v>
      </c>
      <c r="D3462" s="138">
        <v>61.800000000000004</v>
      </c>
      <c r="E3462" s="138">
        <v>58.252427184466015</v>
      </c>
      <c r="F3462" s="139">
        <v>1.03</v>
      </c>
    </row>
    <row r="3463" spans="1:6" x14ac:dyDescent="0.25">
      <c r="A3463" s="110"/>
      <c r="B3463" s="125" t="s">
        <v>3021</v>
      </c>
      <c r="C3463" s="138">
        <v>1.1000000000000001</v>
      </c>
      <c r="D3463" s="138">
        <v>66</v>
      </c>
      <c r="E3463" s="138">
        <v>54.545454545454547</v>
      </c>
      <c r="F3463" s="139">
        <v>1.1000000000000001</v>
      </c>
    </row>
    <row r="3464" spans="1:6" x14ac:dyDescent="0.25">
      <c r="A3464" s="110"/>
      <c r="B3464" s="125" t="s">
        <v>3022</v>
      </c>
      <c r="C3464" s="138">
        <v>1.1000000000000001</v>
      </c>
      <c r="D3464" s="138">
        <v>66</v>
      </c>
      <c r="E3464" s="138">
        <v>54.545454545454547</v>
      </c>
      <c r="F3464" s="139">
        <v>1.1000000000000001</v>
      </c>
    </row>
    <row r="3465" spans="1:6" x14ac:dyDescent="0.25">
      <c r="A3465" s="110"/>
      <c r="B3465" s="125" t="s">
        <v>3023</v>
      </c>
      <c r="C3465" s="138">
        <v>1.03</v>
      </c>
      <c r="D3465" s="138">
        <v>61.800000000000004</v>
      </c>
      <c r="E3465" s="138">
        <v>58.252427184466015</v>
      </c>
      <c r="F3465" s="139">
        <v>1.03</v>
      </c>
    </row>
    <row r="3466" spans="1:6" x14ac:dyDescent="0.25">
      <c r="A3466" s="110"/>
      <c r="B3466" s="125" t="s">
        <v>2720</v>
      </c>
      <c r="C3466" s="138">
        <v>1.03</v>
      </c>
      <c r="D3466" s="138">
        <v>61.800000000000004</v>
      </c>
      <c r="E3466" s="138">
        <v>58.252427184466015</v>
      </c>
      <c r="F3466" s="139">
        <v>1.03</v>
      </c>
    </row>
    <row r="3467" spans="1:6" x14ac:dyDescent="0.25">
      <c r="A3467" s="110"/>
      <c r="B3467" s="125" t="s">
        <v>3024</v>
      </c>
      <c r="C3467" s="138">
        <v>0.8</v>
      </c>
      <c r="D3467" s="138">
        <v>48</v>
      </c>
      <c r="E3467" s="138">
        <v>75</v>
      </c>
      <c r="F3467" s="139">
        <v>0.8</v>
      </c>
    </row>
    <row r="3468" spans="1:6" x14ac:dyDescent="0.25">
      <c r="A3468" s="110"/>
      <c r="B3468" s="125" t="s">
        <v>3025</v>
      </c>
      <c r="C3468" s="138">
        <v>1.0900000000000001</v>
      </c>
      <c r="D3468" s="138">
        <v>65.400000000000006</v>
      </c>
      <c r="E3468" s="138">
        <v>55.045871559633021</v>
      </c>
      <c r="F3468" s="139">
        <v>1.0900000000000001</v>
      </c>
    </row>
    <row r="3469" spans="1:6" x14ac:dyDescent="0.25">
      <c r="A3469" s="110"/>
      <c r="B3469" s="125" t="s">
        <v>3026</v>
      </c>
      <c r="C3469" s="138">
        <v>0.75</v>
      </c>
      <c r="D3469" s="138">
        <v>45</v>
      </c>
      <c r="E3469" s="138">
        <v>80</v>
      </c>
      <c r="F3469" s="139">
        <v>0.75</v>
      </c>
    </row>
    <row r="3470" spans="1:6" x14ac:dyDescent="0.25">
      <c r="A3470" s="110"/>
      <c r="B3470" s="125" t="s">
        <v>3027</v>
      </c>
      <c r="C3470" s="138">
        <v>0.75</v>
      </c>
      <c r="D3470" s="138">
        <v>45</v>
      </c>
      <c r="E3470" s="138">
        <v>80</v>
      </c>
      <c r="F3470" s="139">
        <v>0.75</v>
      </c>
    </row>
    <row r="3471" spans="1:6" x14ac:dyDescent="0.25">
      <c r="A3471" s="110"/>
      <c r="B3471" s="125" t="s">
        <v>3028</v>
      </c>
      <c r="C3471" s="138">
        <v>1</v>
      </c>
      <c r="D3471" s="138">
        <v>60</v>
      </c>
      <c r="E3471" s="138">
        <v>60</v>
      </c>
      <c r="F3471" s="139">
        <v>1</v>
      </c>
    </row>
    <row r="3472" spans="1:6" x14ac:dyDescent="0.25">
      <c r="A3472" s="110"/>
      <c r="B3472" s="125" t="s">
        <v>3029</v>
      </c>
      <c r="C3472" s="138">
        <v>1.03</v>
      </c>
      <c r="D3472" s="138">
        <v>61.800000000000004</v>
      </c>
      <c r="E3472" s="138">
        <v>58.252427184466015</v>
      </c>
      <c r="F3472" s="139">
        <v>1.03</v>
      </c>
    </row>
    <row r="3473" spans="1:6" x14ac:dyDescent="0.25">
      <c r="A3473" s="110"/>
      <c r="B3473" s="125" t="s">
        <v>2729</v>
      </c>
      <c r="C3473" s="138">
        <v>1.03</v>
      </c>
      <c r="D3473" s="138">
        <v>61.800000000000004</v>
      </c>
      <c r="E3473" s="138">
        <v>58.252427184466015</v>
      </c>
      <c r="F3473" s="139">
        <v>1.03</v>
      </c>
    </row>
    <row r="3474" spans="1:6" x14ac:dyDescent="0.25">
      <c r="A3474" s="110"/>
      <c r="B3474" s="125" t="s">
        <v>2721</v>
      </c>
      <c r="C3474" s="138">
        <v>1.03</v>
      </c>
      <c r="D3474" s="138">
        <v>61.800000000000004</v>
      </c>
      <c r="E3474" s="138">
        <v>58.252427184466015</v>
      </c>
      <c r="F3474" s="139">
        <v>1.03</v>
      </c>
    </row>
    <row r="3475" spans="1:6" x14ac:dyDescent="0.25">
      <c r="A3475" s="110"/>
      <c r="B3475" s="125" t="s">
        <v>3030</v>
      </c>
      <c r="C3475" s="138">
        <v>0.97</v>
      </c>
      <c r="D3475" s="138">
        <v>58.199999999999996</v>
      </c>
      <c r="E3475" s="138">
        <v>61.855670103092791</v>
      </c>
      <c r="F3475" s="139">
        <v>0.97</v>
      </c>
    </row>
    <row r="3476" spans="1:6" x14ac:dyDescent="0.25">
      <c r="A3476" s="110"/>
      <c r="B3476" s="125" t="s">
        <v>2570</v>
      </c>
      <c r="C3476" s="138">
        <v>1.62</v>
      </c>
      <c r="D3476" s="138">
        <v>97.2</v>
      </c>
      <c r="E3476" s="138">
        <v>37.037037037037038</v>
      </c>
      <c r="F3476" s="139">
        <v>1.62</v>
      </c>
    </row>
    <row r="3477" spans="1:6" x14ac:dyDescent="0.25">
      <c r="A3477" s="110"/>
      <c r="B3477" s="125" t="s">
        <v>3031</v>
      </c>
      <c r="C3477" s="138">
        <v>1.62</v>
      </c>
      <c r="D3477" s="138">
        <v>97.2</v>
      </c>
      <c r="E3477" s="138">
        <v>37.037037037037038</v>
      </c>
      <c r="F3477" s="139">
        <v>1.62</v>
      </c>
    </row>
    <row r="3478" spans="1:6" x14ac:dyDescent="0.25">
      <c r="A3478" s="110"/>
      <c r="B3478" s="125" t="s">
        <v>2725</v>
      </c>
      <c r="C3478" s="138">
        <v>1.03</v>
      </c>
      <c r="D3478" s="138">
        <v>61.800000000000004</v>
      </c>
      <c r="E3478" s="138">
        <v>58.252427184466015</v>
      </c>
      <c r="F3478" s="139">
        <v>1.03</v>
      </c>
    </row>
    <row r="3479" spans="1:6" x14ac:dyDescent="0.25">
      <c r="A3479" s="110"/>
      <c r="B3479" s="125" t="s">
        <v>3032</v>
      </c>
      <c r="C3479" s="138">
        <v>1.03</v>
      </c>
      <c r="D3479" s="138">
        <v>61.800000000000004</v>
      </c>
      <c r="E3479" s="138">
        <v>58.252427184466015</v>
      </c>
      <c r="F3479" s="139">
        <v>1.03</v>
      </c>
    </row>
    <row r="3480" spans="1:6" x14ac:dyDescent="0.25">
      <c r="A3480" s="110"/>
      <c r="B3480" s="125" t="s">
        <v>3033</v>
      </c>
      <c r="C3480" s="138">
        <v>1.5</v>
      </c>
      <c r="D3480" s="138">
        <v>90</v>
      </c>
      <c r="E3480" s="138">
        <v>40</v>
      </c>
      <c r="F3480" s="139">
        <v>1.5</v>
      </c>
    </row>
    <row r="3481" spans="1:6" x14ac:dyDescent="0.25">
      <c r="A3481" s="110"/>
      <c r="B3481" s="125" t="s">
        <v>3034</v>
      </c>
      <c r="C3481" s="138">
        <v>1.5</v>
      </c>
      <c r="D3481" s="138">
        <v>90</v>
      </c>
      <c r="E3481" s="138">
        <v>40</v>
      </c>
      <c r="F3481" s="139">
        <v>1.5</v>
      </c>
    </row>
    <row r="3482" spans="1:6" x14ac:dyDescent="0.25">
      <c r="A3482" s="110"/>
      <c r="B3482" s="125" t="s">
        <v>2747</v>
      </c>
      <c r="C3482" s="138">
        <v>1</v>
      </c>
      <c r="D3482" s="138">
        <v>60</v>
      </c>
      <c r="E3482" s="138">
        <v>60</v>
      </c>
      <c r="F3482" s="139">
        <v>1</v>
      </c>
    </row>
    <row r="3483" spans="1:6" x14ac:dyDescent="0.25">
      <c r="A3483" s="110"/>
      <c r="B3483" s="125" t="s">
        <v>2748</v>
      </c>
      <c r="C3483" s="138">
        <v>1</v>
      </c>
      <c r="D3483" s="138">
        <v>60</v>
      </c>
      <c r="E3483" s="138">
        <v>60</v>
      </c>
      <c r="F3483" s="139">
        <v>1</v>
      </c>
    </row>
    <row r="3484" spans="1:6" x14ac:dyDescent="0.25">
      <c r="A3484" s="110"/>
      <c r="B3484" s="125" t="s">
        <v>3035</v>
      </c>
      <c r="C3484" s="138">
        <v>1.5</v>
      </c>
      <c r="D3484" s="138">
        <v>90</v>
      </c>
      <c r="E3484" s="138">
        <v>40</v>
      </c>
      <c r="F3484" s="139">
        <v>1.5</v>
      </c>
    </row>
    <row r="3485" spans="1:6" x14ac:dyDescent="0.25">
      <c r="A3485" s="110"/>
      <c r="B3485" s="125" t="s">
        <v>3036</v>
      </c>
      <c r="C3485" s="138">
        <v>0</v>
      </c>
      <c r="D3485" s="138">
        <v>0</v>
      </c>
      <c r="E3485" s="138" t="e">
        <v>#DIV/0!</v>
      </c>
      <c r="F3485" s="139">
        <v>0</v>
      </c>
    </row>
    <row r="3486" spans="1:6" x14ac:dyDescent="0.25">
      <c r="A3486" s="110"/>
      <c r="B3486" s="125" t="s">
        <v>3037</v>
      </c>
      <c r="C3486" s="138">
        <v>3.12</v>
      </c>
      <c r="D3486" s="138">
        <v>187.20000000000002</v>
      </c>
      <c r="E3486" s="138">
        <v>19.23076923076923</v>
      </c>
      <c r="F3486" s="139">
        <v>3.12</v>
      </c>
    </row>
    <row r="3487" spans="1:6" x14ac:dyDescent="0.25">
      <c r="A3487" s="110"/>
      <c r="B3487" s="125" t="s">
        <v>3016</v>
      </c>
      <c r="C3487" s="138">
        <v>0.97</v>
      </c>
      <c r="D3487" s="138">
        <v>58.199999999999996</v>
      </c>
      <c r="E3487" s="138">
        <v>61.855670103092791</v>
      </c>
      <c r="F3487" s="139">
        <v>0.97</v>
      </c>
    </row>
    <row r="3488" spans="1:6" x14ac:dyDescent="0.25">
      <c r="A3488" s="110"/>
      <c r="B3488" s="125" t="s">
        <v>3038</v>
      </c>
      <c r="C3488" s="138">
        <v>1.5</v>
      </c>
      <c r="D3488" s="138">
        <v>90</v>
      </c>
      <c r="E3488" s="138">
        <v>40</v>
      </c>
      <c r="F3488" s="139">
        <v>1.5</v>
      </c>
    </row>
    <row r="3489" spans="1:6" x14ac:dyDescent="0.25">
      <c r="A3489" s="110"/>
      <c r="B3489" s="125" t="s">
        <v>3039</v>
      </c>
      <c r="C3489" s="138">
        <v>1.03</v>
      </c>
      <c r="D3489" s="138">
        <v>61.800000000000004</v>
      </c>
      <c r="E3489" s="138">
        <v>58.252427184466015</v>
      </c>
      <c r="F3489" s="139">
        <v>1.03</v>
      </c>
    </row>
    <row r="3490" spans="1:6" x14ac:dyDescent="0.25">
      <c r="A3490" s="110"/>
      <c r="B3490" s="125" t="s">
        <v>3040</v>
      </c>
      <c r="C3490" s="138">
        <v>0.97</v>
      </c>
      <c r="D3490" s="138">
        <v>58.199999999999996</v>
      </c>
      <c r="E3490" s="138">
        <v>61.855670103092791</v>
      </c>
      <c r="F3490" s="139">
        <v>0.97</v>
      </c>
    </row>
    <row r="3491" spans="1:6" x14ac:dyDescent="0.25">
      <c r="A3491" s="110"/>
      <c r="B3491" s="125" t="s">
        <v>3041</v>
      </c>
      <c r="C3491" s="138">
        <v>0.97</v>
      </c>
      <c r="D3491" s="138">
        <v>58.199999999999996</v>
      </c>
      <c r="E3491" s="138">
        <v>61.855670103092791</v>
      </c>
      <c r="F3491" s="139">
        <v>0.97</v>
      </c>
    </row>
    <row r="3492" spans="1:6" x14ac:dyDescent="0.25">
      <c r="A3492" s="110"/>
      <c r="B3492" s="125" t="s">
        <v>3042</v>
      </c>
      <c r="C3492" s="138">
        <v>1.03</v>
      </c>
      <c r="D3492" s="138">
        <v>61.800000000000004</v>
      </c>
      <c r="E3492" s="138">
        <v>58.252427184466015</v>
      </c>
      <c r="F3492" s="139">
        <v>1.03</v>
      </c>
    </row>
    <row r="3493" spans="1:6" x14ac:dyDescent="0.25">
      <c r="A3493" s="110"/>
      <c r="B3493" s="125" t="s">
        <v>3043</v>
      </c>
      <c r="C3493" s="138">
        <v>1.03</v>
      </c>
      <c r="D3493" s="138">
        <v>61.800000000000004</v>
      </c>
      <c r="E3493" s="138">
        <v>58.252427184466015</v>
      </c>
      <c r="F3493" s="139">
        <v>1.03</v>
      </c>
    </row>
    <row r="3494" spans="1:6" x14ac:dyDescent="0.25">
      <c r="A3494" s="110"/>
      <c r="B3494" s="125" t="s">
        <v>3044</v>
      </c>
      <c r="C3494" s="138">
        <v>1.03</v>
      </c>
      <c r="D3494" s="138">
        <v>61.800000000000004</v>
      </c>
      <c r="E3494" s="138">
        <v>58.252427184466015</v>
      </c>
      <c r="F3494" s="139">
        <v>1.03</v>
      </c>
    </row>
    <row r="3495" spans="1:6" x14ac:dyDescent="0.25">
      <c r="A3495" s="110"/>
      <c r="B3495" s="125" t="s">
        <v>3045</v>
      </c>
      <c r="C3495" s="138">
        <v>1.03</v>
      </c>
      <c r="D3495" s="138">
        <v>61.800000000000004</v>
      </c>
      <c r="E3495" s="138">
        <v>58.252427184466015</v>
      </c>
      <c r="F3495" s="139">
        <v>1.03</v>
      </c>
    </row>
    <row r="3496" spans="1:6" x14ac:dyDescent="0.25">
      <c r="A3496" s="110"/>
      <c r="B3496" s="125" t="s">
        <v>3046</v>
      </c>
      <c r="C3496" s="138">
        <v>1.03</v>
      </c>
      <c r="D3496" s="138">
        <v>61.800000000000004</v>
      </c>
      <c r="E3496" s="138">
        <v>58.252427184466015</v>
      </c>
      <c r="F3496" s="139">
        <v>1.03</v>
      </c>
    </row>
    <row r="3497" spans="1:6" x14ac:dyDescent="0.25">
      <c r="A3497" s="110"/>
      <c r="B3497" s="125" t="s">
        <v>3047</v>
      </c>
      <c r="C3497" s="138">
        <v>1.03</v>
      </c>
      <c r="D3497" s="138">
        <v>61.800000000000004</v>
      </c>
      <c r="E3497" s="138">
        <v>58.252427184466015</v>
      </c>
      <c r="F3497" s="139">
        <v>1.03</v>
      </c>
    </row>
    <row r="3498" spans="1:6" x14ac:dyDescent="0.25">
      <c r="A3498" s="110"/>
      <c r="B3498" s="125" t="s">
        <v>3048</v>
      </c>
      <c r="C3498" s="138">
        <v>1</v>
      </c>
      <c r="D3498" s="138">
        <v>60</v>
      </c>
      <c r="E3498" s="138">
        <v>60</v>
      </c>
      <c r="F3498" s="139">
        <v>1</v>
      </c>
    </row>
    <row r="3499" spans="1:6" x14ac:dyDescent="0.25">
      <c r="A3499" s="110"/>
      <c r="B3499" s="125" t="s">
        <v>3049</v>
      </c>
      <c r="C3499" s="138">
        <v>1.03</v>
      </c>
      <c r="D3499" s="138">
        <v>61.800000000000004</v>
      </c>
      <c r="E3499" s="138">
        <v>58.252427184466015</v>
      </c>
      <c r="F3499" s="139">
        <v>1.03</v>
      </c>
    </row>
    <row r="3500" spans="1:6" x14ac:dyDescent="0.25">
      <c r="A3500" s="110"/>
      <c r="B3500" s="125" t="s">
        <v>3050</v>
      </c>
      <c r="C3500" s="138">
        <v>1.58</v>
      </c>
      <c r="D3500" s="138">
        <v>94.800000000000011</v>
      </c>
      <c r="E3500" s="138">
        <v>37.974683544303794</v>
      </c>
      <c r="F3500" s="139">
        <v>1.58</v>
      </c>
    </row>
    <row r="3501" spans="1:6" x14ac:dyDescent="0.25">
      <c r="A3501" s="110"/>
      <c r="B3501" s="125" t="s">
        <v>3051</v>
      </c>
      <c r="C3501" s="138">
        <v>0.7</v>
      </c>
      <c r="D3501" s="138">
        <v>42</v>
      </c>
      <c r="E3501" s="138">
        <v>85.714285714285708</v>
      </c>
      <c r="F3501" s="139">
        <v>0.7</v>
      </c>
    </row>
    <row r="3502" spans="1:6" x14ac:dyDescent="0.25">
      <c r="A3502" s="110"/>
      <c r="B3502" s="125" t="s">
        <v>3052</v>
      </c>
      <c r="C3502" s="138">
        <v>1.58</v>
      </c>
      <c r="D3502" s="138">
        <v>94.800000000000011</v>
      </c>
      <c r="E3502" s="138">
        <v>37.974683544303794</v>
      </c>
      <c r="F3502" s="139">
        <v>1.58</v>
      </c>
    </row>
    <row r="3503" spans="1:6" x14ac:dyDescent="0.25">
      <c r="A3503" s="110"/>
      <c r="B3503" s="125" t="s">
        <v>3053</v>
      </c>
      <c r="C3503" s="138">
        <v>1.03</v>
      </c>
      <c r="D3503" s="138">
        <v>61.800000000000004</v>
      </c>
      <c r="E3503" s="138">
        <v>58.252427184466015</v>
      </c>
      <c r="F3503" s="139">
        <v>1.03</v>
      </c>
    </row>
    <row r="3504" spans="1:6" x14ac:dyDescent="0.25">
      <c r="A3504" s="110"/>
      <c r="B3504" s="125" t="s">
        <v>3054</v>
      </c>
      <c r="C3504" s="138">
        <v>1.03</v>
      </c>
      <c r="D3504" s="138">
        <v>61.800000000000004</v>
      </c>
      <c r="E3504" s="138">
        <v>58.252427184466015</v>
      </c>
      <c r="F3504" s="139">
        <v>1.03</v>
      </c>
    </row>
    <row r="3505" spans="1:6" x14ac:dyDescent="0.25">
      <c r="A3505" s="110"/>
      <c r="B3505" s="125" t="s">
        <v>3055</v>
      </c>
      <c r="C3505" s="138">
        <v>1.03</v>
      </c>
      <c r="D3505" s="138">
        <v>61.800000000000004</v>
      </c>
      <c r="E3505" s="138">
        <v>58.252427184466015</v>
      </c>
      <c r="F3505" s="139">
        <v>1.03</v>
      </c>
    </row>
    <row r="3506" spans="1:6" x14ac:dyDescent="0.25">
      <c r="A3506" s="110"/>
      <c r="B3506" s="125" t="s">
        <v>3056</v>
      </c>
      <c r="C3506" s="138">
        <v>1.03</v>
      </c>
      <c r="D3506" s="138">
        <v>61.800000000000004</v>
      </c>
      <c r="E3506" s="138">
        <v>58.252427184466015</v>
      </c>
      <c r="F3506" s="139">
        <v>1.03</v>
      </c>
    </row>
    <row r="3507" spans="1:6" x14ac:dyDescent="0.25">
      <c r="A3507" s="110"/>
      <c r="B3507" s="125" t="s">
        <v>3057</v>
      </c>
      <c r="C3507" s="138">
        <v>1.03</v>
      </c>
      <c r="D3507" s="138">
        <v>61.800000000000004</v>
      </c>
      <c r="E3507" s="138">
        <v>58.252427184466015</v>
      </c>
      <c r="F3507" s="139">
        <v>1.03</v>
      </c>
    </row>
    <row r="3508" spans="1:6" x14ac:dyDescent="0.25">
      <c r="A3508" s="110"/>
      <c r="B3508" s="125" t="s">
        <v>3058</v>
      </c>
      <c r="C3508" s="138">
        <v>1.03</v>
      </c>
      <c r="D3508" s="138">
        <v>61.800000000000004</v>
      </c>
      <c r="E3508" s="138">
        <v>58.252427184466015</v>
      </c>
      <c r="F3508" s="139">
        <v>1.03</v>
      </c>
    </row>
    <row r="3509" spans="1:6" x14ac:dyDescent="0.25">
      <c r="A3509" s="110"/>
      <c r="B3509" s="125" t="s">
        <v>3058</v>
      </c>
      <c r="C3509" s="138">
        <v>1.03</v>
      </c>
      <c r="D3509" s="138">
        <v>61.800000000000004</v>
      </c>
      <c r="E3509" s="138">
        <v>58.252427184466015</v>
      </c>
      <c r="F3509" s="139">
        <v>1.03</v>
      </c>
    </row>
    <row r="3510" spans="1:6" x14ac:dyDescent="0.25">
      <c r="A3510" s="110"/>
      <c r="B3510" s="125" t="s">
        <v>3059</v>
      </c>
      <c r="C3510" s="138">
        <v>1.03</v>
      </c>
      <c r="D3510" s="138">
        <v>61.800000000000004</v>
      </c>
      <c r="E3510" s="138">
        <v>58.252427184466015</v>
      </c>
      <c r="F3510" s="139">
        <v>1.03</v>
      </c>
    </row>
    <row r="3511" spans="1:6" x14ac:dyDescent="0.25">
      <c r="A3511" s="110"/>
      <c r="B3511" s="125" t="s">
        <v>3060</v>
      </c>
      <c r="C3511" s="138">
        <v>1.58</v>
      </c>
      <c r="D3511" s="138">
        <v>94.800000000000011</v>
      </c>
      <c r="E3511" s="138">
        <v>37.974683544303794</v>
      </c>
      <c r="F3511" s="139">
        <v>1.58</v>
      </c>
    </row>
    <row r="3512" spans="1:6" x14ac:dyDescent="0.25">
      <c r="A3512" s="110"/>
      <c r="B3512" s="125" t="s">
        <v>3061</v>
      </c>
      <c r="C3512" s="138">
        <v>0.97</v>
      </c>
      <c r="D3512" s="138">
        <v>58.199999999999996</v>
      </c>
      <c r="E3512" s="138">
        <v>61.855670103092791</v>
      </c>
      <c r="F3512" s="139">
        <v>0.97</v>
      </c>
    </row>
    <row r="3513" spans="1:6" x14ac:dyDescent="0.25">
      <c r="A3513" s="110"/>
      <c r="B3513" s="125" t="s">
        <v>3062</v>
      </c>
      <c r="C3513" s="138">
        <v>1.03</v>
      </c>
      <c r="D3513" s="138">
        <v>61.800000000000004</v>
      </c>
      <c r="E3513" s="138">
        <v>58.252427184466015</v>
      </c>
      <c r="F3513" s="139">
        <v>1.03</v>
      </c>
    </row>
    <row r="3514" spans="1:6" x14ac:dyDescent="0.25">
      <c r="A3514" s="110"/>
      <c r="B3514" s="125" t="s">
        <v>3063</v>
      </c>
      <c r="C3514" s="138">
        <v>1.03</v>
      </c>
      <c r="D3514" s="138">
        <v>61.800000000000004</v>
      </c>
      <c r="E3514" s="138">
        <v>58.252427184466015</v>
      </c>
      <c r="F3514" s="139">
        <v>1.03</v>
      </c>
    </row>
    <row r="3515" spans="1:6" x14ac:dyDescent="0.25">
      <c r="A3515" s="110"/>
      <c r="B3515" s="125" t="s">
        <v>3064</v>
      </c>
      <c r="C3515" s="138">
        <v>1.82</v>
      </c>
      <c r="D3515" s="138">
        <v>109.2</v>
      </c>
      <c r="E3515" s="138">
        <v>32.967032967032964</v>
      </c>
      <c r="F3515" s="139">
        <v>1.82</v>
      </c>
    </row>
    <row r="3516" spans="1:6" x14ac:dyDescent="0.25">
      <c r="A3516" s="110"/>
      <c r="B3516" s="125" t="s">
        <v>3065</v>
      </c>
      <c r="C3516" s="138">
        <v>1.82</v>
      </c>
      <c r="D3516" s="138">
        <v>109.2</v>
      </c>
      <c r="E3516" s="138">
        <v>32.967032967032964</v>
      </c>
      <c r="F3516" s="139">
        <v>1.82</v>
      </c>
    </row>
    <row r="3517" spans="1:6" x14ac:dyDescent="0.25">
      <c r="A3517" s="110"/>
      <c r="B3517" s="125" t="s">
        <v>3066</v>
      </c>
      <c r="C3517" s="138">
        <v>1.03</v>
      </c>
      <c r="D3517" s="138">
        <v>61.800000000000004</v>
      </c>
      <c r="E3517" s="138">
        <v>58.252427184466015</v>
      </c>
      <c r="F3517" s="139">
        <v>1.03</v>
      </c>
    </row>
    <row r="3518" spans="1:6" x14ac:dyDescent="0.25">
      <c r="A3518" s="110"/>
      <c r="B3518" s="125" t="s">
        <v>3066</v>
      </c>
      <c r="C3518" s="138">
        <v>1.03</v>
      </c>
      <c r="D3518" s="138">
        <v>61.800000000000004</v>
      </c>
      <c r="E3518" s="138">
        <v>58.252427184466015</v>
      </c>
      <c r="F3518" s="139">
        <v>1.03</v>
      </c>
    </row>
    <row r="3519" spans="1:6" x14ac:dyDescent="0.25">
      <c r="A3519" s="110"/>
      <c r="B3519" s="125" t="s">
        <v>2718</v>
      </c>
      <c r="C3519" s="138">
        <v>1.03</v>
      </c>
      <c r="D3519" s="138">
        <v>61.800000000000004</v>
      </c>
      <c r="E3519" s="138">
        <v>58.252427184466015</v>
      </c>
      <c r="F3519" s="139">
        <v>1.03</v>
      </c>
    </row>
    <row r="3520" spans="1:6" x14ac:dyDescent="0.25">
      <c r="A3520" s="110"/>
      <c r="B3520" s="125" t="s">
        <v>3067</v>
      </c>
      <c r="C3520" s="138">
        <v>1.03</v>
      </c>
      <c r="D3520" s="138">
        <v>61.800000000000004</v>
      </c>
      <c r="E3520" s="138">
        <v>58.252427184466015</v>
      </c>
      <c r="F3520" s="139">
        <v>1.03</v>
      </c>
    </row>
    <row r="3521" spans="1:6" x14ac:dyDescent="0.25">
      <c r="A3521" s="110"/>
      <c r="B3521" s="125" t="s">
        <v>3068</v>
      </c>
      <c r="C3521" s="138">
        <v>1.82</v>
      </c>
      <c r="D3521" s="138">
        <v>109.2</v>
      </c>
      <c r="E3521" s="138">
        <v>32.967032967032964</v>
      </c>
      <c r="F3521" s="139">
        <v>1.82</v>
      </c>
    </row>
    <row r="3522" spans="1:6" x14ac:dyDescent="0.25">
      <c r="A3522" s="110"/>
      <c r="B3522" s="125" t="s">
        <v>3069</v>
      </c>
      <c r="C3522" s="138">
        <v>1.82</v>
      </c>
      <c r="D3522" s="138">
        <v>109.2</v>
      </c>
      <c r="E3522" s="138">
        <v>32.967032967032964</v>
      </c>
      <c r="F3522" s="139">
        <v>1.82</v>
      </c>
    </row>
    <row r="3523" spans="1:6" x14ac:dyDescent="0.25">
      <c r="A3523" s="110"/>
      <c r="B3523" s="125" t="s">
        <v>3059</v>
      </c>
      <c r="C3523" s="138">
        <v>1.03</v>
      </c>
      <c r="D3523" s="138">
        <v>61.800000000000004</v>
      </c>
      <c r="E3523" s="138">
        <v>58.252427184466015</v>
      </c>
      <c r="F3523" s="139">
        <v>1.03</v>
      </c>
    </row>
    <row r="3524" spans="1:6" x14ac:dyDescent="0.25">
      <c r="A3524" s="110"/>
      <c r="B3524" s="125" t="s">
        <v>3066</v>
      </c>
      <c r="C3524" s="138">
        <v>1.03</v>
      </c>
      <c r="D3524" s="138">
        <v>61.800000000000004</v>
      </c>
      <c r="E3524" s="138">
        <v>58.252427184466015</v>
      </c>
      <c r="F3524" s="139">
        <v>1.03</v>
      </c>
    </row>
    <row r="3525" spans="1:6" x14ac:dyDescent="0.25">
      <c r="A3525" s="110"/>
      <c r="B3525" s="125" t="s">
        <v>3070</v>
      </c>
      <c r="C3525" s="138">
        <v>1.03</v>
      </c>
      <c r="D3525" s="138">
        <v>61.800000000000004</v>
      </c>
      <c r="E3525" s="138">
        <v>58.252427184466015</v>
      </c>
      <c r="F3525" s="139">
        <v>1.03</v>
      </c>
    </row>
    <row r="3526" spans="1:6" x14ac:dyDescent="0.25">
      <c r="A3526" s="110"/>
      <c r="B3526" s="125" t="s">
        <v>3071</v>
      </c>
      <c r="C3526" s="138">
        <v>1.03</v>
      </c>
      <c r="D3526" s="138">
        <v>61.800000000000004</v>
      </c>
      <c r="E3526" s="138">
        <v>58.252427184466015</v>
      </c>
      <c r="F3526" s="139">
        <v>1.03</v>
      </c>
    </row>
    <row r="3527" spans="1:6" x14ac:dyDescent="0.25">
      <c r="A3527" s="110"/>
      <c r="B3527" s="125" t="s">
        <v>3072</v>
      </c>
      <c r="C3527" s="138">
        <v>1</v>
      </c>
      <c r="D3527" s="138">
        <v>60</v>
      </c>
      <c r="E3527" s="138">
        <v>60</v>
      </c>
      <c r="F3527" s="139">
        <v>1</v>
      </c>
    </row>
    <row r="3528" spans="1:6" x14ac:dyDescent="0.25">
      <c r="A3528" s="110"/>
      <c r="B3528" s="125" t="s">
        <v>3073</v>
      </c>
      <c r="C3528" s="138">
        <v>1.03</v>
      </c>
      <c r="D3528" s="138">
        <v>61.800000000000004</v>
      </c>
      <c r="E3528" s="138">
        <v>58.252427184466015</v>
      </c>
      <c r="F3528" s="139">
        <v>1.03</v>
      </c>
    </row>
    <row r="3529" spans="1:6" x14ac:dyDescent="0.25">
      <c r="A3529" s="110"/>
      <c r="B3529" s="125" t="s">
        <v>3074</v>
      </c>
      <c r="C3529" s="138">
        <v>1.58</v>
      </c>
      <c r="D3529" s="138">
        <v>94.800000000000011</v>
      </c>
      <c r="E3529" s="138">
        <v>37.974683544303794</v>
      </c>
      <c r="F3529" s="139">
        <v>1.58</v>
      </c>
    </row>
    <row r="3530" spans="1:6" x14ac:dyDescent="0.25">
      <c r="A3530" s="110"/>
      <c r="B3530" s="125" t="s">
        <v>3070</v>
      </c>
      <c r="C3530" s="138">
        <v>2.0699999999999998</v>
      </c>
      <c r="D3530" s="138">
        <v>124.19999999999999</v>
      </c>
      <c r="E3530" s="138">
        <v>28.985507246376816</v>
      </c>
      <c r="F3530" s="139">
        <v>2.0699999999999998</v>
      </c>
    </row>
    <row r="3531" spans="1:6" x14ac:dyDescent="0.25">
      <c r="A3531" s="110"/>
      <c r="B3531" s="125" t="s">
        <v>3075</v>
      </c>
      <c r="C3531" s="138">
        <v>1.58</v>
      </c>
      <c r="D3531" s="138">
        <v>94.800000000000011</v>
      </c>
      <c r="E3531" s="138">
        <v>37.974683544303794</v>
      </c>
      <c r="F3531" s="139">
        <v>1.58</v>
      </c>
    </row>
    <row r="3532" spans="1:6" x14ac:dyDescent="0.25">
      <c r="A3532" s="110"/>
      <c r="B3532" s="125" t="s">
        <v>3076</v>
      </c>
      <c r="C3532" s="138">
        <v>1.03</v>
      </c>
      <c r="D3532" s="138">
        <v>61.800000000000004</v>
      </c>
      <c r="E3532" s="138">
        <v>58.252427184466015</v>
      </c>
      <c r="F3532" s="139">
        <v>1.03</v>
      </c>
    </row>
    <row r="3533" spans="1:6" x14ac:dyDescent="0.25">
      <c r="A3533" s="110"/>
      <c r="B3533" s="125" t="s">
        <v>3076</v>
      </c>
      <c r="C3533" s="138">
        <v>1.03</v>
      </c>
      <c r="D3533" s="138">
        <v>61.800000000000004</v>
      </c>
      <c r="E3533" s="138">
        <v>58.252427184466015</v>
      </c>
      <c r="F3533" s="139">
        <v>1.03</v>
      </c>
    </row>
    <row r="3534" spans="1:6" x14ac:dyDescent="0.25">
      <c r="A3534" s="110"/>
      <c r="B3534" s="125" t="s">
        <v>3077</v>
      </c>
      <c r="C3534" s="138">
        <v>1.03</v>
      </c>
      <c r="D3534" s="138">
        <v>61.800000000000004</v>
      </c>
      <c r="E3534" s="138">
        <v>58.252427184466015</v>
      </c>
      <c r="F3534" s="139">
        <v>1.03</v>
      </c>
    </row>
    <row r="3535" spans="1:6" x14ac:dyDescent="0.25">
      <c r="A3535" s="110"/>
      <c r="B3535" s="125" t="s">
        <v>3078</v>
      </c>
      <c r="C3535" s="138">
        <v>1.58</v>
      </c>
      <c r="D3535" s="138">
        <v>94.800000000000011</v>
      </c>
      <c r="E3535" s="138">
        <v>37.974683544303794</v>
      </c>
      <c r="F3535" s="139">
        <v>1.58</v>
      </c>
    </row>
    <row r="3536" spans="1:6" x14ac:dyDescent="0.25">
      <c r="A3536" s="110"/>
      <c r="B3536" s="125" t="s">
        <v>3066</v>
      </c>
      <c r="C3536" s="138">
        <v>1.03</v>
      </c>
      <c r="D3536" s="138">
        <v>61.800000000000004</v>
      </c>
      <c r="E3536" s="138">
        <v>58.252427184466015</v>
      </c>
      <c r="F3536" s="139">
        <v>1.03</v>
      </c>
    </row>
    <row r="3537" spans="1:6" x14ac:dyDescent="0.25">
      <c r="A3537" s="110"/>
      <c r="B3537" s="125" t="s">
        <v>3079</v>
      </c>
      <c r="C3537" s="138">
        <v>1.58</v>
      </c>
      <c r="D3537" s="138">
        <v>94.800000000000011</v>
      </c>
      <c r="E3537" s="138">
        <v>37.974683544303794</v>
      </c>
      <c r="F3537" s="139">
        <v>1.58</v>
      </c>
    </row>
    <row r="3538" spans="1:6" x14ac:dyDescent="0.25">
      <c r="A3538" s="110"/>
      <c r="B3538" s="125" t="s">
        <v>3080</v>
      </c>
      <c r="C3538" s="138">
        <v>1.58</v>
      </c>
      <c r="D3538" s="138">
        <v>94.800000000000011</v>
      </c>
      <c r="E3538" s="138">
        <v>37.974683544303794</v>
      </c>
      <c r="F3538" s="139">
        <v>1.58</v>
      </c>
    </row>
    <row r="3539" spans="1:6" x14ac:dyDescent="0.25">
      <c r="A3539" s="110"/>
      <c r="B3539" s="125" t="s">
        <v>3081</v>
      </c>
      <c r="C3539" s="138">
        <v>1.58</v>
      </c>
      <c r="D3539" s="138">
        <v>94.800000000000011</v>
      </c>
      <c r="E3539" s="138">
        <v>37.974683544303794</v>
      </c>
      <c r="F3539" s="139">
        <v>1.58</v>
      </c>
    </row>
    <row r="3540" spans="1:6" x14ac:dyDescent="0.25">
      <c r="A3540" s="110"/>
      <c r="B3540" s="125" t="s">
        <v>3082</v>
      </c>
      <c r="C3540" s="138">
        <v>1.03</v>
      </c>
      <c r="D3540" s="138">
        <v>61.800000000000004</v>
      </c>
      <c r="E3540" s="138">
        <v>58.252427184466015</v>
      </c>
      <c r="F3540" s="139">
        <v>1.03</v>
      </c>
    </row>
    <row r="3541" spans="1:6" x14ac:dyDescent="0.25">
      <c r="A3541" s="110"/>
      <c r="B3541" s="125" t="s">
        <v>3083</v>
      </c>
      <c r="C3541" s="138">
        <v>1.03</v>
      </c>
      <c r="D3541" s="138">
        <v>61.800000000000004</v>
      </c>
      <c r="E3541" s="138">
        <v>58.252427184466015</v>
      </c>
      <c r="F3541" s="139">
        <v>1.03</v>
      </c>
    </row>
    <row r="3542" spans="1:6" x14ac:dyDescent="0.25">
      <c r="A3542" s="110"/>
      <c r="B3542" s="125" t="s">
        <v>3084</v>
      </c>
      <c r="C3542" s="138">
        <v>1.58</v>
      </c>
      <c r="D3542" s="138">
        <v>94.800000000000011</v>
      </c>
      <c r="E3542" s="138">
        <v>37.974683544303794</v>
      </c>
      <c r="F3542" s="139">
        <v>1.58</v>
      </c>
    </row>
    <row r="3543" spans="1:6" x14ac:dyDescent="0.25">
      <c r="A3543" s="110"/>
      <c r="B3543" s="125" t="s">
        <v>3085</v>
      </c>
      <c r="C3543" s="138">
        <v>1.58</v>
      </c>
      <c r="D3543" s="138">
        <v>94.800000000000011</v>
      </c>
      <c r="E3543" s="138">
        <v>37.974683544303794</v>
      </c>
      <c r="F3543" s="139">
        <v>1.58</v>
      </c>
    </row>
    <row r="3544" spans="1:6" x14ac:dyDescent="0.25">
      <c r="A3544" s="110"/>
      <c r="B3544" s="125" t="s">
        <v>3086</v>
      </c>
      <c r="C3544" s="138">
        <v>1.58</v>
      </c>
      <c r="D3544" s="138">
        <v>94.800000000000011</v>
      </c>
      <c r="E3544" s="138">
        <v>37.974683544303794</v>
      </c>
      <c r="F3544" s="139">
        <v>1.58</v>
      </c>
    </row>
    <row r="3545" spans="1:6" x14ac:dyDescent="0.25">
      <c r="A3545" s="110"/>
      <c r="B3545" s="125" t="s">
        <v>3087</v>
      </c>
      <c r="C3545" s="138">
        <v>0.92</v>
      </c>
      <c r="D3545" s="138">
        <v>55.2</v>
      </c>
      <c r="E3545" s="138">
        <v>65.217391304347828</v>
      </c>
      <c r="F3545" s="139">
        <v>0.92</v>
      </c>
    </row>
    <row r="3546" spans="1:6" x14ac:dyDescent="0.25">
      <c r="A3546" s="110"/>
      <c r="B3546" s="125" t="s">
        <v>3088</v>
      </c>
      <c r="C3546" s="138">
        <v>0.92</v>
      </c>
      <c r="D3546" s="138">
        <v>55.2</v>
      </c>
      <c r="E3546" s="138">
        <v>65.217391304347828</v>
      </c>
      <c r="F3546" s="139">
        <v>0.92</v>
      </c>
    </row>
    <row r="3547" spans="1:6" x14ac:dyDescent="0.25">
      <c r="A3547" s="110"/>
      <c r="B3547" s="125" t="s">
        <v>3089</v>
      </c>
      <c r="C3547" s="138">
        <v>1.03</v>
      </c>
      <c r="D3547" s="138">
        <v>61.800000000000004</v>
      </c>
      <c r="E3547" s="138">
        <v>58.252427184466015</v>
      </c>
      <c r="F3547" s="139">
        <v>1.03</v>
      </c>
    </row>
    <row r="3548" spans="1:6" x14ac:dyDescent="0.25">
      <c r="A3548" s="110"/>
      <c r="B3548" s="125" t="s">
        <v>3087</v>
      </c>
      <c r="C3548" s="138">
        <v>0.92</v>
      </c>
      <c r="D3548" s="138">
        <v>55.2</v>
      </c>
      <c r="E3548" s="138">
        <v>65.217391304347828</v>
      </c>
      <c r="F3548" s="139">
        <v>0.92</v>
      </c>
    </row>
    <row r="3549" spans="1:6" x14ac:dyDescent="0.25">
      <c r="A3549" s="110"/>
      <c r="B3549" s="125" t="s">
        <v>3088</v>
      </c>
      <c r="C3549" s="138">
        <v>0.92</v>
      </c>
      <c r="D3549" s="138">
        <v>55.2</v>
      </c>
      <c r="E3549" s="138">
        <v>65.217391304347828</v>
      </c>
      <c r="F3549" s="139">
        <v>0.92</v>
      </c>
    </row>
    <row r="3550" spans="1:6" x14ac:dyDescent="0.25">
      <c r="A3550" s="110"/>
      <c r="B3550" s="125" t="s">
        <v>3090</v>
      </c>
      <c r="C3550" s="138">
        <v>1.58</v>
      </c>
      <c r="D3550" s="138">
        <v>94.800000000000011</v>
      </c>
      <c r="E3550" s="138">
        <v>37.974683544303794</v>
      </c>
      <c r="F3550" s="139">
        <v>1.58</v>
      </c>
    </row>
    <row r="3551" spans="1:6" x14ac:dyDescent="0.25">
      <c r="A3551" s="110"/>
      <c r="B3551" s="125" t="s">
        <v>3091</v>
      </c>
      <c r="C3551" s="138">
        <v>1.58</v>
      </c>
      <c r="D3551" s="138">
        <v>94.800000000000011</v>
      </c>
      <c r="E3551" s="138">
        <v>37.974683544303794</v>
      </c>
      <c r="F3551" s="139">
        <v>1.58</v>
      </c>
    </row>
    <row r="3552" spans="1:6" x14ac:dyDescent="0.25">
      <c r="A3552" s="110"/>
      <c r="B3552" s="125" t="s">
        <v>3092</v>
      </c>
      <c r="C3552" s="138">
        <v>1.58</v>
      </c>
      <c r="D3552" s="138">
        <v>94.800000000000011</v>
      </c>
      <c r="E3552" s="138">
        <v>37.974683544303794</v>
      </c>
      <c r="F3552" s="139">
        <v>1.58</v>
      </c>
    </row>
    <row r="3553" spans="1:6" x14ac:dyDescent="0.25">
      <c r="A3553" s="110"/>
      <c r="B3553" s="125" t="s">
        <v>3093</v>
      </c>
      <c r="C3553" s="138">
        <v>1.58</v>
      </c>
      <c r="D3553" s="138">
        <v>94.800000000000011</v>
      </c>
      <c r="E3553" s="138">
        <v>37.974683544303794</v>
      </c>
      <c r="F3553" s="139">
        <v>1.58</v>
      </c>
    </row>
    <row r="3554" spans="1:6" x14ac:dyDescent="0.25">
      <c r="A3554" s="110"/>
      <c r="B3554" s="125" t="s">
        <v>3094</v>
      </c>
      <c r="C3554" s="138">
        <v>0.5</v>
      </c>
      <c r="D3554" s="138">
        <v>30</v>
      </c>
      <c r="E3554" s="138">
        <v>120</v>
      </c>
      <c r="F3554" s="139">
        <v>0.5</v>
      </c>
    </row>
    <row r="3555" spans="1:6" x14ac:dyDescent="0.25">
      <c r="A3555" s="110"/>
      <c r="B3555" s="125" t="s">
        <v>3095</v>
      </c>
      <c r="C3555" s="138">
        <v>2.9</v>
      </c>
      <c r="D3555" s="138">
        <v>174</v>
      </c>
      <c r="E3555" s="138">
        <v>20.689655172413794</v>
      </c>
      <c r="F3555" s="139">
        <v>2.9</v>
      </c>
    </row>
    <row r="3556" spans="1:6" x14ac:dyDescent="0.25">
      <c r="A3556" s="110"/>
      <c r="B3556" s="125" t="s">
        <v>3096</v>
      </c>
      <c r="C3556" s="138">
        <v>0</v>
      </c>
      <c r="D3556" s="138">
        <v>0</v>
      </c>
      <c r="E3556" s="138" t="e">
        <v>#DIV/0!</v>
      </c>
      <c r="F3556" s="139">
        <v>0</v>
      </c>
    </row>
    <row r="3557" spans="1:6" x14ac:dyDescent="0.25">
      <c r="A3557" s="110"/>
      <c r="B3557" s="125" t="s">
        <v>3097</v>
      </c>
      <c r="C3557" s="138">
        <v>2.9</v>
      </c>
      <c r="D3557" s="138">
        <v>174</v>
      </c>
      <c r="E3557" s="138">
        <v>20.689655172413794</v>
      </c>
      <c r="F3557" s="139">
        <v>2.9</v>
      </c>
    </row>
    <row r="3558" spans="1:6" x14ac:dyDescent="0.25">
      <c r="A3558" s="110"/>
      <c r="B3558" s="125" t="s">
        <v>3098</v>
      </c>
      <c r="C3558" s="138">
        <v>0.5</v>
      </c>
      <c r="D3558" s="138">
        <v>30</v>
      </c>
      <c r="E3558" s="138">
        <v>120</v>
      </c>
      <c r="F3558" s="139">
        <v>0.5</v>
      </c>
    </row>
    <row r="3559" spans="1:6" x14ac:dyDescent="0.25">
      <c r="A3559" s="110"/>
      <c r="B3559" s="125" t="s">
        <v>3099</v>
      </c>
      <c r="C3559" s="138">
        <v>0.5</v>
      </c>
      <c r="D3559" s="138">
        <v>30</v>
      </c>
      <c r="E3559" s="138">
        <v>120</v>
      </c>
      <c r="F3559" s="139">
        <v>0.5</v>
      </c>
    </row>
    <row r="3560" spans="1:6" x14ac:dyDescent="0.25">
      <c r="A3560" s="110"/>
      <c r="B3560" s="125" t="s">
        <v>3100</v>
      </c>
      <c r="C3560" s="138">
        <v>6.63</v>
      </c>
      <c r="D3560" s="138">
        <v>397.8</v>
      </c>
      <c r="E3560" s="138">
        <v>9.0497737556561084</v>
      </c>
      <c r="F3560" s="139">
        <v>6.63</v>
      </c>
    </row>
    <row r="3561" spans="1:6" x14ac:dyDescent="0.25">
      <c r="A3561" s="110"/>
      <c r="B3561" s="125" t="s">
        <v>3101</v>
      </c>
      <c r="C3561" s="138">
        <v>7.17</v>
      </c>
      <c r="D3561" s="138">
        <v>430.2</v>
      </c>
      <c r="E3561" s="138">
        <v>8.3682008368200833</v>
      </c>
      <c r="F3561" s="139">
        <v>7.17</v>
      </c>
    </row>
    <row r="3562" spans="1:6" x14ac:dyDescent="0.25">
      <c r="A3562" s="110"/>
      <c r="B3562" s="125" t="s">
        <v>3102</v>
      </c>
      <c r="C3562" s="138">
        <v>0.5</v>
      </c>
      <c r="D3562" s="138">
        <v>30</v>
      </c>
      <c r="E3562" s="138">
        <v>120</v>
      </c>
      <c r="F3562" s="139">
        <v>0.5</v>
      </c>
    </row>
    <row r="3563" spans="1:6" x14ac:dyDescent="0.25">
      <c r="A3563" s="110"/>
      <c r="B3563" s="125" t="s">
        <v>3103</v>
      </c>
      <c r="C3563" s="138">
        <v>8.33</v>
      </c>
      <c r="D3563" s="138">
        <v>499.8</v>
      </c>
      <c r="E3563" s="138">
        <v>7.2028811524609839</v>
      </c>
      <c r="F3563" s="139">
        <v>8.33</v>
      </c>
    </row>
    <row r="3564" spans="1:6" x14ac:dyDescent="0.25">
      <c r="A3564" s="110"/>
      <c r="B3564" s="125" t="s">
        <v>3104</v>
      </c>
      <c r="C3564" s="138">
        <v>8.33</v>
      </c>
      <c r="D3564" s="138">
        <v>499.8</v>
      </c>
      <c r="E3564" s="138">
        <v>7.2028811524609839</v>
      </c>
      <c r="F3564" s="139">
        <v>8.33</v>
      </c>
    </row>
    <row r="3565" spans="1:6" x14ac:dyDescent="0.25">
      <c r="A3565" s="110"/>
      <c r="B3565" s="125" t="s">
        <v>3105</v>
      </c>
      <c r="C3565" s="138">
        <v>7.17</v>
      </c>
      <c r="D3565" s="138">
        <v>430.2</v>
      </c>
      <c r="E3565" s="138">
        <v>8.3682008368200833</v>
      </c>
      <c r="F3565" s="139">
        <v>7.17</v>
      </c>
    </row>
    <row r="3566" spans="1:6" x14ac:dyDescent="0.25">
      <c r="A3566" s="110"/>
      <c r="B3566" s="125" t="s">
        <v>3106</v>
      </c>
      <c r="C3566" s="138">
        <v>0.2</v>
      </c>
      <c r="D3566" s="138">
        <v>12</v>
      </c>
      <c r="E3566" s="138">
        <v>300</v>
      </c>
      <c r="F3566" s="139">
        <v>0.2</v>
      </c>
    </row>
    <row r="3567" spans="1:6" x14ac:dyDescent="0.25">
      <c r="A3567" s="110"/>
      <c r="B3567" s="125" t="s">
        <v>3107</v>
      </c>
      <c r="C3567" s="138">
        <v>8.33</v>
      </c>
      <c r="D3567" s="138">
        <v>499.8</v>
      </c>
      <c r="E3567" s="138">
        <v>7.2028811524609839</v>
      </c>
      <c r="F3567" s="139">
        <v>8.33</v>
      </c>
    </row>
    <row r="3568" spans="1:6" x14ac:dyDescent="0.25">
      <c r="A3568" s="110"/>
      <c r="B3568" s="125" t="s">
        <v>3108</v>
      </c>
      <c r="C3568" s="138">
        <v>2</v>
      </c>
      <c r="D3568" s="138">
        <v>120</v>
      </c>
      <c r="E3568" s="138">
        <v>30</v>
      </c>
      <c r="F3568" s="139">
        <v>2</v>
      </c>
    </row>
    <row r="3569" spans="1:6" x14ac:dyDescent="0.25">
      <c r="A3569" s="110"/>
      <c r="B3569" s="125" t="s">
        <v>3109</v>
      </c>
      <c r="C3569" s="138">
        <v>0.97</v>
      </c>
      <c r="D3569" s="138">
        <v>58.199999999999996</v>
      </c>
      <c r="E3569" s="138">
        <v>61.855670103092791</v>
      </c>
      <c r="F3569" s="139">
        <v>0.97</v>
      </c>
    </row>
    <row r="3570" spans="1:6" x14ac:dyDescent="0.25">
      <c r="A3570" s="110"/>
      <c r="B3570" s="125" t="s">
        <v>3110</v>
      </c>
      <c r="C3570" s="138">
        <v>1.58</v>
      </c>
      <c r="D3570" s="138">
        <v>94.800000000000011</v>
      </c>
      <c r="E3570" s="138">
        <v>37.974683544303794</v>
      </c>
      <c r="F3570" s="139">
        <v>1.58</v>
      </c>
    </row>
    <row r="3571" spans="1:6" x14ac:dyDescent="0.25">
      <c r="A3571" s="110"/>
      <c r="B3571" s="125" t="s">
        <v>3111</v>
      </c>
      <c r="C3571" s="138">
        <v>8.33</v>
      </c>
      <c r="D3571" s="138">
        <v>499.8</v>
      </c>
      <c r="E3571" s="138">
        <v>7.2028811524609839</v>
      </c>
      <c r="F3571" s="139">
        <v>8.33</v>
      </c>
    </row>
    <row r="3572" spans="1:6" x14ac:dyDescent="0.25">
      <c r="A3572" s="110"/>
      <c r="B3572" s="125" t="s">
        <v>3097</v>
      </c>
      <c r="C3572" s="138">
        <v>8.33</v>
      </c>
      <c r="D3572" s="138">
        <v>499.8</v>
      </c>
      <c r="E3572" s="138">
        <v>7.2028811524609839</v>
      </c>
      <c r="F3572" s="139">
        <v>8.33</v>
      </c>
    </row>
    <row r="3573" spans="1:6" x14ac:dyDescent="0.25">
      <c r="A3573" s="110"/>
      <c r="B3573" s="125" t="s">
        <v>3112</v>
      </c>
      <c r="C3573" s="138">
        <v>0.97</v>
      </c>
      <c r="D3573" s="138">
        <v>58.199999999999996</v>
      </c>
      <c r="E3573" s="138">
        <v>61.855670103092791</v>
      </c>
      <c r="F3573" s="139">
        <v>0.97</v>
      </c>
    </row>
    <row r="3574" spans="1:6" x14ac:dyDescent="0.25">
      <c r="A3574" s="110"/>
      <c r="B3574" s="125" t="s">
        <v>3033</v>
      </c>
      <c r="C3574" s="138">
        <v>1.5</v>
      </c>
      <c r="D3574" s="138">
        <v>90</v>
      </c>
      <c r="E3574" s="138">
        <v>40</v>
      </c>
      <c r="F3574" s="139">
        <v>1.5</v>
      </c>
    </row>
    <row r="3575" spans="1:6" x14ac:dyDescent="0.25">
      <c r="A3575" s="110"/>
      <c r="B3575" s="125" t="s">
        <v>3034</v>
      </c>
      <c r="C3575" s="138">
        <v>1.5</v>
      </c>
      <c r="D3575" s="138">
        <v>90</v>
      </c>
      <c r="E3575" s="138">
        <v>40</v>
      </c>
      <c r="F3575" s="139">
        <v>1.5</v>
      </c>
    </row>
    <row r="3576" spans="1:6" x14ac:dyDescent="0.25">
      <c r="A3576" s="110"/>
      <c r="B3576" s="125" t="s">
        <v>3113</v>
      </c>
      <c r="C3576" s="138">
        <v>2</v>
      </c>
      <c r="D3576" s="138">
        <v>120</v>
      </c>
      <c r="E3576" s="138">
        <v>30</v>
      </c>
      <c r="F3576" s="139">
        <v>2</v>
      </c>
    </row>
    <row r="3577" spans="1:6" x14ac:dyDescent="0.25">
      <c r="A3577" s="110"/>
      <c r="B3577" s="125" t="s">
        <v>3114</v>
      </c>
      <c r="C3577" s="138">
        <v>1.5</v>
      </c>
      <c r="D3577" s="138">
        <v>90</v>
      </c>
      <c r="E3577" s="138">
        <v>40</v>
      </c>
      <c r="F3577" s="139">
        <v>1.5</v>
      </c>
    </row>
    <row r="3578" spans="1:6" x14ac:dyDescent="0.25">
      <c r="A3578" s="110"/>
      <c r="B3578" s="125" t="s">
        <v>3115</v>
      </c>
      <c r="C3578" s="138">
        <v>1.58</v>
      </c>
      <c r="D3578" s="138">
        <v>94.800000000000011</v>
      </c>
      <c r="E3578" s="138">
        <v>37.974683544303794</v>
      </c>
      <c r="F3578" s="139">
        <v>1.58</v>
      </c>
    </row>
    <row r="3579" spans="1:6" x14ac:dyDescent="0.25">
      <c r="A3579" s="110"/>
      <c r="B3579" s="125" t="s">
        <v>3116</v>
      </c>
      <c r="C3579" s="138">
        <v>1.58</v>
      </c>
      <c r="D3579" s="138">
        <v>94.800000000000011</v>
      </c>
      <c r="E3579" s="138">
        <v>37.974683544303794</v>
      </c>
      <c r="F3579" s="139">
        <v>1.58</v>
      </c>
    </row>
    <row r="3580" spans="1:6" x14ac:dyDescent="0.25">
      <c r="A3580" s="110"/>
      <c r="B3580" s="125" t="s">
        <v>3116</v>
      </c>
      <c r="C3580" s="138">
        <v>1.58</v>
      </c>
      <c r="D3580" s="138">
        <v>94.800000000000011</v>
      </c>
      <c r="E3580" s="138">
        <v>37.974683544303794</v>
      </c>
      <c r="F3580" s="139">
        <v>1.58</v>
      </c>
    </row>
    <row r="3581" spans="1:6" x14ac:dyDescent="0.25">
      <c r="A3581" s="110"/>
      <c r="B3581" s="125" t="s">
        <v>3117</v>
      </c>
      <c r="C3581" s="138">
        <v>1.58</v>
      </c>
      <c r="D3581" s="138">
        <v>94.800000000000011</v>
      </c>
      <c r="E3581" s="138">
        <v>37.974683544303794</v>
      </c>
      <c r="F3581" s="139">
        <v>1.58</v>
      </c>
    </row>
    <row r="3582" spans="1:6" x14ac:dyDescent="0.25">
      <c r="A3582" s="110"/>
      <c r="B3582" s="125" t="s">
        <v>3118</v>
      </c>
      <c r="C3582" s="138">
        <v>1.58</v>
      </c>
      <c r="D3582" s="138">
        <v>94.800000000000011</v>
      </c>
      <c r="E3582" s="138">
        <v>37.974683544303794</v>
      </c>
      <c r="F3582" s="139">
        <v>1.58</v>
      </c>
    </row>
    <row r="3583" spans="1:6" x14ac:dyDescent="0.25">
      <c r="A3583" s="110"/>
      <c r="B3583" s="125" t="s">
        <v>3119</v>
      </c>
      <c r="C3583" s="138">
        <v>1.58</v>
      </c>
      <c r="D3583" s="138">
        <v>94.800000000000011</v>
      </c>
      <c r="E3583" s="138">
        <v>37.974683544303794</v>
      </c>
      <c r="F3583" s="139">
        <v>1.58</v>
      </c>
    </row>
    <row r="3584" spans="1:6" x14ac:dyDescent="0.25">
      <c r="A3584" s="110"/>
      <c r="B3584" s="125" t="s">
        <v>3120</v>
      </c>
      <c r="C3584" s="138">
        <v>1.5</v>
      </c>
      <c r="D3584" s="138">
        <v>90</v>
      </c>
      <c r="E3584" s="138">
        <v>40</v>
      </c>
      <c r="F3584" s="139">
        <v>1.5</v>
      </c>
    </row>
    <row r="3585" spans="1:6" x14ac:dyDescent="0.25">
      <c r="A3585" s="110"/>
      <c r="B3585" s="125" t="s">
        <v>3121</v>
      </c>
      <c r="C3585" s="138">
        <v>1.58</v>
      </c>
      <c r="D3585" s="138">
        <v>94.800000000000011</v>
      </c>
      <c r="E3585" s="138">
        <v>37.974683544303794</v>
      </c>
      <c r="F3585" s="139">
        <v>1.58</v>
      </c>
    </row>
    <row r="3586" spans="1:6" x14ac:dyDescent="0.25">
      <c r="A3586" s="110"/>
      <c r="B3586" s="125" t="s">
        <v>3122</v>
      </c>
      <c r="C3586" s="138">
        <v>0.97</v>
      </c>
      <c r="D3586" s="138">
        <v>58.199999999999996</v>
      </c>
      <c r="E3586" s="138">
        <v>61.855670103092791</v>
      </c>
      <c r="F3586" s="139">
        <v>0.97</v>
      </c>
    </row>
    <row r="3587" spans="1:6" x14ac:dyDescent="0.25">
      <c r="A3587" s="110"/>
      <c r="B3587" s="125" t="s">
        <v>3123</v>
      </c>
      <c r="C3587" s="138">
        <v>0.9</v>
      </c>
      <c r="D3587" s="138">
        <v>54</v>
      </c>
      <c r="E3587" s="138">
        <v>66.666666666666671</v>
      </c>
      <c r="F3587" s="139">
        <v>0.9</v>
      </c>
    </row>
    <row r="3588" spans="1:6" x14ac:dyDescent="0.25">
      <c r="A3588" s="110"/>
      <c r="B3588" s="125" t="s">
        <v>3124</v>
      </c>
      <c r="C3588" s="138">
        <v>1</v>
      </c>
      <c r="D3588" s="138">
        <v>60</v>
      </c>
      <c r="E3588" s="138">
        <v>60</v>
      </c>
      <c r="F3588" s="139">
        <v>1</v>
      </c>
    </row>
    <row r="3589" spans="1:6" x14ac:dyDescent="0.25">
      <c r="A3589" s="110"/>
      <c r="B3589" s="125" t="s">
        <v>3125</v>
      </c>
      <c r="C3589" s="138">
        <v>1</v>
      </c>
      <c r="D3589" s="138">
        <v>60</v>
      </c>
      <c r="E3589" s="138">
        <v>60</v>
      </c>
      <c r="F3589" s="139">
        <v>1</v>
      </c>
    </row>
    <row r="3590" spans="1:6" x14ac:dyDescent="0.25">
      <c r="A3590" s="110"/>
      <c r="B3590" s="125" t="s">
        <v>3126</v>
      </c>
      <c r="C3590" s="138">
        <v>1</v>
      </c>
      <c r="D3590" s="138">
        <v>60</v>
      </c>
      <c r="E3590" s="138">
        <v>60</v>
      </c>
      <c r="F3590" s="139">
        <v>1</v>
      </c>
    </row>
    <row r="3591" spans="1:6" x14ac:dyDescent="0.25">
      <c r="A3591" s="110"/>
      <c r="B3591" s="125" t="s">
        <v>3127</v>
      </c>
      <c r="C3591" s="138">
        <v>1</v>
      </c>
      <c r="D3591" s="138">
        <v>60</v>
      </c>
      <c r="E3591" s="138">
        <v>60</v>
      </c>
      <c r="F3591" s="139">
        <v>1</v>
      </c>
    </row>
    <row r="3592" spans="1:6" x14ac:dyDescent="0.25">
      <c r="A3592" s="110"/>
      <c r="B3592" s="125" t="s">
        <v>3128</v>
      </c>
      <c r="C3592" s="138">
        <v>1</v>
      </c>
      <c r="D3592" s="138">
        <v>60</v>
      </c>
      <c r="E3592" s="138">
        <v>60</v>
      </c>
      <c r="F3592" s="139">
        <v>1</v>
      </c>
    </row>
    <row r="3593" spans="1:6" x14ac:dyDescent="0.25">
      <c r="A3593" s="110"/>
      <c r="B3593" s="125" t="s">
        <v>3129</v>
      </c>
      <c r="C3593" s="138">
        <v>1.25</v>
      </c>
      <c r="D3593" s="138">
        <v>75</v>
      </c>
      <c r="E3593" s="138">
        <v>48</v>
      </c>
      <c r="F3593" s="139">
        <v>1.25</v>
      </c>
    </row>
    <row r="3594" spans="1:6" x14ac:dyDescent="0.25">
      <c r="A3594" s="110"/>
      <c r="B3594" s="125" t="s">
        <v>3130</v>
      </c>
      <c r="C3594" s="138">
        <v>1.25</v>
      </c>
      <c r="D3594" s="138">
        <v>75</v>
      </c>
      <c r="E3594" s="138">
        <v>48</v>
      </c>
      <c r="F3594" s="139">
        <v>1.25</v>
      </c>
    </row>
    <row r="3595" spans="1:6" x14ac:dyDescent="0.25">
      <c r="A3595" s="110"/>
      <c r="B3595" s="125" t="s">
        <v>3131</v>
      </c>
      <c r="C3595" s="138">
        <v>1.5</v>
      </c>
      <c r="D3595" s="138">
        <v>90</v>
      </c>
      <c r="E3595" s="138">
        <v>40</v>
      </c>
      <c r="F3595" s="139">
        <v>1.5</v>
      </c>
    </row>
    <row r="3596" spans="1:6" x14ac:dyDescent="0.25">
      <c r="A3596" s="110"/>
      <c r="B3596" s="125" t="s">
        <v>3132</v>
      </c>
      <c r="C3596" s="138">
        <v>1.5</v>
      </c>
      <c r="D3596" s="138">
        <v>90</v>
      </c>
      <c r="E3596" s="138">
        <v>40</v>
      </c>
      <c r="F3596" s="139">
        <v>1.5</v>
      </c>
    </row>
    <row r="3597" spans="1:6" x14ac:dyDescent="0.25">
      <c r="A3597" s="110"/>
      <c r="B3597" s="125" t="s">
        <v>3133</v>
      </c>
      <c r="C3597" s="138">
        <v>0.6</v>
      </c>
      <c r="D3597" s="138">
        <v>36</v>
      </c>
      <c r="E3597" s="138">
        <v>100</v>
      </c>
      <c r="F3597" s="139">
        <v>0.6</v>
      </c>
    </row>
    <row r="3598" spans="1:6" x14ac:dyDescent="0.25">
      <c r="A3598" s="110"/>
      <c r="B3598" s="125" t="s">
        <v>3134</v>
      </c>
      <c r="C3598" s="138">
        <v>0.6</v>
      </c>
      <c r="D3598" s="138">
        <v>36</v>
      </c>
      <c r="E3598" s="138">
        <v>100</v>
      </c>
      <c r="F3598" s="139">
        <v>0.6</v>
      </c>
    </row>
    <row r="3599" spans="1:6" x14ac:dyDescent="0.25">
      <c r="A3599" s="110"/>
      <c r="B3599" s="125" t="s">
        <v>3135</v>
      </c>
      <c r="C3599" s="138">
        <v>0.4</v>
      </c>
      <c r="D3599" s="138">
        <v>24</v>
      </c>
      <c r="E3599" s="138">
        <v>150</v>
      </c>
      <c r="F3599" s="139">
        <v>0.4</v>
      </c>
    </row>
    <row r="3600" spans="1:6" x14ac:dyDescent="0.25">
      <c r="A3600" s="110"/>
      <c r="B3600" s="125" t="s">
        <v>3131</v>
      </c>
      <c r="C3600" s="138">
        <v>0.4</v>
      </c>
      <c r="D3600" s="138">
        <v>24</v>
      </c>
      <c r="E3600" s="138">
        <v>150</v>
      </c>
      <c r="F3600" s="139">
        <v>0.4</v>
      </c>
    </row>
    <row r="3601" spans="1:6" x14ac:dyDescent="0.25">
      <c r="A3601" s="110"/>
      <c r="B3601" s="125" t="s">
        <v>3136</v>
      </c>
      <c r="C3601" s="138">
        <v>0.75</v>
      </c>
      <c r="D3601" s="138">
        <v>45</v>
      </c>
      <c r="E3601" s="138">
        <v>80</v>
      </c>
      <c r="F3601" s="139">
        <v>0.75</v>
      </c>
    </row>
    <row r="3602" spans="1:6" x14ac:dyDescent="0.25">
      <c r="A3602" s="110"/>
      <c r="B3602" s="125" t="s">
        <v>3137</v>
      </c>
      <c r="C3602" s="138">
        <v>0.5</v>
      </c>
      <c r="D3602" s="138">
        <v>30</v>
      </c>
      <c r="E3602" s="138">
        <v>120</v>
      </c>
      <c r="F3602" s="139">
        <v>0.5</v>
      </c>
    </row>
    <row r="3603" spans="1:6" x14ac:dyDescent="0.25">
      <c r="A3603" s="110"/>
      <c r="B3603" s="125" t="s">
        <v>3138</v>
      </c>
      <c r="C3603" s="138">
        <v>1.5</v>
      </c>
      <c r="D3603" s="138">
        <v>90</v>
      </c>
      <c r="E3603" s="138">
        <v>40</v>
      </c>
      <c r="F3603" s="139">
        <v>1.5</v>
      </c>
    </row>
    <row r="3604" spans="1:6" x14ac:dyDescent="0.25">
      <c r="A3604" s="110"/>
      <c r="B3604" s="125" t="s">
        <v>3139</v>
      </c>
      <c r="C3604" s="138">
        <v>0.1</v>
      </c>
      <c r="D3604" s="138">
        <v>6</v>
      </c>
      <c r="E3604" s="138">
        <v>600</v>
      </c>
      <c r="F3604" s="139">
        <v>0.1</v>
      </c>
    </row>
    <row r="3605" spans="1:6" x14ac:dyDescent="0.25">
      <c r="A3605" s="110"/>
      <c r="B3605" s="125" t="s">
        <v>263</v>
      </c>
      <c r="C3605" s="138">
        <v>0.91</v>
      </c>
      <c r="D3605" s="138">
        <v>54.6</v>
      </c>
      <c r="E3605" s="138">
        <v>65.934065934065927</v>
      </c>
      <c r="F3605" s="139">
        <v>0.91</v>
      </c>
    </row>
    <row r="3606" spans="1:6" x14ac:dyDescent="0.25">
      <c r="A3606" s="110"/>
      <c r="B3606" s="125" t="s">
        <v>1940</v>
      </c>
      <c r="C3606" s="138">
        <v>0.5</v>
      </c>
      <c r="D3606" s="138">
        <v>30</v>
      </c>
      <c r="E3606" s="138">
        <v>120</v>
      </c>
      <c r="F3606" s="139">
        <v>0.5</v>
      </c>
    </row>
    <row r="3607" spans="1:6" x14ac:dyDescent="0.25">
      <c r="A3607" s="110"/>
      <c r="B3607" s="125" t="s">
        <v>3140</v>
      </c>
      <c r="C3607" s="138">
        <v>1.5</v>
      </c>
      <c r="D3607" s="138">
        <v>90</v>
      </c>
      <c r="E3607" s="138">
        <v>40</v>
      </c>
      <c r="F3607" s="139">
        <v>1.5</v>
      </c>
    </row>
    <row r="3608" spans="1:6" x14ac:dyDescent="0.25">
      <c r="A3608" s="110"/>
      <c r="B3608" s="125" t="s">
        <v>3141</v>
      </c>
      <c r="C3608" s="138">
        <v>0.6</v>
      </c>
      <c r="D3608" s="138">
        <v>36</v>
      </c>
      <c r="E3608" s="138">
        <v>100</v>
      </c>
      <c r="F3608" s="139">
        <v>0.6</v>
      </c>
    </row>
    <row r="3609" spans="1:6" x14ac:dyDescent="0.25">
      <c r="A3609" s="110"/>
      <c r="B3609" s="125" t="s">
        <v>3142</v>
      </c>
      <c r="C3609" s="138">
        <v>1.5</v>
      </c>
      <c r="D3609" s="138">
        <v>90</v>
      </c>
      <c r="E3609" s="138">
        <v>40</v>
      </c>
      <c r="F3609" s="139">
        <v>1.5</v>
      </c>
    </row>
    <row r="3610" spans="1:6" x14ac:dyDescent="0.25">
      <c r="A3610" s="110"/>
      <c r="B3610" s="125" t="s">
        <v>3142</v>
      </c>
      <c r="C3610" s="138">
        <v>1.5</v>
      </c>
      <c r="D3610" s="138">
        <v>90</v>
      </c>
      <c r="E3610" s="138">
        <v>40</v>
      </c>
      <c r="F3610" s="139">
        <v>1.5</v>
      </c>
    </row>
    <row r="3611" spans="1:6" x14ac:dyDescent="0.25">
      <c r="A3611" s="110"/>
      <c r="B3611" s="125" t="s">
        <v>3135</v>
      </c>
      <c r="C3611" s="138">
        <v>0.4</v>
      </c>
      <c r="D3611" s="138">
        <v>24</v>
      </c>
      <c r="E3611" s="138">
        <v>150</v>
      </c>
      <c r="F3611" s="139">
        <v>0.4</v>
      </c>
    </row>
    <row r="3612" spans="1:6" x14ac:dyDescent="0.25">
      <c r="A3612" s="110"/>
      <c r="B3612" s="125" t="s">
        <v>3143</v>
      </c>
      <c r="C3612" s="138">
        <v>0.25</v>
      </c>
      <c r="D3612" s="138">
        <v>15</v>
      </c>
      <c r="E3612" s="138">
        <v>240</v>
      </c>
      <c r="F3612" s="139">
        <v>0.25</v>
      </c>
    </row>
    <row r="3613" spans="1:6" x14ac:dyDescent="0.25">
      <c r="A3613" s="110"/>
      <c r="B3613" s="125" t="s">
        <v>3144</v>
      </c>
      <c r="C3613" s="138">
        <v>0.4</v>
      </c>
      <c r="D3613" s="138">
        <v>24</v>
      </c>
      <c r="E3613" s="138">
        <v>150</v>
      </c>
      <c r="F3613" s="139">
        <v>0.4</v>
      </c>
    </row>
    <row r="3614" spans="1:6" x14ac:dyDescent="0.25">
      <c r="A3614" s="110"/>
      <c r="B3614" s="125" t="s">
        <v>3145</v>
      </c>
      <c r="C3614" s="138">
        <v>0.4</v>
      </c>
      <c r="D3614" s="138">
        <v>24</v>
      </c>
      <c r="E3614" s="138">
        <v>150</v>
      </c>
      <c r="F3614" s="139">
        <v>0.4</v>
      </c>
    </row>
    <row r="3615" spans="1:6" x14ac:dyDescent="0.25">
      <c r="A3615" s="110"/>
      <c r="B3615" s="125" t="s">
        <v>3144</v>
      </c>
      <c r="C3615" s="138">
        <v>0.4</v>
      </c>
      <c r="D3615" s="138">
        <v>24</v>
      </c>
      <c r="E3615" s="138">
        <v>150</v>
      </c>
      <c r="F3615" s="139">
        <v>0.4</v>
      </c>
    </row>
    <row r="3616" spans="1:6" x14ac:dyDescent="0.25">
      <c r="A3616" s="110"/>
      <c r="B3616" s="125" t="s">
        <v>3145</v>
      </c>
      <c r="C3616" s="138">
        <v>0.4</v>
      </c>
      <c r="D3616" s="138">
        <v>24</v>
      </c>
      <c r="E3616" s="138">
        <v>150</v>
      </c>
      <c r="F3616" s="139">
        <v>0.4</v>
      </c>
    </row>
    <row r="3617" spans="1:6" x14ac:dyDescent="0.25">
      <c r="A3617" s="110"/>
      <c r="B3617" s="125" t="s">
        <v>3144</v>
      </c>
      <c r="C3617" s="138">
        <v>0.4</v>
      </c>
      <c r="D3617" s="138">
        <v>24</v>
      </c>
      <c r="E3617" s="138">
        <v>150</v>
      </c>
      <c r="F3617" s="139">
        <v>0.4</v>
      </c>
    </row>
    <row r="3618" spans="1:6" x14ac:dyDescent="0.25">
      <c r="A3618" s="110"/>
      <c r="B3618" s="125" t="s">
        <v>3145</v>
      </c>
      <c r="C3618" s="138">
        <v>0.4</v>
      </c>
      <c r="D3618" s="138">
        <v>24</v>
      </c>
      <c r="E3618" s="138">
        <v>150</v>
      </c>
      <c r="F3618" s="139">
        <v>0.4</v>
      </c>
    </row>
    <row r="3619" spans="1:6" x14ac:dyDescent="0.25">
      <c r="A3619" s="110"/>
      <c r="B3619" s="125" t="s">
        <v>3146</v>
      </c>
      <c r="C3619" s="138">
        <v>0.01</v>
      </c>
      <c r="D3619" s="138">
        <v>0.6</v>
      </c>
      <c r="E3619" s="138">
        <v>6000</v>
      </c>
      <c r="F3619" s="139">
        <v>0.01</v>
      </c>
    </row>
    <row r="3620" spans="1:6" x14ac:dyDescent="0.25">
      <c r="A3620" s="110"/>
      <c r="B3620" s="125" t="s">
        <v>3147</v>
      </c>
      <c r="C3620" s="138">
        <v>0.4</v>
      </c>
      <c r="D3620" s="138">
        <v>24</v>
      </c>
      <c r="E3620" s="138">
        <v>150</v>
      </c>
      <c r="F3620" s="139">
        <v>0.4</v>
      </c>
    </row>
    <row r="3621" spans="1:6" x14ac:dyDescent="0.25">
      <c r="A3621" s="110"/>
      <c r="B3621" s="125" t="s">
        <v>3148</v>
      </c>
      <c r="C3621" s="138">
        <v>0.4</v>
      </c>
      <c r="D3621" s="138">
        <v>24</v>
      </c>
      <c r="E3621" s="138">
        <v>150</v>
      </c>
      <c r="F3621" s="139">
        <v>0.4</v>
      </c>
    </row>
    <row r="3622" spans="1:6" x14ac:dyDescent="0.25">
      <c r="A3622" s="110"/>
      <c r="B3622" s="125" t="s">
        <v>3149</v>
      </c>
      <c r="C3622" s="138">
        <v>0.6</v>
      </c>
      <c r="D3622" s="138">
        <v>36</v>
      </c>
      <c r="E3622" s="138">
        <v>100</v>
      </c>
      <c r="F3622" s="139">
        <v>0.6</v>
      </c>
    </row>
    <row r="3623" spans="1:6" x14ac:dyDescent="0.25">
      <c r="A3623" s="110"/>
      <c r="B3623" s="125" t="s">
        <v>3150</v>
      </c>
      <c r="C3623" s="138">
        <v>0.6</v>
      </c>
      <c r="D3623" s="138">
        <v>36</v>
      </c>
      <c r="E3623" s="138">
        <v>100</v>
      </c>
      <c r="F3623" s="139">
        <v>0.6</v>
      </c>
    </row>
    <row r="3624" spans="1:6" x14ac:dyDescent="0.25">
      <c r="A3624" s="110"/>
      <c r="B3624" s="125" t="s">
        <v>3151</v>
      </c>
      <c r="C3624" s="138">
        <v>0.6</v>
      </c>
      <c r="D3624" s="138">
        <v>36</v>
      </c>
      <c r="E3624" s="138">
        <v>100</v>
      </c>
      <c r="F3624" s="139">
        <v>0.6</v>
      </c>
    </row>
    <row r="3625" spans="1:6" x14ac:dyDescent="0.25">
      <c r="A3625" s="110"/>
      <c r="B3625" s="125" t="s">
        <v>3152</v>
      </c>
      <c r="C3625" s="138">
        <v>0.6</v>
      </c>
      <c r="D3625" s="138">
        <v>36</v>
      </c>
      <c r="E3625" s="138">
        <v>100</v>
      </c>
      <c r="F3625" s="139">
        <v>0.6</v>
      </c>
    </row>
    <row r="3626" spans="1:6" x14ac:dyDescent="0.25">
      <c r="A3626" s="110"/>
      <c r="B3626" s="125" t="s">
        <v>3153</v>
      </c>
      <c r="C3626" s="138">
        <v>0.4</v>
      </c>
      <c r="D3626" s="138">
        <v>24</v>
      </c>
      <c r="E3626" s="138">
        <v>150</v>
      </c>
      <c r="F3626" s="139">
        <v>0.4</v>
      </c>
    </row>
    <row r="3627" spans="1:6" x14ac:dyDescent="0.25">
      <c r="A3627" s="110"/>
      <c r="B3627" s="125" t="s">
        <v>3154</v>
      </c>
      <c r="C3627" s="138">
        <v>0.4</v>
      </c>
      <c r="D3627" s="138">
        <v>24</v>
      </c>
      <c r="E3627" s="138">
        <v>150</v>
      </c>
      <c r="F3627" s="139">
        <v>0.4</v>
      </c>
    </row>
    <row r="3628" spans="1:6" x14ac:dyDescent="0.25">
      <c r="A3628" s="110"/>
      <c r="B3628" s="125" t="s">
        <v>3155</v>
      </c>
      <c r="C3628" s="138">
        <v>0.4</v>
      </c>
      <c r="D3628" s="138">
        <v>24</v>
      </c>
      <c r="E3628" s="138">
        <v>150</v>
      </c>
      <c r="F3628" s="139">
        <v>0.4</v>
      </c>
    </row>
    <row r="3629" spans="1:6" x14ac:dyDescent="0.25">
      <c r="A3629" s="110"/>
      <c r="B3629" s="125" t="s">
        <v>3133</v>
      </c>
      <c r="C3629" s="138">
        <v>0.6</v>
      </c>
      <c r="D3629" s="138">
        <v>36</v>
      </c>
      <c r="E3629" s="138">
        <v>100</v>
      </c>
      <c r="F3629" s="139">
        <v>0.6</v>
      </c>
    </row>
    <row r="3630" spans="1:6" x14ac:dyDescent="0.25">
      <c r="A3630" s="110"/>
      <c r="B3630" s="125" t="s">
        <v>3134</v>
      </c>
      <c r="C3630" s="138">
        <v>0.6</v>
      </c>
      <c r="D3630" s="138">
        <v>36</v>
      </c>
      <c r="E3630" s="138">
        <v>100</v>
      </c>
      <c r="F3630" s="139">
        <v>0.6</v>
      </c>
    </row>
    <row r="3631" spans="1:6" x14ac:dyDescent="0.25">
      <c r="A3631" s="110"/>
      <c r="B3631" s="125" t="s">
        <v>3134</v>
      </c>
      <c r="C3631" s="138">
        <v>0.6</v>
      </c>
      <c r="D3631" s="138">
        <v>36</v>
      </c>
      <c r="E3631" s="138">
        <v>100</v>
      </c>
      <c r="F3631" s="139">
        <v>0.6</v>
      </c>
    </row>
    <row r="3632" spans="1:6" x14ac:dyDescent="0.25">
      <c r="A3632" s="110"/>
      <c r="B3632" s="125" t="s">
        <v>1929</v>
      </c>
      <c r="C3632" s="138">
        <v>0.4</v>
      </c>
      <c r="D3632" s="138">
        <v>24</v>
      </c>
      <c r="E3632" s="138">
        <v>150</v>
      </c>
      <c r="F3632" s="139">
        <v>0.4</v>
      </c>
    </row>
    <row r="3633" spans="1:6" x14ac:dyDescent="0.25">
      <c r="A3633" s="110"/>
      <c r="B3633" s="125" t="s">
        <v>3133</v>
      </c>
      <c r="C3633" s="138">
        <v>0.6</v>
      </c>
      <c r="D3633" s="138">
        <v>36</v>
      </c>
      <c r="E3633" s="138">
        <v>100</v>
      </c>
      <c r="F3633" s="139">
        <v>0.6</v>
      </c>
    </row>
    <row r="3634" spans="1:6" x14ac:dyDescent="0.25">
      <c r="A3634" s="110"/>
      <c r="B3634" s="125" t="s">
        <v>3133</v>
      </c>
      <c r="C3634" s="138">
        <v>0.4</v>
      </c>
      <c r="D3634" s="138">
        <v>24</v>
      </c>
      <c r="E3634" s="138">
        <v>150</v>
      </c>
      <c r="F3634" s="139">
        <v>0.4</v>
      </c>
    </row>
    <row r="3635" spans="1:6" x14ac:dyDescent="0.25">
      <c r="A3635" s="110"/>
      <c r="B3635" s="125" t="s">
        <v>3133</v>
      </c>
      <c r="C3635" s="138">
        <v>2.11</v>
      </c>
      <c r="D3635" s="138">
        <v>126.6</v>
      </c>
      <c r="E3635" s="138">
        <v>28.436018957345972</v>
      </c>
      <c r="F3635" s="139">
        <v>2.11</v>
      </c>
    </row>
    <row r="3636" spans="1:6" x14ac:dyDescent="0.25">
      <c r="A3636" s="110"/>
      <c r="B3636" s="125" t="s">
        <v>3156</v>
      </c>
      <c r="C3636" s="138">
        <v>3.31</v>
      </c>
      <c r="D3636" s="138">
        <v>198.6</v>
      </c>
      <c r="E3636" s="138">
        <v>18.126888217522659</v>
      </c>
      <c r="F3636" s="139">
        <v>3.31</v>
      </c>
    </row>
    <row r="3637" spans="1:6" x14ac:dyDescent="0.25">
      <c r="A3637" s="110"/>
      <c r="B3637" s="125" t="s">
        <v>3157</v>
      </c>
      <c r="C3637" s="138">
        <v>3.31</v>
      </c>
      <c r="D3637" s="138">
        <v>198.6</v>
      </c>
      <c r="E3637" s="138">
        <v>18.126888217522659</v>
      </c>
      <c r="F3637" s="139">
        <v>3.31</v>
      </c>
    </row>
    <row r="3638" spans="1:6" x14ac:dyDescent="0.25">
      <c r="A3638" s="110"/>
      <c r="B3638" s="125" t="s">
        <v>3157</v>
      </c>
      <c r="C3638" s="138">
        <v>3.31</v>
      </c>
      <c r="D3638" s="138">
        <v>198.6</v>
      </c>
      <c r="E3638" s="138">
        <v>18.126888217522659</v>
      </c>
      <c r="F3638" s="139">
        <v>3.31</v>
      </c>
    </row>
    <row r="3639" spans="1:6" x14ac:dyDescent="0.25">
      <c r="A3639" s="110"/>
      <c r="B3639" s="125" t="s">
        <v>3156</v>
      </c>
      <c r="C3639" s="138">
        <v>3.31</v>
      </c>
      <c r="D3639" s="138">
        <v>198.6</v>
      </c>
      <c r="E3639" s="138">
        <v>18.126888217522659</v>
      </c>
      <c r="F3639" s="139">
        <v>3.31</v>
      </c>
    </row>
    <row r="3640" spans="1:6" x14ac:dyDescent="0.25">
      <c r="A3640" s="110"/>
      <c r="B3640" s="125" t="s">
        <v>3157</v>
      </c>
      <c r="C3640" s="138">
        <v>3.31</v>
      </c>
      <c r="D3640" s="138">
        <v>198.6</v>
      </c>
      <c r="E3640" s="138">
        <v>18.126888217522659</v>
      </c>
      <c r="F3640" s="139">
        <v>3.31</v>
      </c>
    </row>
    <row r="3641" spans="1:6" x14ac:dyDescent="0.25">
      <c r="A3641" s="110"/>
      <c r="B3641" s="125" t="s">
        <v>3158</v>
      </c>
      <c r="C3641" s="138">
        <v>3.31</v>
      </c>
      <c r="D3641" s="138">
        <v>198.6</v>
      </c>
      <c r="E3641" s="138">
        <v>18.126888217522659</v>
      </c>
      <c r="F3641" s="139">
        <v>3.31</v>
      </c>
    </row>
    <row r="3642" spans="1:6" x14ac:dyDescent="0.25">
      <c r="A3642" s="110"/>
      <c r="B3642" s="125" t="s">
        <v>3159</v>
      </c>
      <c r="C3642" s="138">
        <v>1.5</v>
      </c>
      <c r="D3642" s="138">
        <v>90</v>
      </c>
      <c r="E3642" s="138">
        <v>40</v>
      </c>
      <c r="F3642" s="139">
        <v>1.5</v>
      </c>
    </row>
    <row r="3643" spans="1:6" x14ac:dyDescent="0.25">
      <c r="A3643" s="110"/>
      <c r="B3643" s="125" t="s">
        <v>3160</v>
      </c>
      <c r="C3643" s="138">
        <v>1.5</v>
      </c>
      <c r="D3643" s="138">
        <v>90</v>
      </c>
      <c r="E3643" s="138">
        <v>40</v>
      </c>
      <c r="F3643" s="139">
        <v>1.5</v>
      </c>
    </row>
    <row r="3644" spans="1:6" x14ac:dyDescent="0.25">
      <c r="A3644" s="110"/>
      <c r="B3644" s="125" t="s">
        <v>3161</v>
      </c>
      <c r="C3644" s="138">
        <v>1.5</v>
      </c>
      <c r="D3644" s="138">
        <v>90</v>
      </c>
      <c r="E3644" s="138">
        <v>40</v>
      </c>
      <c r="F3644" s="139">
        <v>1.5</v>
      </c>
    </row>
    <row r="3645" spans="1:6" x14ac:dyDescent="0.25">
      <c r="A3645" s="110"/>
      <c r="B3645" s="125" t="s">
        <v>3162</v>
      </c>
      <c r="C3645" s="138">
        <v>1.5</v>
      </c>
      <c r="D3645" s="138">
        <v>90</v>
      </c>
      <c r="E3645" s="138">
        <v>40</v>
      </c>
      <c r="F3645" s="139">
        <v>1.5</v>
      </c>
    </row>
    <row r="3646" spans="1:6" x14ac:dyDescent="0.25">
      <c r="A3646" s="110"/>
      <c r="B3646" s="125" t="s">
        <v>3163</v>
      </c>
      <c r="C3646" s="138">
        <v>1.5</v>
      </c>
      <c r="D3646" s="138">
        <v>90</v>
      </c>
      <c r="E3646" s="138">
        <v>40</v>
      </c>
      <c r="F3646" s="139">
        <v>1.5</v>
      </c>
    </row>
    <row r="3647" spans="1:6" x14ac:dyDescent="0.25">
      <c r="A3647" s="110"/>
      <c r="B3647" s="125" t="s">
        <v>3164</v>
      </c>
      <c r="C3647" s="138">
        <v>1.5</v>
      </c>
      <c r="D3647" s="138">
        <v>90</v>
      </c>
      <c r="E3647" s="138">
        <v>40</v>
      </c>
      <c r="F3647" s="139">
        <v>1.5</v>
      </c>
    </row>
    <row r="3648" spans="1:6" x14ac:dyDescent="0.25">
      <c r="A3648" s="110"/>
      <c r="B3648" s="125" t="s">
        <v>3165</v>
      </c>
      <c r="C3648" s="138">
        <v>1.5</v>
      </c>
      <c r="D3648" s="138">
        <v>90</v>
      </c>
      <c r="E3648" s="138">
        <v>40</v>
      </c>
      <c r="F3648" s="139">
        <v>1.5</v>
      </c>
    </row>
    <row r="3649" spans="1:6" x14ac:dyDescent="0.25">
      <c r="A3649" s="110"/>
      <c r="B3649" s="125" t="s">
        <v>3160</v>
      </c>
      <c r="C3649" s="138">
        <v>1.5</v>
      </c>
      <c r="D3649" s="138">
        <v>90</v>
      </c>
      <c r="E3649" s="138">
        <v>40</v>
      </c>
      <c r="F3649" s="139">
        <v>1.5</v>
      </c>
    </row>
    <row r="3650" spans="1:6" x14ac:dyDescent="0.25">
      <c r="A3650" s="110"/>
      <c r="B3650" s="125" t="s">
        <v>3131</v>
      </c>
      <c r="C3650" s="138">
        <v>0.4</v>
      </c>
      <c r="D3650" s="138">
        <v>24</v>
      </c>
      <c r="E3650" s="138">
        <v>150</v>
      </c>
      <c r="F3650" s="139">
        <v>0.4</v>
      </c>
    </row>
    <row r="3651" spans="1:6" x14ac:dyDescent="0.25">
      <c r="A3651" s="110"/>
      <c r="B3651" s="125" t="s">
        <v>3166</v>
      </c>
      <c r="C3651" s="138">
        <v>1.58</v>
      </c>
      <c r="D3651" s="138">
        <v>94.800000000000011</v>
      </c>
      <c r="E3651" s="138">
        <v>37.974683544303794</v>
      </c>
      <c r="F3651" s="139">
        <v>1.58</v>
      </c>
    </row>
    <row r="3652" spans="1:6" x14ac:dyDescent="0.25">
      <c r="A3652" s="110"/>
      <c r="B3652" s="125" t="s">
        <v>3167</v>
      </c>
      <c r="C3652" s="138">
        <v>0.3</v>
      </c>
      <c r="D3652" s="138">
        <v>18</v>
      </c>
      <c r="E3652" s="138">
        <v>200</v>
      </c>
      <c r="F3652" s="139">
        <v>0.3</v>
      </c>
    </row>
    <row r="3653" spans="1:6" x14ac:dyDescent="0.25">
      <c r="A3653" s="110"/>
      <c r="B3653" s="125" t="s">
        <v>3168</v>
      </c>
      <c r="C3653" s="138">
        <v>0.3</v>
      </c>
      <c r="D3653" s="138">
        <v>18</v>
      </c>
      <c r="E3653" s="138">
        <v>200</v>
      </c>
      <c r="F3653" s="139">
        <v>0.3</v>
      </c>
    </row>
    <row r="3654" spans="1:6" x14ac:dyDescent="0.25">
      <c r="A3654" s="110"/>
      <c r="B3654" s="125" t="s">
        <v>3169</v>
      </c>
      <c r="C3654" s="138">
        <v>1.5</v>
      </c>
      <c r="D3654" s="138">
        <v>90</v>
      </c>
      <c r="E3654" s="138">
        <v>40</v>
      </c>
      <c r="F3654" s="139">
        <v>1.5</v>
      </c>
    </row>
    <row r="3655" spans="1:6" x14ac:dyDescent="0.25">
      <c r="A3655" s="110"/>
      <c r="B3655" s="125" t="s">
        <v>3170</v>
      </c>
      <c r="C3655" s="138">
        <v>1.5</v>
      </c>
      <c r="D3655" s="138">
        <v>90</v>
      </c>
      <c r="E3655" s="138">
        <v>40</v>
      </c>
      <c r="F3655" s="139">
        <v>1.5</v>
      </c>
    </row>
    <row r="3656" spans="1:6" x14ac:dyDescent="0.25">
      <c r="A3656" s="110"/>
      <c r="B3656" s="125" t="s">
        <v>3171</v>
      </c>
      <c r="C3656" s="138">
        <v>1.5</v>
      </c>
      <c r="D3656" s="138">
        <v>90</v>
      </c>
      <c r="E3656" s="138">
        <v>40</v>
      </c>
      <c r="F3656" s="139">
        <v>1.5</v>
      </c>
    </row>
    <row r="3657" spans="1:6" x14ac:dyDescent="0.25">
      <c r="A3657" s="110"/>
      <c r="B3657" s="125" t="s">
        <v>2511</v>
      </c>
      <c r="C3657" s="138">
        <v>0.8</v>
      </c>
      <c r="D3657" s="138">
        <v>48</v>
      </c>
      <c r="E3657" s="138">
        <v>75</v>
      </c>
      <c r="F3657" s="139">
        <v>0.8</v>
      </c>
    </row>
    <row r="3658" spans="1:6" x14ac:dyDescent="0.25">
      <c r="A3658" s="110"/>
      <c r="B3658" s="125" t="s">
        <v>3172</v>
      </c>
      <c r="C3658" s="138">
        <v>1.58</v>
      </c>
      <c r="D3658" s="138">
        <v>94.800000000000011</v>
      </c>
      <c r="E3658" s="138">
        <v>37.974683544303794</v>
      </c>
      <c r="F3658" s="139">
        <v>1.58</v>
      </c>
    </row>
    <row r="3659" spans="1:6" x14ac:dyDescent="0.25">
      <c r="A3659" s="110"/>
      <c r="B3659" s="125" t="s">
        <v>3173</v>
      </c>
      <c r="C3659" s="138">
        <v>0</v>
      </c>
      <c r="D3659" s="138">
        <v>0</v>
      </c>
      <c r="E3659" s="138" t="e">
        <v>#DIV/0!</v>
      </c>
      <c r="F3659" s="139">
        <v>0</v>
      </c>
    </row>
    <row r="3660" spans="1:6" x14ac:dyDescent="0.25">
      <c r="A3660" s="110"/>
      <c r="B3660" s="125" t="s">
        <v>3174</v>
      </c>
      <c r="C3660" s="138">
        <v>2.5</v>
      </c>
      <c r="D3660" s="138">
        <v>150</v>
      </c>
      <c r="E3660" s="138">
        <v>24</v>
      </c>
      <c r="F3660" s="139">
        <v>2.5</v>
      </c>
    </row>
    <row r="3661" spans="1:6" x14ac:dyDescent="0.25">
      <c r="A3661" s="110"/>
      <c r="B3661" s="125" t="s">
        <v>3175</v>
      </c>
      <c r="C3661" s="138">
        <v>2.5</v>
      </c>
      <c r="D3661" s="138">
        <v>150</v>
      </c>
      <c r="E3661" s="138">
        <v>24</v>
      </c>
      <c r="F3661" s="139">
        <v>2.5</v>
      </c>
    </row>
    <row r="3662" spans="1:6" x14ac:dyDescent="0.25">
      <c r="A3662" s="110"/>
      <c r="B3662" s="125" t="s">
        <v>3176</v>
      </c>
      <c r="C3662" s="138">
        <v>1.5</v>
      </c>
      <c r="D3662" s="138">
        <v>90</v>
      </c>
      <c r="E3662" s="138">
        <v>40</v>
      </c>
      <c r="F3662" s="139">
        <v>1.5</v>
      </c>
    </row>
    <row r="3663" spans="1:6" x14ac:dyDescent="0.25">
      <c r="A3663" s="110"/>
      <c r="B3663" s="125" t="s">
        <v>3177</v>
      </c>
      <c r="C3663" s="138">
        <v>1.5</v>
      </c>
      <c r="D3663" s="138">
        <v>90</v>
      </c>
      <c r="E3663" s="138">
        <v>40</v>
      </c>
      <c r="F3663" s="139">
        <v>1.5</v>
      </c>
    </row>
    <row r="3664" spans="1:6" x14ac:dyDescent="0.25">
      <c r="A3664" s="110"/>
      <c r="B3664" s="125" t="s">
        <v>3178</v>
      </c>
      <c r="C3664" s="138">
        <v>1</v>
      </c>
      <c r="D3664" s="138">
        <v>60</v>
      </c>
      <c r="E3664" s="138">
        <v>60</v>
      </c>
      <c r="F3664" s="139">
        <v>1</v>
      </c>
    </row>
    <row r="3665" spans="1:6" x14ac:dyDescent="0.25">
      <c r="A3665" s="110"/>
      <c r="B3665" s="125" t="s">
        <v>3179</v>
      </c>
      <c r="C3665" s="138">
        <v>1</v>
      </c>
      <c r="D3665" s="138">
        <v>60</v>
      </c>
      <c r="E3665" s="138">
        <v>60</v>
      </c>
      <c r="F3665" s="139">
        <v>1</v>
      </c>
    </row>
    <row r="3666" spans="1:6" x14ac:dyDescent="0.25">
      <c r="A3666" s="110"/>
      <c r="B3666" s="125" t="s">
        <v>3180</v>
      </c>
      <c r="C3666" s="138">
        <v>0.87</v>
      </c>
      <c r="D3666" s="138">
        <v>52.2</v>
      </c>
      <c r="E3666" s="138">
        <v>68.965517241379303</v>
      </c>
      <c r="F3666" s="139">
        <v>0.87</v>
      </c>
    </row>
    <row r="3667" spans="1:6" x14ac:dyDescent="0.25">
      <c r="A3667" s="110"/>
      <c r="B3667" s="125" t="s">
        <v>3181</v>
      </c>
      <c r="C3667" s="138">
        <v>0.87</v>
      </c>
      <c r="D3667" s="138">
        <v>52.2</v>
      </c>
      <c r="E3667" s="138">
        <v>68.965517241379303</v>
      </c>
      <c r="F3667" s="139">
        <v>0.87</v>
      </c>
    </row>
    <row r="3668" spans="1:6" x14ac:dyDescent="0.25">
      <c r="A3668" s="110"/>
      <c r="B3668" s="125" t="s">
        <v>3182</v>
      </c>
      <c r="C3668" s="138">
        <v>0.33</v>
      </c>
      <c r="D3668" s="138">
        <v>19.8</v>
      </c>
      <c r="E3668" s="138">
        <v>181.81818181818181</v>
      </c>
      <c r="F3668" s="139">
        <v>0.33</v>
      </c>
    </row>
    <row r="3669" spans="1:6" x14ac:dyDescent="0.25">
      <c r="A3669" s="110"/>
      <c r="B3669" s="125" t="s">
        <v>2321</v>
      </c>
      <c r="C3669" s="138">
        <v>1</v>
      </c>
      <c r="D3669" s="138">
        <v>60</v>
      </c>
      <c r="E3669" s="138">
        <v>60</v>
      </c>
      <c r="F3669" s="139">
        <v>1</v>
      </c>
    </row>
    <row r="3670" spans="1:6" x14ac:dyDescent="0.25">
      <c r="A3670" s="110"/>
      <c r="B3670" s="125" t="s">
        <v>2322</v>
      </c>
      <c r="C3670" s="138">
        <v>1</v>
      </c>
      <c r="D3670" s="138">
        <v>60</v>
      </c>
      <c r="E3670" s="138">
        <v>60</v>
      </c>
      <c r="F3670" s="139">
        <v>1</v>
      </c>
    </row>
    <row r="3671" spans="1:6" x14ac:dyDescent="0.25">
      <c r="A3671" s="111"/>
      <c r="B3671" s="125" t="s">
        <v>3201</v>
      </c>
      <c r="C3671" s="138">
        <v>0.2</v>
      </c>
      <c r="D3671" s="138">
        <v>12</v>
      </c>
      <c r="E3671" s="138">
        <v>300</v>
      </c>
      <c r="F3671" s="140">
        <v>0.2</v>
      </c>
    </row>
    <row r="3672" spans="1:6" x14ac:dyDescent="0.25">
      <c r="A3672" s="111"/>
      <c r="B3672" s="125" t="s">
        <v>740</v>
      </c>
      <c r="C3672" s="138">
        <v>0.5</v>
      </c>
      <c r="D3672" s="138">
        <v>30</v>
      </c>
      <c r="E3672" s="138">
        <v>120</v>
      </c>
      <c r="F3672" s="140">
        <v>0.5</v>
      </c>
    </row>
    <row r="3673" spans="1:6" x14ac:dyDescent="0.25">
      <c r="A3673" s="111"/>
      <c r="B3673" s="125" t="s">
        <v>3390</v>
      </c>
      <c r="C3673" s="138">
        <v>0.51</v>
      </c>
      <c r="D3673" s="138">
        <v>30</v>
      </c>
      <c r="E3673" s="138">
        <v>60</v>
      </c>
      <c r="F3673" s="140">
        <v>0.5</v>
      </c>
    </row>
    <row r="3674" spans="1:6" x14ac:dyDescent="0.25">
      <c r="A3674" s="111"/>
      <c r="B3674" s="125" t="s">
        <v>3391</v>
      </c>
      <c r="C3674" s="138">
        <v>0.51</v>
      </c>
      <c r="D3674" s="138">
        <v>30</v>
      </c>
      <c r="E3674" s="138">
        <v>60</v>
      </c>
      <c r="F3674" s="140">
        <v>0.5</v>
      </c>
    </row>
    <row r="3675" spans="1:6" x14ac:dyDescent="0.25">
      <c r="A3675" s="107"/>
      <c r="B3675" s="73" t="s">
        <v>3395</v>
      </c>
      <c r="C3675" s="138">
        <v>0.5</v>
      </c>
      <c r="D3675" s="138">
        <v>35</v>
      </c>
      <c r="E3675" s="138">
        <v>70</v>
      </c>
      <c r="F3675" s="140">
        <v>0.5</v>
      </c>
    </row>
    <row r="3676" spans="1:6" x14ac:dyDescent="0.25">
      <c r="A3676" s="107"/>
      <c r="B3676" s="73" t="s">
        <v>3396</v>
      </c>
      <c r="C3676" s="138">
        <v>0.5</v>
      </c>
      <c r="D3676" s="138">
        <v>35</v>
      </c>
      <c r="E3676" s="138">
        <v>70</v>
      </c>
      <c r="F3676" s="140">
        <v>0.5</v>
      </c>
    </row>
    <row r="3677" spans="1:6" x14ac:dyDescent="0.25">
      <c r="A3677" s="111"/>
      <c r="B3677" s="125" t="s">
        <v>3417</v>
      </c>
      <c r="C3677" s="138">
        <v>0.5</v>
      </c>
      <c r="D3677" s="138">
        <v>35</v>
      </c>
      <c r="E3677" s="138">
        <v>70</v>
      </c>
      <c r="F3677" s="140">
        <v>0.5</v>
      </c>
    </row>
    <row r="3678" spans="1:6" x14ac:dyDescent="0.25">
      <c r="A3678" s="111"/>
      <c r="B3678" s="125"/>
      <c r="C3678" s="138"/>
      <c r="D3678" s="138"/>
      <c r="E3678" s="138"/>
      <c r="F3678" s="140"/>
    </row>
    <row r="3679" spans="1:6" x14ac:dyDescent="0.25">
      <c r="A3679" s="111"/>
      <c r="B3679" s="125"/>
      <c r="C3679" s="138"/>
      <c r="D3679" s="138"/>
      <c r="E3679" s="138"/>
      <c r="F3679" s="140"/>
    </row>
    <row r="3680" spans="1:6" x14ac:dyDescent="0.25">
      <c r="A3680" s="111"/>
      <c r="B3680" s="125"/>
      <c r="C3680" s="138"/>
      <c r="D3680" s="138"/>
      <c r="E3680" s="138"/>
      <c r="F3680" s="140"/>
    </row>
    <row r="3681" spans="1:6" x14ac:dyDescent="0.25">
      <c r="A3681" s="111"/>
      <c r="B3681" s="125"/>
      <c r="C3681" s="138"/>
      <c r="D3681" s="138"/>
      <c r="E3681" s="138"/>
      <c r="F3681" s="140"/>
    </row>
  </sheetData>
  <autoFilter ref="A1:F3672" xr:uid="{00000000-0001-0000-2000-000000000000}"/>
  <phoneticPr fontId="4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 r:id="rId1"/>
  <headerFooter scaleWithDoc="0" alignWithMargins="0">
    <oddFooter>&amp;L&amp;"Arial Tur"&amp;11&amp;K000000&amp;"Tahoma,Regular"
&amp;8&amp;K58A121Sınıflandırma / Classification: &amp;"Tahoma,Bold"Halka Açık / Public&amp;"Microsoft Sans Serif,Regular"&amp;8&amp;K000000
 _x000D_&amp;1#&amp;"Calibri"&amp;10&amp;K008000Sınıflandırma / Classification: Hizmet İçi /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ayfa35"/>
  <dimension ref="A1:H43"/>
  <sheetViews>
    <sheetView workbookViewId="0">
      <selection activeCell="A4" sqref="A4"/>
    </sheetView>
  </sheetViews>
  <sheetFormatPr defaultRowHeight="12.5" x14ac:dyDescent="0.25"/>
  <cols>
    <col min="1" max="1" width="11.26953125" bestFit="1" customWidth="1"/>
    <col min="2" max="2" width="12.1796875" style="69" customWidth="1"/>
    <col min="3" max="3" width="12.54296875" customWidth="1"/>
    <col min="4" max="4" width="15.1796875" customWidth="1"/>
    <col min="5" max="5" width="8.54296875" customWidth="1"/>
    <col min="6" max="6" width="12.81640625" customWidth="1"/>
    <col min="7" max="7" width="10.81640625" customWidth="1"/>
    <col min="8" max="8" width="12.1796875" style="154" customWidth="1"/>
  </cols>
  <sheetData>
    <row r="1" spans="1:8" ht="21" x14ac:dyDescent="0.25">
      <c r="A1" s="155" t="s">
        <v>424</v>
      </c>
      <c r="B1" s="156" t="s">
        <v>381</v>
      </c>
      <c r="C1" s="156" t="s">
        <v>382</v>
      </c>
      <c r="D1" s="156" t="s">
        <v>383</v>
      </c>
      <c r="E1" s="156" t="s">
        <v>384</v>
      </c>
      <c r="F1" s="156" t="s">
        <v>385</v>
      </c>
      <c r="G1" s="156" t="s">
        <v>386</v>
      </c>
      <c r="H1" s="157" t="s">
        <v>554</v>
      </c>
    </row>
    <row r="2" spans="1:8" ht="14.15" customHeight="1" x14ac:dyDescent="0.25">
      <c r="A2" s="29">
        <f>'1'!A1</f>
        <v>46174</v>
      </c>
      <c r="B2" s="68">
        <f>IFERROR('1'!D63,0)</f>
        <v>0</v>
      </c>
      <c r="C2" s="68">
        <f>IFERROR('1'!E63,0)</f>
        <v>8900</v>
      </c>
      <c r="D2" s="68">
        <f>IFERROR('1'!F63,0)</f>
        <v>111</v>
      </c>
      <c r="E2" s="68">
        <f>IFERROR('1'!G63,0)</f>
        <v>12471.91011235955</v>
      </c>
      <c r="F2" s="68">
        <f>IFERROR('1'!H63,0)</f>
        <v>300</v>
      </c>
      <c r="G2" s="158">
        <f>IFERROR('1'!I63,0)</f>
        <v>0</v>
      </c>
      <c r="H2" s="152">
        <f>IFERROR('1'!E46,0)</f>
        <v>1.247191011235955</v>
      </c>
    </row>
    <row r="3" spans="1:8" ht="14.15" customHeight="1" x14ac:dyDescent="0.25">
      <c r="A3" s="29">
        <f>A2+1</f>
        <v>46175</v>
      </c>
      <c r="B3" s="68">
        <f>IFERROR('2'!D63,0)</f>
        <v>0</v>
      </c>
      <c r="C3" s="68">
        <f>IFERROR('2'!E63,0)</f>
        <v>15480</v>
      </c>
      <c r="D3" s="68">
        <f>IFERROR('2'!F63,0)</f>
        <v>111</v>
      </c>
      <c r="E3" s="68">
        <f>IFERROR('2'!G63,0)</f>
        <v>7170.5426356589151</v>
      </c>
      <c r="F3" s="68">
        <f>IFERROR('2'!H63,0)</f>
        <v>180</v>
      </c>
      <c r="G3" s="158">
        <f>IFERROR('2'!I63,0)</f>
        <v>0</v>
      </c>
      <c r="H3" s="152">
        <f>IFERROR('2'!E46,0)</f>
        <v>0.71705426356589141</v>
      </c>
    </row>
    <row r="4" spans="1:8" ht="14.15" customHeight="1" x14ac:dyDescent="0.25">
      <c r="A4" s="29">
        <f t="shared" ref="A4:A32" si="0">A3+1</f>
        <v>46176</v>
      </c>
      <c r="B4" s="68">
        <f>IFERROR('3'!D63,0)</f>
        <v>0</v>
      </c>
      <c r="C4" s="68">
        <f>IFERROR('3'!E63,0)</f>
        <v>31629</v>
      </c>
      <c r="D4" s="68">
        <f>IFERROR('3'!F63,0)</f>
        <v>324</v>
      </c>
      <c r="E4" s="68">
        <f>IFERROR('3'!G63,0)</f>
        <v>10243.763634639097</v>
      </c>
      <c r="F4" s="68">
        <f>IFERROR('3'!H63,0)</f>
        <v>180</v>
      </c>
      <c r="G4" s="158">
        <f>IFERROR('3'!I63,0)</f>
        <v>0</v>
      </c>
      <c r="H4" s="152">
        <f>IFERROR('3'!E46,0)</f>
        <v>1.0243763634639098</v>
      </c>
    </row>
    <row r="5" spans="1:8" ht="14.15" customHeight="1" x14ac:dyDescent="0.25">
      <c r="A5" s="29">
        <f t="shared" si="0"/>
        <v>46177</v>
      </c>
      <c r="B5" s="68">
        <f>IFERROR('4'!D63,0)</f>
        <v>0</v>
      </c>
      <c r="C5" s="68">
        <f>IFERROR('4'!E63,0)</f>
        <v>10196</v>
      </c>
      <c r="D5" s="68">
        <f>IFERROR('4'!F63,0)</f>
        <v>190</v>
      </c>
      <c r="E5" s="68">
        <f>IFERROR('4'!G63,0)</f>
        <v>18634.758728913301</v>
      </c>
      <c r="F5" s="68">
        <f>IFERROR('4'!H63,0)</f>
        <v>180</v>
      </c>
      <c r="G5" s="158">
        <f>IFERROR('4'!I63,0)</f>
        <v>0</v>
      </c>
      <c r="H5" s="152">
        <f>IFERROR('4'!E46,0)</f>
        <v>1.8634758728913299</v>
      </c>
    </row>
    <row r="6" spans="1:8" ht="14.15" customHeight="1" x14ac:dyDescent="0.25">
      <c r="A6" s="29">
        <f t="shared" si="0"/>
        <v>46178</v>
      </c>
      <c r="B6" s="68">
        <f>IFERROR('5'!D63,0)</f>
        <v>0</v>
      </c>
      <c r="C6" s="68">
        <f>IFERROR('5'!E63,0)</f>
        <v>25475</v>
      </c>
      <c r="D6" s="68">
        <f>IFERROR('5'!F63,0)</f>
        <v>96</v>
      </c>
      <c r="E6" s="68">
        <f>IFERROR('5'!G63,0)</f>
        <v>3768.4003925417073</v>
      </c>
      <c r="F6" s="68">
        <f>IFERROR('5'!H63,0)</f>
        <v>0</v>
      </c>
      <c r="G6" s="158">
        <f>IFERROR('5'!I63,0)</f>
        <v>0</v>
      </c>
      <c r="H6" s="152">
        <f>IFERROR('5'!E46,0)</f>
        <v>0.37684003925417076</v>
      </c>
    </row>
    <row r="7" spans="1:8" ht="14.15" customHeight="1" x14ac:dyDescent="0.25">
      <c r="A7" s="29">
        <f t="shared" si="0"/>
        <v>46179</v>
      </c>
      <c r="B7" s="68">
        <f>IFERROR('6'!D63,0)</f>
        <v>0</v>
      </c>
      <c r="C7" s="68">
        <f>IFERROR('6'!E63,0)</f>
        <v>11855</v>
      </c>
      <c r="D7" s="68">
        <f>IFERROR('6'!F63,0)</f>
        <v>120</v>
      </c>
      <c r="E7" s="68">
        <f>IFERROR('6'!G63,0)</f>
        <v>10122.311261071278</v>
      </c>
      <c r="F7" s="68">
        <f>IFERROR('6'!H63,0)</f>
        <v>150</v>
      </c>
      <c r="G7" s="158">
        <f>IFERROR('6'!I63,0)</f>
        <v>0</v>
      </c>
      <c r="H7" s="152">
        <f>IFERROR('6'!E46,0)</f>
        <v>1.0122311261071277</v>
      </c>
    </row>
    <row r="8" spans="1:8" ht="14.15" customHeight="1" x14ac:dyDescent="0.25">
      <c r="A8" s="29">
        <f t="shared" si="0"/>
        <v>46180</v>
      </c>
      <c r="B8" s="68">
        <f>IFERROR('7'!D63,0)</f>
        <v>0</v>
      </c>
      <c r="C8" s="68">
        <f>IFERROR('7'!E63,0)</f>
        <v>20262</v>
      </c>
      <c r="D8" s="68">
        <f>IFERROR('7'!F63,0)</f>
        <v>150</v>
      </c>
      <c r="E8" s="68">
        <f>IFERROR('7'!G63,0)</f>
        <v>7403.0204323363932</v>
      </c>
      <c r="F8" s="68">
        <f>IFERROR('7'!H63,0)</f>
        <v>0</v>
      </c>
      <c r="G8" s="158">
        <f>IFERROR('7'!I63,0)</f>
        <v>0</v>
      </c>
      <c r="H8" s="152">
        <f>IFERROR('7'!E46,0)</f>
        <v>0.74030204323363935</v>
      </c>
    </row>
    <row r="9" spans="1:8" ht="14.15" customHeight="1" x14ac:dyDescent="0.25">
      <c r="A9" s="29">
        <f t="shared" si="0"/>
        <v>46181</v>
      </c>
      <c r="B9" s="68">
        <f>IFERROR('8'!D63,0)</f>
        <v>0</v>
      </c>
      <c r="C9" s="68">
        <f>IFERROR('8'!E63,0)</f>
        <v>12436</v>
      </c>
      <c r="D9" s="68">
        <f>IFERROR('8'!F63,0)</f>
        <v>204</v>
      </c>
      <c r="E9" s="68">
        <f>IFERROR('8'!G63,0)</f>
        <v>16403.988420714057</v>
      </c>
      <c r="F9" s="68">
        <f>IFERROR('8'!H63,0)</f>
        <v>150</v>
      </c>
      <c r="G9" s="158">
        <f>IFERROR('8'!I63,0)</f>
        <v>0</v>
      </c>
      <c r="H9" s="152">
        <f>IFERROR('8'!E46,0)</f>
        <v>1.6403988420714055</v>
      </c>
    </row>
    <row r="10" spans="1:8" ht="14.15" customHeight="1" x14ac:dyDescent="0.25">
      <c r="A10" s="29">
        <f t="shared" si="0"/>
        <v>46182</v>
      </c>
      <c r="B10" s="68">
        <f>IFERROR('9'!D63,0)</f>
        <v>0</v>
      </c>
      <c r="C10" s="68">
        <f>IFERROR('9'!E63,0)</f>
        <v>16027</v>
      </c>
      <c r="D10" s="68">
        <f>IFERROR('9'!F63,0)</f>
        <v>252</v>
      </c>
      <c r="E10" s="68">
        <f>IFERROR('9'!G63,0)</f>
        <v>15723.466650028078</v>
      </c>
      <c r="F10" s="68">
        <f>IFERROR('9'!H63,0)</f>
        <v>150</v>
      </c>
      <c r="G10" s="158">
        <f>IFERROR('9'!I63,0)</f>
        <v>0</v>
      </c>
      <c r="H10" s="152">
        <f>IFERROR('9'!E46,0)</f>
        <v>1.572346665002808</v>
      </c>
    </row>
    <row r="11" spans="1:8" ht="14.15" customHeight="1" x14ac:dyDescent="0.25">
      <c r="A11" s="29">
        <f t="shared" si="0"/>
        <v>46183</v>
      </c>
      <c r="B11" s="68">
        <f>IFERROR('10'!D63,0)</f>
        <v>0</v>
      </c>
      <c r="C11" s="68">
        <f>IFERROR('10'!E63,0)</f>
        <v>29675</v>
      </c>
      <c r="D11" s="68">
        <f>IFERROR('10'!F63,0)</f>
        <v>127</v>
      </c>
      <c r="E11" s="68">
        <f>IFERROR('10'!G63,0)</f>
        <v>4279.6967144060654</v>
      </c>
      <c r="F11" s="68">
        <f>IFERROR('10'!H63,0)</f>
        <v>180</v>
      </c>
      <c r="G11" s="158">
        <f>IFERROR('10'!I63,0)</f>
        <v>0</v>
      </c>
      <c r="H11" s="152">
        <f>IFERROR('10'!E46,0)</f>
        <v>0.4279696714406066</v>
      </c>
    </row>
    <row r="12" spans="1:8" ht="14.15" customHeight="1" x14ac:dyDescent="0.25">
      <c r="A12" s="29">
        <f t="shared" si="0"/>
        <v>46184</v>
      </c>
      <c r="B12" s="68">
        <f>IFERROR('11'!D63,0)</f>
        <v>0</v>
      </c>
      <c r="C12" s="68">
        <f>IFERROR('11'!E63,0)</f>
        <v>8854</v>
      </c>
      <c r="D12" s="68">
        <f>IFERROR('11'!F63,0)</f>
        <v>196</v>
      </c>
      <c r="E12" s="68">
        <f>IFERROR('11'!G63,0)</f>
        <v>22136.887282584143</v>
      </c>
      <c r="F12" s="68">
        <f>IFERROR('11'!H63,0)</f>
        <v>120</v>
      </c>
      <c r="G12" s="158">
        <f>IFERROR('11'!I63,0)</f>
        <v>0</v>
      </c>
      <c r="H12" s="152">
        <f>IFERROR('11'!E46,0)</f>
        <v>2.2136887282584139</v>
      </c>
    </row>
    <row r="13" spans="1:8" ht="14.15" customHeight="1" x14ac:dyDescent="0.25">
      <c r="A13" s="29">
        <f t="shared" si="0"/>
        <v>46185</v>
      </c>
      <c r="B13" s="68">
        <f>IFERROR('12'!D63,0)</f>
        <v>0</v>
      </c>
      <c r="C13" s="68">
        <f>IFERROR('12'!E63,0)</f>
        <v>22840</v>
      </c>
      <c r="D13" s="68">
        <f>IFERROR('12'!F63,0)</f>
        <v>223</v>
      </c>
      <c r="E13" s="68">
        <f>IFERROR('12'!G63,0)</f>
        <v>9763.5726795096325</v>
      </c>
      <c r="F13" s="68">
        <f>IFERROR('12'!H63,0)</f>
        <v>120</v>
      </c>
      <c r="G13" s="158">
        <f>IFERROR('12'!I63,0)</f>
        <v>0</v>
      </c>
      <c r="H13" s="152">
        <f>IFERROR('12'!E46,0)</f>
        <v>0.97635726795096323</v>
      </c>
    </row>
    <row r="14" spans="1:8" ht="14.15" customHeight="1" x14ac:dyDescent="0.25">
      <c r="A14" s="29">
        <f t="shared" si="0"/>
        <v>46186</v>
      </c>
      <c r="B14" s="68">
        <f>IFERROR('13'!D63,0)</f>
        <v>0</v>
      </c>
      <c r="C14" s="68">
        <f>IFERROR('13'!E63,0)</f>
        <v>10462</v>
      </c>
      <c r="D14" s="68">
        <f>IFERROR('13'!F63,0)</f>
        <v>216</v>
      </c>
      <c r="E14" s="68">
        <f>IFERROR('13'!G63,0)</f>
        <v>20646.147964060408</v>
      </c>
      <c r="F14" s="68">
        <f>IFERROR('13'!H63,0)</f>
        <v>300</v>
      </c>
      <c r="G14" s="158">
        <f>IFERROR('13'!I63,0)</f>
        <v>0</v>
      </c>
      <c r="H14" s="152">
        <f>IFERROR('13'!E46,0)</f>
        <v>2.0646147964060408</v>
      </c>
    </row>
    <row r="15" spans="1:8" ht="14.15" customHeight="1" x14ac:dyDescent="0.25">
      <c r="A15" s="29">
        <f t="shared" si="0"/>
        <v>46187</v>
      </c>
      <c r="B15" s="68">
        <f>IFERROR('14'!D63,0)</f>
        <v>0</v>
      </c>
      <c r="C15" s="68">
        <f>IFERROR('14'!E63,0)</f>
        <v>9468</v>
      </c>
      <c r="D15" s="68">
        <f>IFERROR('14'!F63,0)</f>
        <v>102</v>
      </c>
      <c r="E15" s="68">
        <f>IFERROR('14'!G63,0)</f>
        <v>10773.130544993663</v>
      </c>
      <c r="F15" s="68">
        <f>IFERROR('14'!H63,0)</f>
        <v>0</v>
      </c>
      <c r="G15" s="158">
        <f>IFERROR('14'!I63,0)</f>
        <v>0</v>
      </c>
      <c r="H15" s="152">
        <f>IFERROR('14'!E46,0)</f>
        <v>1.0773130544993663</v>
      </c>
    </row>
    <row r="16" spans="1:8" ht="14.15" customHeight="1" x14ac:dyDescent="0.25">
      <c r="A16" s="29">
        <f t="shared" si="0"/>
        <v>46188</v>
      </c>
      <c r="B16" s="68">
        <f>IFERROR('15'!D63,0)</f>
        <v>0</v>
      </c>
      <c r="C16" s="68">
        <f>IFERROR('15'!E63,0)</f>
        <v>14505</v>
      </c>
      <c r="D16" s="68">
        <f>IFERROR('15'!F63,0)</f>
        <v>119</v>
      </c>
      <c r="E16" s="68">
        <f>IFERROR('15'!G63,0)</f>
        <v>8204.0675629093421</v>
      </c>
      <c r="F16" s="68">
        <f>IFERROR('15'!H63,0)</f>
        <v>175</v>
      </c>
      <c r="G16" s="158">
        <f>IFERROR('15'!I63,0)</f>
        <v>0</v>
      </c>
      <c r="H16" s="152">
        <f>IFERROR('15'!E46,0)</f>
        <v>0.82040675629093418</v>
      </c>
    </row>
    <row r="17" spans="1:8" ht="14.15" customHeight="1" x14ac:dyDescent="0.25">
      <c r="A17" s="29">
        <f t="shared" si="0"/>
        <v>46189</v>
      </c>
      <c r="B17" s="68">
        <f>IFERROR('16'!D63,0)</f>
        <v>0</v>
      </c>
      <c r="C17" s="68">
        <f>IFERROR('16'!E63,0)</f>
        <v>11692</v>
      </c>
      <c r="D17" s="68">
        <f>IFERROR('16'!F63,0)</f>
        <v>106</v>
      </c>
      <c r="E17" s="68">
        <f>IFERROR('16'!G63,0)</f>
        <v>9066.028053369826</v>
      </c>
      <c r="F17" s="68">
        <f>IFERROR('16'!H63,0)</f>
        <v>180</v>
      </c>
      <c r="G17" s="158">
        <f>IFERROR('16'!I63,0)</f>
        <v>0</v>
      </c>
      <c r="H17" s="152">
        <f>IFERROR('16'!E46,0)</f>
        <v>0.90660280533698256</v>
      </c>
    </row>
    <row r="18" spans="1:8" ht="14.15" customHeight="1" x14ac:dyDescent="0.25">
      <c r="A18" s="29">
        <f t="shared" si="0"/>
        <v>46190</v>
      </c>
      <c r="B18" s="68">
        <f>IFERROR('17'!D63,0)</f>
        <v>0</v>
      </c>
      <c r="C18" s="68">
        <f>IFERROR('17'!E63,0)</f>
        <v>684</v>
      </c>
      <c r="D18" s="68">
        <f>IFERROR('17'!F63,0)</f>
        <v>20</v>
      </c>
      <c r="E18" s="68">
        <f>IFERROR('17'!G63,0)</f>
        <v>29239.766081871345</v>
      </c>
      <c r="F18" s="68">
        <f>IFERROR('17'!H63,0)</f>
        <v>0</v>
      </c>
      <c r="G18" s="158">
        <f>IFERROR('17'!I63,0)</f>
        <v>0</v>
      </c>
      <c r="H18" s="152">
        <f>IFERROR('17'!E46,0)</f>
        <v>2.9239766081871341</v>
      </c>
    </row>
    <row r="19" spans="1:8" ht="14.15" customHeight="1" x14ac:dyDescent="0.25">
      <c r="A19" s="29">
        <f t="shared" si="0"/>
        <v>46191</v>
      </c>
      <c r="B19" s="68">
        <f>IFERROR('18'!D63,0)</f>
        <v>0</v>
      </c>
      <c r="C19" s="68">
        <f>IFERROR('18'!E63,0)</f>
        <v>12976</v>
      </c>
      <c r="D19" s="68">
        <f>IFERROR('18'!F63,0)</f>
        <v>137</v>
      </c>
      <c r="E19" s="68">
        <f>IFERROR('18'!G63,0)</f>
        <v>10557.953144266337</v>
      </c>
      <c r="F19" s="68">
        <f>IFERROR('18'!H63,0)</f>
        <v>120</v>
      </c>
      <c r="G19" s="158">
        <f>IFERROR('18'!I63,0)</f>
        <v>0</v>
      </c>
      <c r="H19" s="152">
        <f>IFERROR('18'!E46,0)</f>
        <v>1.0557953144266339</v>
      </c>
    </row>
    <row r="20" spans="1:8" ht="14.15" customHeight="1" x14ac:dyDescent="0.25">
      <c r="A20" s="29">
        <f t="shared" si="0"/>
        <v>46192</v>
      </c>
      <c r="B20" s="68">
        <f>IFERROR('19'!D63,0)</f>
        <v>0</v>
      </c>
      <c r="C20" s="68">
        <f>IFERROR('19'!E63,0)</f>
        <v>27714</v>
      </c>
      <c r="D20" s="68">
        <f>IFERROR('19'!F63,0)</f>
        <v>165</v>
      </c>
      <c r="E20" s="68">
        <f>IFERROR('19'!G63,0)</f>
        <v>5953.6696254600565</v>
      </c>
      <c r="F20" s="68">
        <f>IFERROR('19'!H63,0)</f>
        <v>150</v>
      </c>
      <c r="G20" s="158">
        <f>IFERROR('19'!I63,0)</f>
        <v>0</v>
      </c>
      <c r="H20" s="152">
        <f>IFERROR('19'!E46,0)</f>
        <v>0.59536696254600563</v>
      </c>
    </row>
    <row r="21" spans="1:8" ht="14.15" customHeight="1" x14ac:dyDescent="0.25">
      <c r="A21" s="29">
        <f t="shared" si="0"/>
        <v>46193</v>
      </c>
      <c r="B21" s="68">
        <f>IFERROR('20'!D63,0)</f>
        <v>0</v>
      </c>
      <c r="C21" s="68">
        <f>IFERROR('20'!E63,0)</f>
        <v>25335</v>
      </c>
      <c r="D21" s="68">
        <f>IFERROR('20'!F63,0)</f>
        <v>77</v>
      </c>
      <c r="E21" s="68">
        <f>IFERROR('20'!G63,0)</f>
        <v>3039.2737319913163</v>
      </c>
      <c r="F21" s="68">
        <f>IFERROR('20'!H63,0)</f>
        <v>0</v>
      </c>
      <c r="G21" s="158">
        <f>IFERROR('20'!I63,0)</f>
        <v>0</v>
      </c>
      <c r="H21" s="152">
        <f>IFERROR('20'!E46,0)</f>
        <v>0.30392737319913166</v>
      </c>
    </row>
    <row r="22" spans="1:8" ht="14.15" customHeight="1" x14ac:dyDescent="0.25">
      <c r="A22" s="29">
        <f t="shared" si="0"/>
        <v>46194</v>
      </c>
      <c r="B22" s="68">
        <f>IFERROR('21'!D63,0)</f>
        <v>0</v>
      </c>
      <c r="C22" s="68">
        <f>IFERROR('21'!E63,0)</f>
        <v>15517</v>
      </c>
      <c r="D22" s="68">
        <f>IFERROR('21'!F63,0)</f>
        <v>102</v>
      </c>
      <c r="E22" s="68">
        <f>IFERROR('21'!G63,0)</f>
        <v>6573.435586775794</v>
      </c>
      <c r="F22" s="68">
        <f>IFERROR('21'!H63,0)</f>
        <v>0</v>
      </c>
      <c r="G22" s="158">
        <f>IFERROR('21'!I63,0)</f>
        <v>0</v>
      </c>
      <c r="H22" s="152">
        <f>IFERROR('21'!E46,0)</f>
        <v>0.65734355867757943</v>
      </c>
    </row>
    <row r="23" spans="1:8" ht="14.15" customHeight="1" x14ac:dyDescent="0.25">
      <c r="A23" s="29">
        <f t="shared" si="0"/>
        <v>46195</v>
      </c>
      <c r="B23" s="68">
        <f>IFERROR('22'!D63,0)</f>
        <v>0</v>
      </c>
      <c r="C23" s="68">
        <f>IFERROR('22'!E63,0)</f>
        <v>23408</v>
      </c>
      <c r="D23" s="68">
        <f>IFERROR('22'!F63,0)</f>
        <v>135</v>
      </c>
      <c r="E23" s="68">
        <f>IFERROR('22'!G63,0)</f>
        <v>5767.2590567327406</v>
      </c>
      <c r="F23" s="68">
        <f>IFERROR('22'!H63,0)</f>
        <v>110</v>
      </c>
      <c r="G23" s="158">
        <f>IFERROR('22'!I63,0)</f>
        <v>0</v>
      </c>
      <c r="H23" s="152">
        <f>IFERROR('22'!E46,0)</f>
        <v>0.57672590567327409</v>
      </c>
    </row>
    <row r="24" spans="1:8" ht="14.15" customHeight="1" x14ac:dyDescent="0.25">
      <c r="A24" s="29">
        <f t="shared" si="0"/>
        <v>46196</v>
      </c>
      <c r="B24" s="68">
        <f>IFERROR('23'!D63,0)</f>
        <v>0</v>
      </c>
      <c r="C24" s="68">
        <f>IFERROR('23'!E63,0)</f>
        <v>12462</v>
      </c>
      <c r="D24" s="68">
        <f>IFERROR('23'!F63,0)</f>
        <v>156</v>
      </c>
      <c r="E24" s="68">
        <f>IFERROR('23'!G63,0)</f>
        <v>12518.054886856042</v>
      </c>
      <c r="F24" s="68">
        <f>IFERROR('23'!H63,0)</f>
        <v>400</v>
      </c>
      <c r="G24" s="158">
        <f>IFERROR('23'!I63,0)</f>
        <v>0</v>
      </c>
      <c r="H24" s="152">
        <f>IFERROR('23'!E46,0)</f>
        <v>1.2518054886856043</v>
      </c>
    </row>
    <row r="25" spans="1:8" ht="14.15" customHeight="1" x14ac:dyDescent="0.25">
      <c r="A25" s="29">
        <f t="shared" si="0"/>
        <v>46197</v>
      </c>
      <c r="B25" s="68">
        <f>IFERROR('24'!D63,0)</f>
        <v>0</v>
      </c>
      <c r="C25" s="68">
        <f>IFERROR('24'!E63,0)</f>
        <v>9488</v>
      </c>
      <c r="D25" s="68">
        <f>IFERROR('24'!F63,0)</f>
        <v>200</v>
      </c>
      <c r="E25" s="68">
        <f>IFERROR('24'!G63,0)</f>
        <v>21079.258010118043</v>
      </c>
      <c r="F25" s="68">
        <f>IFERROR('24'!H63,0)</f>
        <v>500</v>
      </c>
      <c r="G25" s="158">
        <f>IFERROR('24'!I63,0)</f>
        <v>0</v>
      </c>
      <c r="H25" s="152">
        <f>IFERROR('24'!E46,0)</f>
        <v>2.1079258010118047</v>
      </c>
    </row>
    <row r="26" spans="1:8" ht="14.15" customHeight="1" x14ac:dyDescent="0.25">
      <c r="A26" s="29">
        <f t="shared" si="0"/>
        <v>46198</v>
      </c>
      <c r="B26" s="68">
        <f>IFERROR('25'!D63,0)</f>
        <v>0</v>
      </c>
      <c r="C26" s="68">
        <f>IFERROR('25'!E63,0)</f>
        <v>8146</v>
      </c>
      <c r="D26" s="68">
        <f>IFERROR('25'!F63,0)</f>
        <v>144</v>
      </c>
      <c r="E26" s="68">
        <f>IFERROR('25'!G63,0)</f>
        <v>17677.387674932481</v>
      </c>
      <c r="F26" s="68">
        <f>IFERROR('25'!H63,0)</f>
        <v>400</v>
      </c>
      <c r="G26" s="158">
        <f>IFERROR('25'!I63,0)</f>
        <v>0</v>
      </c>
      <c r="H26" s="152">
        <f>IFERROR('25'!E46,0)</f>
        <v>1.7677387674932481</v>
      </c>
    </row>
    <row r="27" spans="1:8" ht="14.15" customHeight="1" x14ac:dyDescent="0.25">
      <c r="A27" s="29">
        <f t="shared" si="0"/>
        <v>46199</v>
      </c>
      <c r="B27" s="68">
        <f>IFERROR('26'!D63,0)</f>
        <v>0</v>
      </c>
      <c r="C27" s="68">
        <f>IFERROR('26'!E63,0)</f>
        <v>21794</v>
      </c>
      <c r="D27" s="68">
        <f>IFERROR('26'!F63,0)</f>
        <v>346</v>
      </c>
      <c r="E27" s="68">
        <f>IFERROR('26'!G63,0)</f>
        <v>15875.929154813251</v>
      </c>
      <c r="F27" s="68">
        <f>IFERROR('26'!H63,0)</f>
        <v>0</v>
      </c>
      <c r="G27" s="158">
        <f>IFERROR('26'!I63,0)</f>
        <v>0</v>
      </c>
      <c r="H27" s="152">
        <f>IFERROR('26'!E46,0)</f>
        <v>1.5875929154813253</v>
      </c>
    </row>
    <row r="28" spans="1:8" ht="14.15" customHeight="1" x14ac:dyDescent="0.25">
      <c r="A28" s="29">
        <f t="shared" si="0"/>
        <v>46200</v>
      </c>
      <c r="B28" s="68">
        <f>IFERROR('27'!D63,0)</f>
        <v>0</v>
      </c>
      <c r="C28" s="68">
        <f>IFERROR('27'!E63,0)</f>
        <v>0</v>
      </c>
      <c r="D28" s="68">
        <f>IFERROR('27'!F63,0)</f>
        <v>0</v>
      </c>
      <c r="E28" s="68">
        <f>IFERROR('27'!G63,0)</f>
        <v>0</v>
      </c>
      <c r="F28" s="68">
        <f>IFERROR('27'!H63,0)</f>
        <v>0</v>
      </c>
      <c r="G28" s="158">
        <f>IFERROR('27'!I63,0)</f>
        <v>0</v>
      </c>
      <c r="H28" s="152">
        <f>IFERROR('27'!E46,0)</f>
        <v>0</v>
      </c>
    </row>
    <row r="29" spans="1:8" ht="14.15" customHeight="1" x14ac:dyDescent="0.25">
      <c r="A29" s="29">
        <f t="shared" si="0"/>
        <v>46201</v>
      </c>
      <c r="B29" s="68">
        <f>IFERROR('28'!D63,0)</f>
        <v>0</v>
      </c>
      <c r="C29" s="68">
        <f>IFERROR('28'!E63,0)</f>
        <v>0</v>
      </c>
      <c r="D29" s="68">
        <f>IFERROR('28'!F63,0)</f>
        <v>0</v>
      </c>
      <c r="E29" s="68">
        <f>IFERROR('28'!G63,0)</f>
        <v>0</v>
      </c>
      <c r="F29" s="68">
        <f>IFERROR('28'!H63,0)</f>
        <v>0</v>
      </c>
      <c r="G29" s="158">
        <f>IFERROR('28'!I63,0)</f>
        <v>0</v>
      </c>
      <c r="H29" s="152">
        <f>IFERROR('28'!E46,0)</f>
        <v>0</v>
      </c>
    </row>
    <row r="30" spans="1:8" ht="14.15" customHeight="1" x14ac:dyDescent="0.25">
      <c r="A30" s="29">
        <f t="shared" si="0"/>
        <v>46202</v>
      </c>
      <c r="B30" s="68">
        <f>IFERROR('29'!D63,0)</f>
        <v>0</v>
      </c>
      <c r="C30" s="68">
        <f>IFERROR('29'!E63,0)</f>
        <v>18386</v>
      </c>
      <c r="D30" s="68">
        <f>IFERROR('29'!F63,0)</f>
        <v>131</v>
      </c>
      <c r="E30" s="68">
        <f>IFERROR('29'!G63,0)</f>
        <v>7124.9864026977048</v>
      </c>
      <c r="F30" s="68">
        <f>IFERROR('29'!H63,0)</f>
        <v>550</v>
      </c>
      <c r="G30" s="158">
        <f>IFERROR('29'!I63,0)</f>
        <v>0</v>
      </c>
      <c r="H30" s="152">
        <f>IFERROR('29'!E46,0)</f>
        <v>0.7124986402697705</v>
      </c>
    </row>
    <row r="31" spans="1:8" ht="14.15" customHeight="1" x14ac:dyDescent="0.25">
      <c r="A31" s="29">
        <f t="shared" si="0"/>
        <v>46203</v>
      </c>
      <c r="B31" s="68">
        <f>IFERROR('30'!D63,0)</f>
        <v>0</v>
      </c>
      <c r="C31" s="68">
        <f>IFERROR('30'!E63,0)</f>
        <v>13934</v>
      </c>
      <c r="D31" s="68">
        <f>IFERROR('30'!F63,0)</f>
        <v>383</v>
      </c>
      <c r="E31" s="68">
        <f>IFERROR('30'!G63,0)</f>
        <v>27486.723123295535</v>
      </c>
      <c r="F31" s="68">
        <f>IFERROR('30'!H63,0)</f>
        <v>0</v>
      </c>
      <c r="G31" s="158">
        <f>IFERROR('30'!I63,0)</f>
        <v>0</v>
      </c>
      <c r="H31" s="152">
        <f>IFERROR('30'!E46,0)</f>
        <v>2.7486723123295533</v>
      </c>
    </row>
    <row r="32" spans="1:8" ht="14.15" customHeight="1" x14ac:dyDescent="0.25">
      <c r="A32" s="29">
        <f t="shared" si="0"/>
        <v>46204</v>
      </c>
      <c r="B32" s="68">
        <f>IFERROR('31'!D63,0)</f>
        <v>0</v>
      </c>
      <c r="C32" s="68">
        <f>IFERROR('31'!E63,0)</f>
        <v>19032</v>
      </c>
      <c r="D32" s="68">
        <f>IFERROR('31'!F63,0)</f>
        <v>147</v>
      </c>
      <c r="E32" s="68">
        <f>IFERROR('31'!G63,0)</f>
        <v>7723.8335435056742</v>
      </c>
      <c r="F32" s="68">
        <f>IFERROR('31'!H63,0)</f>
        <v>0</v>
      </c>
      <c r="G32" s="158">
        <f>IFERROR('31'!I63,0)</f>
        <v>0</v>
      </c>
      <c r="H32" s="152">
        <f>IFERROR('31'!E46,0)</f>
        <v>0.77238335435056749</v>
      </c>
    </row>
    <row r="33" spans="1:8" ht="13" x14ac:dyDescent="0.25">
      <c r="A33" s="123" t="s">
        <v>3354</v>
      </c>
      <c r="B33" s="124">
        <f>SUM(B2:B32)</f>
        <v>0</v>
      </c>
      <c r="C33" s="124">
        <f t="shared" ref="C33:F33" si="1">SUM(C2:C32)</f>
        <v>468632</v>
      </c>
      <c r="D33" s="124">
        <f t="shared" si="1"/>
        <v>4790</v>
      </c>
      <c r="E33" s="124">
        <f t="shared" si="1"/>
        <v>357429.22309341171</v>
      </c>
      <c r="F33" s="124">
        <f t="shared" si="1"/>
        <v>4595</v>
      </c>
      <c r="G33" s="159" t="e">
        <f>SUM(G2:G32)/(COUNTIF(G2:G32,"&gt;0"))</f>
        <v>#DIV/0!</v>
      </c>
      <c r="H33" s="153">
        <f>AVERAGE(H2:H32)</f>
        <v>1.1529974938497154</v>
      </c>
    </row>
    <row r="34" spans="1:8" x14ac:dyDescent="0.25">
      <c r="H34" s="69"/>
    </row>
    <row r="35" spans="1:8" x14ac:dyDescent="0.25">
      <c r="H35" s="69"/>
    </row>
    <row r="36" spans="1:8" x14ac:dyDescent="0.25">
      <c r="H36" s="69"/>
    </row>
    <row r="37" spans="1:8" x14ac:dyDescent="0.25">
      <c r="H37" s="69"/>
    </row>
    <row r="38" spans="1:8" x14ac:dyDescent="0.25">
      <c r="H38" s="69"/>
    </row>
    <row r="39" spans="1:8" x14ac:dyDescent="0.25">
      <c r="H39" s="69"/>
    </row>
    <row r="40" spans="1:8" x14ac:dyDescent="0.25">
      <c r="H40" s="69"/>
    </row>
    <row r="41" spans="1:8" x14ac:dyDescent="0.25">
      <c r="H41" s="69"/>
    </row>
    <row r="42" spans="1:8" x14ac:dyDescent="0.25">
      <c r="H42" s="69"/>
    </row>
    <row r="43" spans="1:8" x14ac:dyDescent="0.25">
      <c r="H43" s="69"/>
    </row>
  </sheetData>
  <conditionalFormatting sqref="A2:H32">
    <cfRule type="expression" dxfId="155" priority="1">
      <formula>_xlfn.XOR(TEXT($A2,"gggg")="Cumartesi",TEXT($A2,"gggg")="Pazar")</formula>
    </cfRule>
  </conditionalFormatting>
  <printOptions horizontalCentered="1"/>
  <pageMargins left="0" right="0" top="0.39370078740157483" bottom="0" header="0" footer="0"/>
  <pageSetup paperSize="9" scale="115" orientation="portrait" blackAndWhite="1" horizontalDpi="300" r:id="rId1"/>
  <headerFooter scaleWithDoc="0">
    <oddFooter>&amp;L&amp;"Arial Tur"&amp;11&amp;K000000&amp;"Tahoma,Regular"
&amp;8&amp;K58A121Sınıflandırma / Classification: &amp;"Tahoma,Bold"Halka Açık / Public&amp;"Microsoft Sans Serif,Regular"&amp;8&amp;K000000
 _x000D_&amp;1#&amp;"Calibri"&amp;10&amp;K008000Sınıflandırma / Classification: Hizmet İçi /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ayfa34"/>
  <dimension ref="A1:J749"/>
  <sheetViews>
    <sheetView workbookViewId="0"/>
  </sheetViews>
  <sheetFormatPr defaultRowHeight="12.5" x14ac:dyDescent="0.25"/>
  <cols>
    <col min="1" max="1" width="10" bestFit="1" customWidth="1"/>
    <col min="2" max="2" width="38.453125" bestFit="1" customWidth="1"/>
    <col min="3" max="3" width="16.1796875" bestFit="1" customWidth="1"/>
    <col min="4" max="4" width="15.453125" bestFit="1" customWidth="1"/>
    <col min="5" max="5" width="12.54296875" bestFit="1" customWidth="1"/>
    <col min="6" max="6" width="12.453125" bestFit="1" customWidth="1"/>
    <col min="7" max="7" width="10.81640625" bestFit="1" customWidth="1"/>
    <col min="8" max="8" width="10.54296875" bestFit="1" customWidth="1"/>
    <col min="9" max="9" width="10.1796875" bestFit="1" customWidth="1"/>
    <col min="10" max="10" width="12.54296875" bestFit="1" customWidth="1"/>
  </cols>
  <sheetData>
    <row r="1" spans="1:10" x14ac:dyDescent="0.25">
      <c r="A1" t="s">
        <v>609</v>
      </c>
      <c r="B1" t="s">
        <v>782</v>
      </c>
      <c r="C1" t="s">
        <v>779</v>
      </c>
      <c r="D1" t="s">
        <v>780</v>
      </c>
      <c r="E1" t="s">
        <v>781</v>
      </c>
      <c r="F1" t="s">
        <v>783</v>
      </c>
      <c r="G1" t="s">
        <v>784</v>
      </c>
      <c r="H1" t="s">
        <v>785</v>
      </c>
      <c r="I1" t="s">
        <v>786</v>
      </c>
      <c r="J1" t="s">
        <v>787</v>
      </c>
    </row>
    <row r="2" spans="1:10" x14ac:dyDescent="0.25">
      <c r="A2">
        <v>150060283</v>
      </c>
      <c r="B2" t="s">
        <v>624</v>
      </c>
      <c r="C2" s="104">
        <v>44967.398611111108</v>
      </c>
      <c r="D2" s="104">
        <v>44967</v>
      </c>
      <c r="E2" t="s">
        <v>791</v>
      </c>
      <c r="F2" t="s">
        <v>792</v>
      </c>
      <c r="G2" t="s">
        <v>788</v>
      </c>
      <c r="H2">
        <v>20</v>
      </c>
      <c r="I2" t="s">
        <v>789</v>
      </c>
      <c r="J2" t="s">
        <v>790</v>
      </c>
    </row>
    <row r="3" spans="1:10" x14ac:dyDescent="0.25">
      <c r="A3">
        <v>150060283</v>
      </c>
      <c r="B3" t="s">
        <v>624</v>
      </c>
      <c r="C3" s="104">
        <v>44967.398622685185</v>
      </c>
      <c r="D3" s="104">
        <v>44967</v>
      </c>
      <c r="E3" t="s">
        <v>791</v>
      </c>
      <c r="F3" t="s">
        <v>792</v>
      </c>
      <c r="G3" t="s">
        <v>788</v>
      </c>
      <c r="H3">
        <v>20</v>
      </c>
      <c r="I3" t="s">
        <v>789</v>
      </c>
      <c r="J3" t="s">
        <v>790</v>
      </c>
    </row>
    <row r="4" spans="1:10" x14ac:dyDescent="0.25">
      <c r="A4">
        <v>150060283</v>
      </c>
      <c r="B4" t="s">
        <v>624</v>
      </c>
      <c r="C4" s="104">
        <v>44967.398634259262</v>
      </c>
      <c r="D4" s="104">
        <v>44967</v>
      </c>
      <c r="E4" t="s">
        <v>791</v>
      </c>
      <c r="F4" t="s">
        <v>792</v>
      </c>
      <c r="G4" t="s">
        <v>788</v>
      </c>
      <c r="H4">
        <v>20</v>
      </c>
      <c r="I4" t="s">
        <v>789</v>
      </c>
      <c r="J4" t="s">
        <v>790</v>
      </c>
    </row>
    <row r="5" spans="1:10" x14ac:dyDescent="0.25">
      <c r="A5">
        <v>150060283</v>
      </c>
      <c r="B5" t="s">
        <v>624</v>
      </c>
      <c r="C5" s="104">
        <v>44967.398668981485</v>
      </c>
      <c r="D5" s="104">
        <v>44967</v>
      </c>
      <c r="E5" t="s">
        <v>791</v>
      </c>
      <c r="F5" t="s">
        <v>792</v>
      </c>
      <c r="G5" t="s">
        <v>788</v>
      </c>
      <c r="H5">
        <v>15</v>
      </c>
      <c r="I5" t="s">
        <v>789</v>
      </c>
      <c r="J5" t="s">
        <v>790</v>
      </c>
    </row>
    <row r="6" spans="1:10" x14ac:dyDescent="0.25">
      <c r="A6">
        <v>150060283</v>
      </c>
      <c r="B6" t="s">
        <v>624</v>
      </c>
      <c r="C6" s="104">
        <v>44967.416400462964</v>
      </c>
      <c r="D6" s="104">
        <v>44967</v>
      </c>
      <c r="E6" t="s">
        <v>791</v>
      </c>
      <c r="F6" t="s">
        <v>792</v>
      </c>
      <c r="G6" t="s">
        <v>788</v>
      </c>
      <c r="H6">
        <v>20</v>
      </c>
      <c r="I6" t="s">
        <v>789</v>
      </c>
      <c r="J6" t="s">
        <v>790</v>
      </c>
    </row>
    <row r="7" spans="1:10" x14ac:dyDescent="0.25">
      <c r="A7">
        <v>150060283</v>
      </c>
      <c r="B7" t="s">
        <v>624</v>
      </c>
      <c r="C7" s="104">
        <v>44967.447187500002</v>
      </c>
      <c r="D7" s="104">
        <v>44967</v>
      </c>
      <c r="E7" t="s">
        <v>791</v>
      </c>
      <c r="F7" t="s">
        <v>792</v>
      </c>
      <c r="G7" t="s">
        <v>788</v>
      </c>
      <c r="H7">
        <v>20</v>
      </c>
      <c r="I7" t="s">
        <v>789</v>
      </c>
      <c r="J7" t="s">
        <v>790</v>
      </c>
    </row>
    <row r="8" spans="1:10" x14ac:dyDescent="0.25">
      <c r="A8">
        <v>150060283</v>
      </c>
      <c r="B8" t="s">
        <v>624</v>
      </c>
      <c r="C8" s="104">
        <v>44967.447256944448</v>
      </c>
      <c r="D8" s="104">
        <v>44967</v>
      </c>
      <c r="E8" t="s">
        <v>791</v>
      </c>
      <c r="F8" t="s">
        <v>792</v>
      </c>
      <c r="G8" t="s">
        <v>788</v>
      </c>
      <c r="H8">
        <v>20</v>
      </c>
      <c r="I8" t="s">
        <v>789</v>
      </c>
      <c r="J8" t="s">
        <v>790</v>
      </c>
    </row>
    <row r="9" spans="1:10" x14ac:dyDescent="0.25">
      <c r="A9">
        <v>150060283</v>
      </c>
      <c r="B9" t="s">
        <v>624</v>
      </c>
      <c r="C9" s="104">
        <v>44967.447291666664</v>
      </c>
      <c r="D9" s="104">
        <v>44967</v>
      </c>
      <c r="E9" t="s">
        <v>791</v>
      </c>
      <c r="F9" t="s">
        <v>792</v>
      </c>
      <c r="G9" t="s">
        <v>788</v>
      </c>
      <c r="H9">
        <v>20</v>
      </c>
      <c r="I9" t="s">
        <v>789</v>
      </c>
      <c r="J9" t="s">
        <v>790</v>
      </c>
    </row>
    <row r="10" spans="1:10" x14ac:dyDescent="0.25">
      <c r="A10">
        <v>150060283</v>
      </c>
      <c r="B10" t="s">
        <v>624</v>
      </c>
      <c r="C10" s="104">
        <v>44967.471435185187</v>
      </c>
      <c r="D10" s="104">
        <v>44967</v>
      </c>
      <c r="E10" t="s">
        <v>791</v>
      </c>
      <c r="F10" t="s">
        <v>792</v>
      </c>
      <c r="G10" t="s">
        <v>788</v>
      </c>
      <c r="H10">
        <v>20</v>
      </c>
      <c r="I10" t="s">
        <v>789</v>
      </c>
      <c r="J10" t="s">
        <v>790</v>
      </c>
    </row>
    <row r="11" spans="1:10" x14ac:dyDescent="0.25">
      <c r="A11">
        <v>150060283</v>
      </c>
      <c r="B11" t="s">
        <v>624</v>
      </c>
      <c r="C11" s="104">
        <v>44967.471446759257</v>
      </c>
      <c r="D11" s="104">
        <v>44967</v>
      </c>
      <c r="E11" t="s">
        <v>791</v>
      </c>
      <c r="F11" t="s">
        <v>792</v>
      </c>
      <c r="G11" t="s">
        <v>788</v>
      </c>
      <c r="H11">
        <v>20</v>
      </c>
      <c r="I11" t="s">
        <v>789</v>
      </c>
      <c r="J11" t="s">
        <v>790</v>
      </c>
    </row>
    <row r="12" spans="1:10" x14ac:dyDescent="0.25">
      <c r="A12">
        <v>150060283</v>
      </c>
      <c r="B12" t="s">
        <v>624</v>
      </c>
      <c r="C12" s="104">
        <v>44967.48945601852</v>
      </c>
      <c r="D12" s="104">
        <v>44967</v>
      </c>
      <c r="E12" t="s">
        <v>791</v>
      </c>
      <c r="F12" t="s">
        <v>792</v>
      </c>
      <c r="G12" t="s">
        <v>788</v>
      </c>
      <c r="H12">
        <v>20</v>
      </c>
      <c r="I12" t="s">
        <v>789</v>
      </c>
      <c r="J12" t="s">
        <v>790</v>
      </c>
    </row>
    <row r="13" spans="1:10" x14ac:dyDescent="0.25">
      <c r="A13">
        <v>150060283</v>
      </c>
      <c r="B13" t="s">
        <v>624</v>
      </c>
      <c r="C13" s="104">
        <v>44967.495706018519</v>
      </c>
      <c r="D13" s="104">
        <v>44967</v>
      </c>
      <c r="E13" t="s">
        <v>791</v>
      </c>
      <c r="F13" t="s">
        <v>792</v>
      </c>
      <c r="G13" t="s">
        <v>788</v>
      </c>
      <c r="H13">
        <v>20</v>
      </c>
      <c r="I13" t="s">
        <v>789</v>
      </c>
      <c r="J13" t="s">
        <v>790</v>
      </c>
    </row>
    <row r="14" spans="1:10" x14ac:dyDescent="0.25">
      <c r="A14">
        <v>150060283</v>
      </c>
      <c r="B14" t="s">
        <v>624</v>
      </c>
      <c r="C14" s="104">
        <v>44967.513379629629</v>
      </c>
      <c r="D14" s="104">
        <v>44967</v>
      </c>
      <c r="E14" t="s">
        <v>791</v>
      </c>
      <c r="F14" t="s">
        <v>792</v>
      </c>
      <c r="G14" t="s">
        <v>788</v>
      </c>
      <c r="H14">
        <v>20</v>
      </c>
      <c r="I14" t="s">
        <v>789</v>
      </c>
      <c r="J14" t="s">
        <v>790</v>
      </c>
    </row>
    <row r="15" spans="1:10" x14ac:dyDescent="0.25">
      <c r="A15">
        <v>150060283</v>
      </c>
      <c r="B15" t="s">
        <v>624</v>
      </c>
      <c r="C15" s="104">
        <v>44967.519872685189</v>
      </c>
      <c r="D15" s="104">
        <v>44967</v>
      </c>
      <c r="E15" t="s">
        <v>791</v>
      </c>
      <c r="F15" t="s">
        <v>792</v>
      </c>
      <c r="G15" t="s">
        <v>788</v>
      </c>
      <c r="H15">
        <v>20</v>
      </c>
      <c r="I15" t="s">
        <v>789</v>
      </c>
      <c r="J15" t="s">
        <v>790</v>
      </c>
    </row>
    <row r="16" spans="1:10" x14ac:dyDescent="0.25">
      <c r="A16">
        <v>150060283</v>
      </c>
      <c r="B16" t="s">
        <v>624</v>
      </c>
      <c r="C16" s="104">
        <v>44967.641840277778</v>
      </c>
      <c r="D16" s="104">
        <v>44967</v>
      </c>
      <c r="E16" t="s">
        <v>791</v>
      </c>
      <c r="F16" t="s">
        <v>792</v>
      </c>
      <c r="G16" t="s">
        <v>788</v>
      </c>
      <c r="H16">
        <v>20</v>
      </c>
      <c r="I16" t="s">
        <v>789</v>
      </c>
      <c r="J16" t="s">
        <v>790</v>
      </c>
    </row>
    <row r="17" spans="1:10" x14ac:dyDescent="0.25">
      <c r="A17">
        <v>150060283</v>
      </c>
      <c r="B17" t="s">
        <v>624</v>
      </c>
      <c r="C17" s="104">
        <v>44967.641875000001</v>
      </c>
      <c r="D17" s="104">
        <v>44967</v>
      </c>
      <c r="E17" t="s">
        <v>791</v>
      </c>
      <c r="F17" t="s">
        <v>792</v>
      </c>
      <c r="G17" t="s">
        <v>788</v>
      </c>
      <c r="H17">
        <v>20</v>
      </c>
      <c r="I17" t="s">
        <v>789</v>
      </c>
      <c r="J17" t="s">
        <v>790</v>
      </c>
    </row>
    <row r="18" spans="1:10" x14ac:dyDescent="0.25">
      <c r="A18">
        <v>150060283</v>
      </c>
      <c r="B18" t="s">
        <v>624</v>
      </c>
      <c r="C18" s="104">
        <v>44967.65960648148</v>
      </c>
      <c r="D18" s="104">
        <v>44967</v>
      </c>
      <c r="E18" t="s">
        <v>791</v>
      </c>
      <c r="F18" t="s">
        <v>792</v>
      </c>
      <c r="G18" t="s">
        <v>788</v>
      </c>
      <c r="H18">
        <v>20</v>
      </c>
      <c r="I18" t="s">
        <v>789</v>
      </c>
      <c r="J18" t="s">
        <v>790</v>
      </c>
    </row>
    <row r="19" spans="1:10" x14ac:dyDescent="0.25">
      <c r="A19">
        <v>150060283</v>
      </c>
      <c r="B19" t="s">
        <v>624</v>
      </c>
      <c r="C19" s="104">
        <v>44967.679988425924</v>
      </c>
      <c r="D19" s="104">
        <v>44967</v>
      </c>
      <c r="E19" t="s">
        <v>791</v>
      </c>
      <c r="F19" t="s">
        <v>792</v>
      </c>
      <c r="G19" t="s">
        <v>788</v>
      </c>
      <c r="H19">
        <v>20</v>
      </c>
      <c r="I19" t="s">
        <v>789</v>
      </c>
      <c r="J19" t="s">
        <v>790</v>
      </c>
    </row>
    <row r="20" spans="1:10" x14ac:dyDescent="0.25">
      <c r="A20">
        <v>150060283</v>
      </c>
      <c r="B20" t="s">
        <v>624</v>
      </c>
      <c r="C20" s="104">
        <v>44967.700671296298</v>
      </c>
      <c r="D20" s="104">
        <v>44967</v>
      </c>
      <c r="E20" t="s">
        <v>791</v>
      </c>
      <c r="F20" t="s">
        <v>792</v>
      </c>
      <c r="G20" t="s">
        <v>788</v>
      </c>
      <c r="H20">
        <v>20</v>
      </c>
      <c r="I20" t="s">
        <v>789</v>
      </c>
      <c r="J20" t="s">
        <v>790</v>
      </c>
    </row>
    <row r="21" spans="1:10" x14ac:dyDescent="0.25">
      <c r="A21">
        <v>150060283</v>
      </c>
      <c r="B21" t="s">
        <v>624</v>
      </c>
      <c r="C21" s="104">
        <v>44967.700694444444</v>
      </c>
      <c r="D21" s="104">
        <v>44967</v>
      </c>
      <c r="E21" t="s">
        <v>791</v>
      </c>
      <c r="F21" t="s">
        <v>792</v>
      </c>
      <c r="G21" t="s">
        <v>788</v>
      </c>
      <c r="H21">
        <v>20</v>
      </c>
      <c r="I21" t="s">
        <v>789</v>
      </c>
      <c r="J21" t="s">
        <v>790</v>
      </c>
    </row>
    <row r="22" spans="1:10" x14ac:dyDescent="0.25">
      <c r="A22">
        <v>150060283</v>
      </c>
      <c r="B22" t="s">
        <v>624</v>
      </c>
      <c r="C22" s="104">
        <v>44967.70076388889</v>
      </c>
      <c r="D22" s="104">
        <v>44967</v>
      </c>
      <c r="E22" t="s">
        <v>791</v>
      </c>
      <c r="F22" t="s">
        <v>792</v>
      </c>
      <c r="G22" t="s">
        <v>788</v>
      </c>
      <c r="H22">
        <v>20</v>
      </c>
      <c r="I22" t="s">
        <v>789</v>
      </c>
      <c r="J22" t="s">
        <v>790</v>
      </c>
    </row>
    <row r="23" spans="1:10" x14ac:dyDescent="0.25">
      <c r="A23">
        <v>150060283</v>
      </c>
      <c r="B23" t="s">
        <v>624</v>
      </c>
      <c r="C23" s="104">
        <v>44967.721678240741</v>
      </c>
      <c r="D23" s="104">
        <v>44967</v>
      </c>
      <c r="E23" t="s">
        <v>791</v>
      </c>
      <c r="F23" t="s">
        <v>792</v>
      </c>
      <c r="G23" t="s">
        <v>788</v>
      </c>
      <c r="H23">
        <v>20</v>
      </c>
      <c r="I23" t="s">
        <v>789</v>
      </c>
      <c r="J23" t="s">
        <v>790</v>
      </c>
    </row>
    <row r="24" spans="1:10" x14ac:dyDescent="0.25">
      <c r="A24">
        <v>150060283</v>
      </c>
      <c r="B24" t="s">
        <v>624</v>
      </c>
      <c r="C24" s="104">
        <v>44967.724768518521</v>
      </c>
      <c r="D24" s="104">
        <v>44967</v>
      </c>
      <c r="E24" t="s">
        <v>791</v>
      </c>
      <c r="F24" t="s">
        <v>792</v>
      </c>
      <c r="G24" t="s">
        <v>788</v>
      </c>
      <c r="H24">
        <v>20</v>
      </c>
      <c r="I24" t="s">
        <v>789</v>
      </c>
      <c r="J24" t="s">
        <v>790</v>
      </c>
    </row>
    <row r="25" spans="1:10" x14ac:dyDescent="0.25">
      <c r="A25">
        <v>150060283</v>
      </c>
      <c r="B25" t="s">
        <v>624</v>
      </c>
      <c r="C25" s="104">
        <v>44967.735949074071</v>
      </c>
      <c r="D25" s="104">
        <v>44967</v>
      </c>
      <c r="E25" t="s">
        <v>791</v>
      </c>
      <c r="F25" t="s">
        <v>792</v>
      </c>
      <c r="G25" t="s">
        <v>788</v>
      </c>
      <c r="H25">
        <v>20</v>
      </c>
      <c r="I25" t="s">
        <v>789</v>
      </c>
      <c r="J25" t="s">
        <v>790</v>
      </c>
    </row>
    <row r="26" spans="1:10" x14ac:dyDescent="0.25">
      <c r="A26">
        <v>150060283</v>
      </c>
      <c r="B26" t="s">
        <v>624</v>
      </c>
      <c r="C26" s="104">
        <v>44967.985243055555</v>
      </c>
      <c r="D26" s="104">
        <v>44967</v>
      </c>
      <c r="E26" t="s">
        <v>791</v>
      </c>
      <c r="F26" t="s">
        <v>792</v>
      </c>
      <c r="G26" t="s">
        <v>788</v>
      </c>
      <c r="H26">
        <v>6</v>
      </c>
      <c r="I26" t="s">
        <v>789</v>
      </c>
      <c r="J26" t="s">
        <v>790</v>
      </c>
    </row>
    <row r="27" spans="1:10" x14ac:dyDescent="0.25">
      <c r="A27">
        <v>150060283</v>
      </c>
      <c r="B27" t="s">
        <v>624</v>
      </c>
      <c r="C27" s="104">
        <v>44967.985798611109</v>
      </c>
      <c r="D27" s="104">
        <v>44967</v>
      </c>
      <c r="E27" t="s">
        <v>791</v>
      </c>
      <c r="F27" t="s">
        <v>792</v>
      </c>
      <c r="G27" t="s">
        <v>788</v>
      </c>
      <c r="H27">
        <v>20</v>
      </c>
      <c r="I27" t="s">
        <v>789</v>
      </c>
      <c r="J27" t="s">
        <v>790</v>
      </c>
    </row>
    <row r="28" spans="1:10" x14ac:dyDescent="0.25">
      <c r="A28">
        <v>150060283</v>
      </c>
      <c r="B28" t="s">
        <v>624</v>
      </c>
      <c r="C28" s="104">
        <v>44967.985844907409</v>
      </c>
      <c r="D28" s="104">
        <v>44967</v>
      </c>
      <c r="E28" t="s">
        <v>791</v>
      </c>
      <c r="F28" t="s">
        <v>792</v>
      </c>
      <c r="G28" t="s">
        <v>788</v>
      </c>
      <c r="H28">
        <v>20</v>
      </c>
      <c r="I28" t="s">
        <v>789</v>
      </c>
      <c r="J28" t="s">
        <v>790</v>
      </c>
    </row>
    <row r="29" spans="1:10" x14ac:dyDescent="0.25">
      <c r="A29">
        <v>150060283</v>
      </c>
      <c r="B29" t="s">
        <v>624</v>
      </c>
      <c r="C29" s="104">
        <v>44967.985856481479</v>
      </c>
      <c r="D29" s="104">
        <v>44967</v>
      </c>
      <c r="E29" t="s">
        <v>791</v>
      </c>
      <c r="F29" t="s">
        <v>792</v>
      </c>
      <c r="G29" t="s">
        <v>788</v>
      </c>
      <c r="H29">
        <v>20</v>
      </c>
      <c r="I29" t="s">
        <v>789</v>
      </c>
      <c r="J29" t="s">
        <v>790</v>
      </c>
    </row>
    <row r="30" spans="1:10" x14ac:dyDescent="0.25">
      <c r="A30">
        <v>150060283</v>
      </c>
      <c r="B30" t="s">
        <v>624</v>
      </c>
      <c r="C30" s="104">
        <v>44967.985891203702</v>
      </c>
      <c r="D30" s="104">
        <v>44967</v>
      </c>
      <c r="E30" t="s">
        <v>791</v>
      </c>
      <c r="F30" t="s">
        <v>792</v>
      </c>
      <c r="G30" t="s">
        <v>788</v>
      </c>
      <c r="H30">
        <v>20</v>
      </c>
      <c r="I30" t="s">
        <v>789</v>
      </c>
      <c r="J30" t="s">
        <v>790</v>
      </c>
    </row>
    <row r="31" spans="1:10" x14ac:dyDescent="0.25">
      <c r="A31">
        <v>150060283</v>
      </c>
      <c r="B31" t="s">
        <v>624</v>
      </c>
      <c r="C31" s="104">
        <v>44967.985914351855</v>
      </c>
      <c r="D31" s="104">
        <v>44967</v>
      </c>
      <c r="E31" t="s">
        <v>791</v>
      </c>
      <c r="F31" t="s">
        <v>792</v>
      </c>
      <c r="G31" t="s">
        <v>788</v>
      </c>
      <c r="H31">
        <v>20</v>
      </c>
      <c r="I31" t="s">
        <v>789</v>
      </c>
      <c r="J31" t="s">
        <v>790</v>
      </c>
    </row>
    <row r="32" spans="1:10" x14ac:dyDescent="0.25">
      <c r="A32">
        <v>150060283</v>
      </c>
      <c r="B32" t="s">
        <v>624</v>
      </c>
      <c r="C32" s="104">
        <v>44967.985960648148</v>
      </c>
      <c r="D32" s="104">
        <v>44967</v>
      </c>
      <c r="E32" t="s">
        <v>791</v>
      </c>
      <c r="F32" t="s">
        <v>792</v>
      </c>
      <c r="G32" t="s">
        <v>788</v>
      </c>
      <c r="H32">
        <v>20</v>
      </c>
      <c r="I32" t="s">
        <v>789</v>
      </c>
      <c r="J32" t="s">
        <v>790</v>
      </c>
    </row>
    <row r="33" spans="1:10" x14ac:dyDescent="0.25">
      <c r="A33">
        <v>150060283</v>
      </c>
      <c r="B33" t="s">
        <v>624</v>
      </c>
      <c r="C33" s="104">
        <v>44967.986030092594</v>
      </c>
      <c r="D33" s="104">
        <v>44967</v>
      </c>
      <c r="E33" t="s">
        <v>791</v>
      </c>
      <c r="F33" t="s">
        <v>792</v>
      </c>
      <c r="G33" t="s">
        <v>788</v>
      </c>
      <c r="H33">
        <v>20</v>
      </c>
      <c r="I33" t="s">
        <v>789</v>
      </c>
      <c r="J33" t="s">
        <v>790</v>
      </c>
    </row>
    <row r="34" spans="1:10" x14ac:dyDescent="0.25">
      <c r="A34">
        <v>150060283</v>
      </c>
      <c r="B34" t="s">
        <v>624</v>
      </c>
      <c r="C34" s="104">
        <v>44967.986076388886</v>
      </c>
      <c r="D34" s="104">
        <v>44967</v>
      </c>
      <c r="E34" t="s">
        <v>791</v>
      </c>
      <c r="F34" t="s">
        <v>792</v>
      </c>
      <c r="G34" t="s">
        <v>788</v>
      </c>
      <c r="H34">
        <v>20</v>
      </c>
      <c r="I34" t="s">
        <v>789</v>
      </c>
      <c r="J34" t="s">
        <v>790</v>
      </c>
    </row>
    <row r="35" spans="1:10" x14ac:dyDescent="0.25">
      <c r="A35">
        <v>150060283</v>
      </c>
      <c r="B35" t="s">
        <v>624</v>
      </c>
      <c r="C35" s="104">
        <v>44967.986122685186</v>
      </c>
      <c r="D35" s="104">
        <v>44967</v>
      </c>
      <c r="E35" t="s">
        <v>791</v>
      </c>
      <c r="F35" t="s">
        <v>792</v>
      </c>
      <c r="G35" t="s">
        <v>788</v>
      </c>
      <c r="H35">
        <v>20</v>
      </c>
      <c r="I35" t="s">
        <v>789</v>
      </c>
      <c r="J35" t="s">
        <v>790</v>
      </c>
    </row>
    <row r="36" spans="1:10" x14ac:dyDescent="0.25">
      <c r="A36">
        <v>150060283</v>
      </c>
      <c r="B36" t="s">
        <v>624</v>
      </c>
      <c r="C36" s="104">
        <v>44967.986168981479</v>
      </c>
      <c r="D36" s="104">
        <v>44967</v>
      </c>
      <c r="E36" t="s">
        <v>791</v>
      </c>
      <c r="F36" t="s">
        <v>792</v>
      </c>
      <c r="G36" t="s">
        <v>788</v>
      </c>
      <c r="H36">
        <v>20</v>
      </c>
      <c r="I36" t="s">
        <v>789</v>
      </c>
      <c r="J36" t="s">
        <v>790</v>
      </c>
    </row>
    <row r="37" spans="1:10" x14ac:dyDescent="0.25">
      <c r="A37">
        <v>150060283</v>
      </c>
      <c r="B37" t="s">
        <v>624</v>
      </c>
      <c r="C37" s="104">
        <v>44967.986203703702</v>
      </c>
      <c r="D37" s="104">
        <v>44967</v>
      </c>
      <c r="E37" t="s">
        <v>791</v>
      </c>
      <c r="F37" t="s">
        <v>792</v>
      </c>
      <c r="G37" t="s">
        <v>788</v>
      </c>
      <c r="H37">
        <v>20</v>
      </c>
      <c r="I37" t="s">
        <v>789</v>
      </c>
      <c r="J37" t="s">
        <v>790</v>
      </c>
    </row>
    <row r="38" spans="1:10" x14ac:dyDescent="0.25">
      <c r="A38">
        <v>150060283</v>
      </c>
      <c r="B38" t="s">
        <v>624</v>
      </c>
      <c r="C38" s="104">
        <v>44967.988553240742</v>
      </c>
      <c r="D38" s="104">
        <v>44967</v>
      </c>
      <c r="E38" t="s">
        <v>791</v>
      </c>
      <c r="F38" t="s">
        <v>792</v>
      </c>
      <c r="G38" t="s">
        <v>788</v>
      </c>
      <c r="H38">
        <v>20</v>
      </c>
      <c r="I38" t="s">
        <v>789</v>
      </c>
      <c r="J38" t="s">
        <v>790</v>
      </c>
    </row>
    <row r="39" spans="1:10" x14ac:dyDescent="0.25">
      <c r="A39">
        <v>150060283</v>
      </c>
      <c r="B39" t="s">
        <v>624</v>
      </c>
      <c r="C39" s="104">
        <v>44967.988564814812</v>
      </c>
      <c r="D39" s="104">
        <v>44967</v>
      </c>
      <c r="E39" t="s">
        <v>791</v>
      </c>
      <c r="F39" t="s">
        <v>792</v>
      </c>
      <c r="G39" t="s">
        <v>788</v>
      </c>
      <c r="H39">
        <v>20</v>
      </c>
      <c r="I39" t="s">
        <v>789</v>
      </c>
      <c r="J39" t="s">
        <v>790</v>
      </c>
    </row>
    <row r="40" spans="1:10" x14ac:dyDescent="0.25">
      <c r="A40">
        <v>150060283</v>
      </c>
      <c r="B40" t="s">
        <v>624</v>
      </c>
      <c r="C40" s="104">
        <v>44967.988657407404</v>
      </c>
      <c r="D40" s="104">
        <v>44967</v>
      </c>
      <c r="E40" t="s">
        <v>791</v>
      </c>
      <c r="F40" t="s">
        <v>792</v>
      </c>
      <c r="G40" t="s">
        <v>788</v>
      </c>
      <c r="H40">
        <v>20</v>
      </c>
      <c r="I40" t="s">
        <v>789</v>
      </c>
      <c r="J40" t="s">
        <v>790</v>
      </c>
    </row>
    <row r="41" spans="1:10" x14ac:dyDescent="0.25">
      <c r="A41">
        <v>150060283</v>
      </c>
      <c r="B41" t="s">
        <v>624</v>
      </c>
      <c r="C41" s="104">
        <v>44967.988668981481</v>
      </c>
      <c r="D41" s="104">
        <v>44967</v>
      </c>
      <c r="E41" t="s">
        <v>791</v>
      </c>
      <c r="F41" t="s">
        <v>792</v>
      </c>
      <c r="G41" t="s">
        <v>788</v>
      </c>
      <c r="H41">
        <v>20</v>
      </c>
      <c r="I41" t="s">
        <v>789</v>
      </c>
      <c r="J41" t="s">
        <v>790</v>
      </c>
    </row>
    <row r="42" spans="1:10" x14ac:dyDescent="0.25">
      <c r="A42">
        <v>150060283</v>
      </c>
      <c r="B42" t="s">
        <v>624</v>
      </c>
      <c r="C42" s="104">
        <v>44967.988680555558</v>
      </c>
      <c r="D42" s="104">
        <v>44967</v>
      </c>
      <c r="E42" t="s">
        <v>791</v>
      </c>
      <c r="F42" t="s">
        <v>792</v>
      </c>
      <c r="G42" t="s">
        <v>788</v>
      </c>
      <c r="H42">
        <v>20</v>
      </c>
      <c r="I42" t="s">
        <v>789</v>
      </c>
      <c r="J42" t="s">
        <v>790</v>
      </c>
    </row>
    <row r="43" spans="1:10" x14ac:dyDescent="0.25">
      <c r="A43">
        <v>150060283</v>
      </c>
      <c r="B43" t="s">
        <v>624</v>
      </c>
      <c r="C43" s="104">
        <v>44967.988703703704</v>
      </c>
      <c r="D43" s="104">
        <v>44967</v>
      </c>
      <c r="E43" t="s">
        <v>791</v>
      </c>
      <c r="F43" t="s">
        <v>792</v>
      </c>
      <c r="G43" t="s">
        <v>788</v>
      </c>
      <c r="H43">
        <v>20</v>
      </c>
      <c r="I43" t="s">
        <v>789</v>
      </c>
      <c r="J43" t="s">
        <v>790</v>
      </c>
    </row>
    <row r="44" spans="1:10" x14ac:dyDescent="0.25">
      <c r="A44">
        <v>150060283</v>
      </c>
      <c r="B44" t="s">
        <v>624</v>
      </c>
      <c r="C44" s="104">
        <v>44967.988715277781</v>
      </c>
      <c r="D44" s="104">
        <v>44967</v>
      </c>
      <c r="E44" t="s">
        <v>791</v>
      </c>
      <c r="F44" t="s">
        <v>792</v>
      </c>
      <c r="G44" t="s">
        <v>788</v>
      </c>
      <c r="H44">
        <v>20</v>
      </c>
      <c r="I44" t="s">
        <v>789</v>
      </c>
      <c r="J44" t="s">
        <v>790</v>
      </c>
    </row>
    <row r="45" spans="1:10" x14ac:dyDescent="0.25">
      <c r="A45">
        <v>150060283</v>
      </c>
      <c r="B45" t="s">
        <v>624</v>
      </c>
      <c r="C45" s="104">
        <v>44967.988726851851</v>
      </c>
      <c r="D45" s="104">
        <v>44967</v>
      </c>
      <c r="E45" t="s">
        <v>791</v>
      </c>
      <c r="F45" t="s">
        <v>792</v>
      </c>
      <c r="G45" t="s">
        <v>788</v>
      </c>
      <c r="H45">
        <v>20</v>
      </c>
      <c r="I45" t="s">
        <v>789</v>
      </c>
      <c r="J45" t="s">
        <v>790</v>
      </c>
    </row>
    <row r="46" spans="1:10" x14ac:dyDescent="0.25">
      <c r="A46">
        <v>150060283</v>
      </c>
      <c r="B46" t="s">
        <v>624</v>
      </c>
      <c r="C46" s="104">
        <v>44967.988738425927</v>
      </c>
      <c r="D46" s="104">
        <v>44967</v>
      </c>
      <c r="E46" t="s">
        <v>791</v>
      </c>
      <c r="F46" t="s">
        <v>792</v>
      </c>
      <c r="G46" t="s">
        <v>788</v>
      </c>
      <c r="H46">
        <v>20</v>
      </c>
      <c r="I46" t="s">
        <v>789</v>
      </c>
      <c r="J46" t="s">
        <v>790</v>
      </c>
    </row>
    <row r="47" spans="1:10" x14ac:dyDescent="0.25">
      <c r="A47">
        <v>150060284</v>
      </c>
      <c r="B47" t="s">
        <v>625</v>
      </c>
      <c r="C47" s="104">
        <v>44967.398576388892</v>
      </c>
      <c r="D47" s="104">
        <v>44967</v>
      </c>
      <c r="E47" t="s">
        <v>791</v>
      </c>
      <c r="F47" t="s">
        <v>792</v>
      </c>
      <c r="G47" t="s">
        <v>788</v>
      </c>
      <c r="H47">
        <v>20</v>
      </c>
      <c r="I47" t="s">
        <v>789</v>
      </c>
      <c r="J47" t="s">
        <v>790</v>
      </c>
    </row>
    <row r="48" spans="1:10" x14ac:dyDescent="0.25">
      <c r="A48">
        <v>150060284</v>
      </c>
      <c r="B48" t="s">
        <v>625</v>
      </c>
      <c r="C48" s="104">
        <v>44967.398587962962</v>
      </c>
      <c r="D48" s="104">
        <v>44967</v>
      </c>
      <c r="E48" t="s">
        <v>791</v>
      </c>
      <c r="F48" t="s">
        <v>792</v>
      </c>
      <c r="G48" t="s">
        <v>788</v>
      </c>
      <c r="H48">
        <v>20</v>
      </c>
      <c r="I48" t="s">
        <v>789</v>
      </c>
      <c r="J48" t="s">
        <v>790</v>
      </c>
    </row>
    <row r="49" spans="1:10" x14ac:dyDescent="0.25">
      <c r="A49">
        <v>150060284</v>
      </c>
      <c r="B49" t="s">
        <v>625</v>
      </c>
      <c r="C49" s="104">
        <v>44967.398645833331</v>
      </c>
      <c r="D49" s="104">
        <v>44967</v>
      </c>
      <c r="E49" t="s">
        <v>791</v>
      </c>
      <c r="F49" t="s">
        <v>792</v>
      </c>
      <c r="G49" t="s">
        <v>788</v>
      </c>
      <c r="H49">
        <v>15</v>
      </c>
      <c r="I49" t="s">
        <v>789</v>
      </c>
      <c r="J49" t="s">
        <v>790</v>
      </c>
    </row>
    <row r="50" spans="1:10" x14ac:dyDescent="0.25">
      <c r="A50">
        <v>150060284</v>
      </c>
      <c r="B50" t="s">
        <v>625</v>
      </c>
      <c r="C50" s="104">
        <v>44967.398657407408</v>
      </c>
      <c r="D50" s="104">
        <v>44967</v>
      </c>
      <c r="E50" t="s">
        <v>791</v>
      </c>
      <c r="F50" t="s">
        <v>792</v>
      </c>
      <c r="G50" t="s">
        <v>788</v>
      </c>
      <c r="H50">
        <v>20</v>
      </c>
      <c r="I50" t="s">
        <v>789</v>
      </c>
      <c r="J50" t="s">
        <v>790</v>
      </c>
    </row>
    <row r="51" spans="1:10" x14ac:dyDescent="0.25">
      <c r="A51">
        <v>150060284</v>
      </c>
      <c r="B51" t="s">
        <v>625</v>
      </c>
      <c r="C51" s="104">
        <v>44967.416412037041</v>
      </c>
      <c r="D51" s="104">
        <v>44967</v>
      </c>
      <c r="E51" t="s">
        <v>791</v>
      </c>
      <c r="F51" t="s">
        <v>792</v>
      </c>
      <c r="G51" t="s">
        <v>788</v>
      </c>
      <c r="H51">
        <v>20</v>
      </c>
      <c r="I51" t="s">
        <v>789</v>
      </c>
      <c r="J51" t="s">
        <v>790</v>
      </c>
    </row>
    <row r="52" spans="1:10" x14ac:dyDescent="0.25">
      <c r="A52">
        <v>150060284</v>
      </c>
      <c r="B52" t="s">
        <v>625</v>
      </c>
      <c r="C52" s="104">
        <v>44967.447199074071</v>
      </c>
      <c r="D52" s="104">
        <v>44967</v>
      </c>
      <c r="E52" t="s">
        <v>791</v>
      </c>
      <c r="F52" t="s">
        <v>792</v>
      </c>
      <c r="G52" t="s">
        <v>788</v>
      </c>
      <c r="H52">
        <v>20</v>
      </c>
      <c r="I52" t="s">
        <v>789</v>
      </c>
      <c r="J52" t="s">
        <v>790</v>
      </c>
    </row>
    <row r="53" spans="1:10" x14ac:dyDescent="0.25">
      <c r="A53">
        <v>150060284</v>
      </c>
      <c r="B53" t="s">
        <v>625</v>
      </c>
      <c r="C53" s="104">
        <v>44967.447210648148</v>
      </c>
      <c r="D53" s="104">
        <v>44967</v>
      </c>
      <c r="E53" t="s">
        <v>791</v>
      </c>
      <c r="F53" t="s">
        <v>792</v>
      </c>
      <c r="G53" t="s">
        <v>788</v>
      </c>
      <c r="H53">
        <v>20</v>
      </c>
      <c r="I53" t="s">
        <v>789</v>
      </c>
      <c r="J53" t="s">
        <v>790</v>
      </c>
    </row>
    <row r="54" spans="1:10" x14ac:dyDescent="0.25">
      <c r="A54">
        <v>150060284</v>
      </c>
      <c r="B54" t="s">
        <v>625</v>
      </c>
      <c r="C54" s="104">
        <v>44967.447326388887</v>
      </c>
      <c r="D54" s="104">
        <v>44967</v>
      </c>
      <c r="E54" t="s">
        <v>791</v>
      </c>
      <c r="F54" t="s">
        <v>792</v>
      </c>
      <c r="G54" t="s">
        <v>788</v>
      </c>
      <c r="H54">
        <v>20</v>
      </c>
      <c r="I54" t="s">
        <v>789</v>
      </c>
      <c r="J54" t="s">
        <v>790</v>
      </c>
    </row>
    <row r="55" spans="1:10" x14ac:dyDescent="0.25">
      <c r="A55">
        <v>150060284</v>
      </c>
      <c r="B55" t="s">
        <v>625</v>
      </c>
      <c r="C55" s="104">
        <v>44967.47148148148</v>
      </c>
      <c r="D55" s="104">
        <v>44967</v>
      </c>
      <c r="E55" t="s">
        <v>791</v>
      </c>
      <c r="F55" t="s">
        <v>792</v>
      </c>
      <c r="G55" t="s">
        <v>788</v>
      </c>
      <c r="H55">
        <v>20</v>
      </c>
      <c r="I55" t="s">
        <v>789</v>
      </c>
      <c r="J55" t="s">
        <v>790</v>
      </c>
    </row>
    <row r="56" spans="1:10" x14ac:dyDescent="0.25">
      <c r="A56">
        <v>150060284</v>
      </c>
      <c r="B56" t="s">
        <v>625</v>
      </c>
      <c r="C56" s="104">
        <v>44967.471504629626</v>
      </c>
      <c r="D56" s="104">
        <v>44967</v>
      </c>
      <c r="E56" t="s">
        <v>791</v>
      </c>
      <c r="F56" t="s">
        <v>792</v>
      </c>
      <c r="G56" t="s">
        <v>788</v>
      </c>
      <c r="H56">
        <v>20</v>
      </c>
      <c r="I56" t="s">
        <v>789</v>
      </c>
      <c r="J56" t="s">
        <v>790</v>
      </c>
    </row>
    <row r="57" spans="1:10" x14ac:dyDescent="0.25">
      <c r="A57">
        <v>150060284</v>
      </c>
      <c r="B57" t="s">
        <v>625</v>
      </c>
      <c r="C57" s="104">
        <v>44967.48946759259</v>
      </c>
      <c r="D57" s="104">
        <v>44967</v>
      </c>
      <c r="E57" t="s">
        <v>791</v>
      </c>
      <c r="F57" t="s">
        <v>792</v>
      </c>
      <c r="G57" t="s">
        <v>788</v>
      </c>
      <c r="H57">
        <v>20</v>
      </c>
      <c r="I57" t="s">
        <v>789</v>
      </c>
      <c r="J57" t="s">
        <v>790</v>
      </c>
    </row>
    <row r="58" spans="1:10" x14ac:dyDescent="0.25">
      <c r="A58">
        <v>150060284</v>
      </c>
      <c r="B58" t="s">
        <v>625</v>
      </c>
      <c r="C58" s="104">
        <v>44967.495729166665</v>
      </c>
      <c r="D58" s="104">
        <v>44967</v>
      </c>
      <c r="E58" t="s">
        <v>791</v>
      </c>
      <c r="F58" t="s">
        <v>792</v>
      </c>
      <c r="G58" t="s">
        <v>788</v>
      </c>
      <c r="H58">
        <v>20</v>
      </c>
      <c r="I58" t="s">
        <v>789</v>
      </c>
      <c r="J58" t="s">
        <v>790</v>
      </c>
    </row>
    <row r="59" spans="1:10" x14ac:dyDescent="0.25">
      <c r="A59">
        <v>150060284</v>
      </c>
      <c r="B59" t="s">
        <v>625</v>
      </c>
      <c r="C59" s="104">
        <v>44967.513402777775</v>
      </c>
      <c r="D59" s="104">
        <v>44967</v>
      </c>
      <c r="E59" t="s">
        <v>791</v>
      </c>
      <c r="F59" t="s">
        <v>792</v>
      </c>
      <c r="G59" t="s">
        <v>788</v>
      </c>
      <c r="H59">
        <v>20</v>
      </c>
      <c r="I59" t="s">
        <v>789</v>
      </c>
      <c r="J59" t="s">
        <v>790</v>
      </c>
    </row>
    <row r="60" spans="1:10" x14ac:dyDescent="0.25">
      <c r="A60">
        <v>150060284</v>
      </c>
      <c r="B60" t="s">
        <v>625</v>
      </c>
      <c r="C60" s="104">
        <v>44967.519884259258</v>
      </c>
      <c r="D60" s="104">
        <v>44967</v>
      </c>
      <c r="E60" t="s">
        <v>791</v>
      </c>
      <c r="F60" t="s">
        <v>792</v>
      </c>
      <c r="G60" t="s">
        <v>788</v>
      </c>
      <c r="H60">
        <v>20</v>
      </c>
      <c r="I60" t="s">
        <v>789</v>
      </c>
      <c r="J60" t="s">
        <v>790</v>
      </c>
    </row>
    <row r="61" spans="1:10" x14ac:dyDescent="0.25">
      <c r="A61">
        <v>150060284</v>
      </c>
      <c r="B61" t="s">
        <v>625</v>
      </c>
      <c r="C61" s="104">
        <v>44967.641898148147</v>
      </c>
      <c r="D61" s="104">
        <v>44967</v>
      </c>
      <c r="E61" t="s">
        <v>791</v>
      </c>
      <c r="F61" t="s">
        <v>792</v>
      </c>
      <c r="G61" t="s">
        <v>788</v>
      </c>
      <c r="H61">
        <v>20</v>
      </c>
      <c r="I61" t="s">
        <v>789</v>
      </c>
      <c r="J61" t="s">
        <v>790</v>
      </c>
    </row>
    <row r="62" spans="1:10" x14ac:dyDescent="0.25">
      <c r="A62">
        <v>150060284</v>
      </c>
      <c r="B62" t="s">
        <v>625</v>
      </c>
      <c r="C62" s="104">
        <v>44967.641909722224</v>
      </c>
      <c r="D62" s="104">
        <v>44967</v>
      </c>
      <c r="E62" t="s">
        <v>791</v>
      </c>
      <c r="F62" t="s">
        <v>792</v>
      </c>
      <c r="G62" t="s">
        <v>788</v>
      </c>
      <c r="H62">
        <v>20</v>
      </c>
      <c r="I62" t="s">
        <v>789</v>
      </c>
      <c r="J62" t="s">
        <v>790</v>
      </c>
    </row>
    <row r="63" spans="1:10" x14ac:dyDescent="0.25">
      <c r="A63">
        <v>150060284</v>
      </c>
      <c r="B63" t="s">
        <v>625</v>
      </c>
      <c r="C63" s="104">
        <v>44967.659618055557</v>
      </c>
      <c r="D63" s="104">
        <v>44967</v>
      </c>
      <c r="E63" t="s">
        <v>791</v>
      </c>
      <c r="F63" t="s">
        <v>792</v>
      </c>
      <c r="G63" t="s">
        <v>788</v>
      </c>
      <c r="H63">
        <v>20</v>
      </c>
      <c r="I63" t="s">
        <v>789</v>
      </c>
      <c r="J63" t="s">
        <v>790</v>
      </c>
    </row>
    <row r="64" spans="1:10" x14ac:dyDescent="0.25">
      <c r="A64">
        <v>150060284</v>
      </c>
      <c r="B64" t="s">
        <v>625</v>
      </c>
      <c r="C64" s="104">
        <v>44967.680023148147</v>
      </c>
      <c r="D64" s="104">
        <v>44967</v>
      </c>
      <c r="E64" t="s">
        <v>791</v>
      </c>
      <c r="F64" t="s">
        <v>792</v>
      </c>
      <c r="G64" t="s">
        <v>788</v>
      </c>
      <c r="H64">
        <v>20</v>
      </c>
      <c r="I64" t="s">
        <v>789</v>
      </c>
      <c r="J64" t="s">
        <v>790</v>
      </c>
    </row>
    <row r="65" spans="1:10" x14ac:dyDescent="0.25">
      <c r="A65">
        <v>150060284</v>
      </c>
      <c r="B65" t="s">
        <v>625</v>
      </c>
      <c r="C65" s="104">
        <v>44967.70071759259</v>
      </c>
      <c r="D65" s="104">
        <v>44967</v>
      </c>
      <c r="E65" t="s">
        <v>791</v>
      </c>
      <c r="F65" t="s">
        <v>792</v>
      </c>
      <c r="G65" t="s">
        <v>788</v>
      </c>
      <c r="H65">
        <v>20</v>
      </c>
      <c r="I65" t="s">
        <v>789</v>
      </c>
      <c r="J65" t="s">
        <v>790</v>
      </c>
    </row>
    <row r="66" spans="1:10" x14ac:dyDescent="0.25">
      <c r="A66">
        <v>150060284</v>
      </c>
      <c r="B66" t="s">
        <v>625</v>
      </c>
      <c r="C66" s="104">
        <v>44967.700729166667</v>
      </c>
      <c r="D66" s="104">
        <v>44967</v>
      </c>
      <c r="E66" t="s">
        <v>791</v>
      </c>
      <c r="F66" t="s">
        <v>792</v>
      </c>
      <c r="G66" t="s">
        <v>788</v>
      </c>
      <c r="H66">
        <v>20</v>
      </c>
      <c r="I66" t="s">
        <v>789</v>
      </c>
      <c r="J66" t="s">
        <v>790</v>
      </c>
    </row>
    <row r="67" spans="1:10" x14ac:dyDescent="0.25">
      <c r="A67">
        <v>150060284</v>
      </c>
      <c r="B67" t="s">
        <v>625</v>
      </c>
      <c r="C67" s="104">
        <v>44967.700752314813</v>
      </c>
      <c r="D67" s="104">
        <v>44967</v>
      </c>
      <c r="E67" t="s">
        <v>791</v>
      </c>
      <c r="F67" t="s">
        <v>792</v>
      </c>
      <c r="G67" t="s">
        <v>788</v>
      </c>
      <c r="H67">
        <v>20</v>
      </c>
      <c r="I67" t="s">
        <v>789</v>
      </c>
      <c r="J67" t="s">
        <v>790</v>
      </c>
    </row>
    <row r="68" spans="1:10" x14ac:dyDescent="0.25">
      <c r="A68">
        <v>150060284</v>
      </c>
      <c r="B68" t="s">
        <v>625</v>
      </c>
      <c r="C68" s="104">
        <v>44967.721701388888</v>
      </c>
      <c r="D68" s="104">
        <v>44967</v>
      </c>
      <c r="E68" t="s">
        <v>791</v>
      </c>
      <c r="F68" t="s">
        <v>792</v>
      </c>
      <c r="G68" t="s">
        <v>788</v>
      </c>
      <c r="H68">
        <v>20</v>
      </c>
      <c r="I68" t="s">
        <v>789</v>
      </c>
      <c r="J68" t="s">
        <v>790</v>
      </c>
    </row>
    <row r="69" spans="1:10" x14ac:dyDescent="0.25">
      <c r="A69">
        <v>150060284</v>
      </c>
      <c r="B69" t="s">
        <v>625</v>
      </c>
      <c r="C69" s="104">
        <v>44967.724780092591</v>
      </c>
      <c r="D69" s="104">
        <v>44967</v>
      </c>
      <c r="E69" t="s">
        <v>791</v>
      </c>
      <c r="F69" t="s">
        <v>792</v>
      </c>
      <c r="G69" t="s">
        <v>788</v>
      </c>
      <c r="H69">
        <v>20</v>
      </c>
      <c r="I69" t="s">
        <v>789</v>
      </c>
      <c r="J69" t="s">
        <v>790</v>
      </c>
    </row>
    <row r="70" spans="1:10" x14ac:dyDescent="0.25">
      <c r="A70">
        <v>150060284</v>
      </c>
      <c r="B70" t="s">
        <v>625</v>
      </c>
      <c r="C70" s="104">
        <v>44967.735960648148</v>
      </c>
      <c r="D70" s="104">
        <v>44967</v>
      </c>
      <c r="E70" t="s">
        <v>791</v>
      </c>
      <c r="F70" t="s">
        <v>792</v>
      </c>
      <c r="G70" t="s">
        <v>788</v>
      </c>
      <c r="H70">
        <v>20</v>
      </c>
      <c r="I70" t="s">
        <v>789</v>
      </c>
      <c r="J70" t="s">
        <v>790</v>
      </c>
    </row>
    <row r="71" spans="1:10" x14ac:dyDescent="0.25">
      <c r="A71">
        <v>150060284</v>
      </c>
      <c r="B71" t="s">
        <v>625</v>
      </c>
      <c r="C71" s="104">
        <v>44967.985289351855</v>
      </c>
      <c r="D71" s="104">
        <v>44967</v>
      </c>
      <c r="E71" t="s">
        <v>791</v>
      </c>
      <c r="F71" t="s">
        <v>792</v>
      </c>
      <c r="G71" t="s">
        <v>788</v>
      </c>
      <c r="H71">
        <v>6</v>
      </c>
      <c r="I71" t="s">
        <v>789</v>
      </c>
      <c r="J71" t="s">
        <v>790</v>
      </c>
    </row>
    <row r="72" spans="1:10" x14ac:dyDescent="0.25">
      <c r="A72">
        <v>150060284</v>
      </c>
      <c r="B72" t="s">
        <v>625</v>
      </c>
      <c r="C72" s="104">
        <v>44967.985335648147</v>
      </c>
      <c r="D72" s="104">
        <v>44967</v>
      </c>
      <c r="E72" t="s">
        <v>791</v>
      </c>
      <c r="F72" t="s">
        <v>792</v>
      </c>
      <c r="G72" t="s">
        <v>788</v>
      </c>
      <c r="H72">
        <v>20</v>
      </c>
      <c r="I72" t="s">
        <v>789</v>
      </c>
      <c r="J72" t="s">
        <v>790</v>
      </c>
    </row>
    <row r="73" spans="1:10" x14ac:dyDescent="0.25">
      <c r="A73">
        <v>150060284</v>
      </c>
      <c r="B73" t="s">
        <v>625</v>
      </c>
      <c r="C73" s="104">
        <v>44967.985381944447</v>
      </c>
      <c r="D73" s="104">
        <v>44967</v>
      </c>
      <c r="E73" t="s">
        <v>791</v>
      </c>
      <c r="F73" t="s">
        <v>792</v>
      </c>
      <c r="G73" t="s">
        <v>788</v>
      </c>
      <c r="H73">
        <v>20</v>
      </c>
      <c r="I73" t="s">
        <v>789</v>
      </c>
      <c r="J73" t="s">
        <v>790</v>
      </c>
    </row>
    <row r="74" spans="1:10" x14ac:dyDescent="0.25">
      <c r="A74">
        <v>150060284</v>
      </c>
      <c r="B74" t="s">
        <v>625</v>
      </c>
      <c r="C74" s="104">
        <v>44967.98541666667</v>
      </c>
      <c r="D74" s="104">
        <v>44967</v>
      </c>
      <c r="E74" t="s">
        <v>791</v>
      </c>
      <c r="F74" t="s">
        <v>792</v>
      </c>
      <c r="G74" t="s">
        <v>788</v>
      </c>
      <c r="H74">
        <v>20</v>
      </c>
      <c r="I74" t="s">
        <v>789</v>
      </c>
      <c r="J74" t="s">
        <v>790</v>
      </c>
    </row>
    <row r="75" spans="1:10" x14ac:dyDescent="0.25">
      <c r="A75">
        <v>150060284</v>
      </c>
      <c r="B75" t="s">
        <v>625</v>
      </c>
      <c r="C75" s="104">
        <v>44967.985439814816</v>
      </c>
      <c r="D75" s="104">
        <v>44967</v>
      </c>
      <c r="E75" t="s">
        <v>791</v>
      </c>
      <c r="F75" t="s">
        <v>792</v>
      </c>
      <c r="G75" t="s">
        <v>788</v>
      </c>
      <c r="H75">
        <v>20</v>
      </c>
      <c r="I75" t="s">
        <v>789</v>
      </c>
      <c r="J75" t="s">
        <v>790</v>
      </c>
    </row>
    <row r="76" spans="1:10" x14ac:dyDescent="0.25">
      <c r="A76">
        <v>150060284</v>
      </c>
      <c r="B76" t="s">
        <v>625</v>
      </c>
      <c r="C76" s="104">
        <v>44967.985486111109</v>
      </c>
      <c r="D76" s="104">
        <v>44967</v>
      </c>
      <c r="E76" t="s">
        <v>791</v>
      </c>
      <c r="F76" t="s">
        <v>792</v>
      </c>
      <c r="G76" t="s">
        <v>788</v>
      </c>
      <c r="H76">
        <v>20</v>
      </c>
      <c r="I76" t="s">
        <v>789</v>
      </c>
      <c r="J76" t="s">
        <v>790</v>
      </c>
    </row>
    <row r="77" spans="1:10" x14ac:dyDescent="0.25">
      <c r="A77">
        <v>150060284</v>
      </c>
      <c r="B77" t="s">
        <v>625</v>
      </c>
      <c r="C77" s="104">
        <v>44967.985520833332</v>
      </c>
      <c r="D77" s="104">
        <v>44967</v>
      </c>
      <c r="E77" t="s">
        <v>791</v>
      </c>
      <c r="F77" t="s">
        <v>792</v>
      </c>
      <c r="G77" t="s">
        <v>788</v>
      </c>
      <c r="H77">
        <v>20</v>
      </c>
      <c r="I77" t="s">
        <v>789</v>
      </c>
      <c r="J77" t="s">
        <v>790</v>
      </c>
    </row>
    <row r="78" spans="1:10" x14ac:dyDescent="0.25">
      <c r="A78">
        <v>150060284</v>
      </c>
      <c r="B78" t="s">
        <v>625</v>
      </c>
      <c r="C78" s="104">
        <v>44967.985567129632</v>
      </c>
      <c r="D78" s="104">
        <v>44967</v>
      </c>
      <c r="E78" t="s">
        <v>791</v>
      </c>
      <c r="F78" t="s">
        <v>792</v>
      </c>
      <c r="G78" t="s">
        <v>788</v>
      </c>
      <c r="H78">
        <v>20</v>
      </c>
      <c r="I78" t="s">
        <v>789</v>
      </c>
      <c r="J78" t="s">
        <v>790</v>
      </c>
    </row>
    <row r="79" spans="1:10" x14ac:dyDescent="0.25">
      <c r="A79">
        <v>150060284</v>
      </c>
      <c r="B79" t="s">
        <v>625</v>
      </c>
      <c r="C79" s="104">
        <v>44967.985601851855</v>
      </c>
      <c r="D79" s="104">
        <v>44967</v>
      </c>
      <c r="E79" t="s">
        <v>791</v>
      </c>
      <c r="F79" t="s">
        <v>792</v>
      </c>
      <c r="G79" t="s">
        <v>788</v>
      </c>
      <c r="H79">
        <v>20</v>
      </c>
      <c r="I79" t="s">
        <v>789</v>
      </c>
      <c r="J79" t="s">
        <v>790</v>
      </c>
    </row>
    <row r="80" spans="1:10" x14ac:dyDescent="0.25">
      <c r="A80">
        <v>150060284</v>
      </c>
      <c r="B80" t="s">
        <v>625</v>
      </c>
      <c r="C80" s="104">
        <v>44967.985636574071</v>
      </c>
      <c r="D80" s="104">
        <v>44967</v>
      </c>
      <c r="E80" t="s">
        <v>791</v>
      </c>
      <c r="F80" t="s">
        <v>792</v>
      </c>
      <c r="G80" t="s">
        <v>788</v>
      </c>
      <c r="H80">
        <v>20</v>
      </c>
      <c r="I80" t="s">
        <v>789</v>
      </c>
      <c r="J80" t="s">
        <v>790</v>
      </c>
    </row>
    <row r="81" spans="1:10" x14ac:dyDescent="0.25">
      <c r="A81">
        <v>150060284</v>
      </c>
      <c r="B81" t="s">
        <v>625</v>
      </c>
      <c r="C81" s="104">
        <v>44967.985659722224</v>
      </c>
      <c r="D81" s="104">
        <v>44967</v>
      </c>
      <c r="E81" t="s">
        <v>791</v>
      </c>
      <c r="F81" t="s">
        <v>792</v>
      </c>
      <c r="G81" t="s">
        <v>788</v>
      </c>
      <c r="H81">
        <v>20</v>
      </c>
      <c r="I81" t="s">
        <v>789</v>
      </c>
      <c r="J81" t="s">
        <v>790</v>
      </c>
    </row>
    <row r="82" spans="1:10" x14ac:dyDescent="0.25">
      <c r="A82">
        <v>150060284</v>
      </c>
      <c r="B82" t="s">
        <v>625</v>
      </c>
      <c r="C82" s="104">
        <v>44967.985706018517</v>
      </c>
      <c r="D82" s="104">
        <v>44967</v>
      </c>
      <c r="E82" t="s">
        <v>791</v>
      </c>
      <c r="F82" t="s">
        <v>792</v>
      </c>
      <c r="G82" t="s">
        <v>788</v>
      </c>
      <c r="H82">
        <v>20</v>
      </c>
      <c r="I82" t="s">
        <v>789</v>
      </c>
      <c r="J82" t="s">
        <v>790</v>
      </c>
    </row>
    <row r="83" spans="1:10" x14ac:dyDescent="0.25">
      <c r="A83">
        <v>150060284</v>
      </c>
      <c r="B83" t="s">
        <v>625</v>
      </c>
      <c r="C83" s="104">
        <v>44967.98574074074</v>
      </c>
      <c r="D83" s="104">
        <v>44967</v>
      </c>
      <c r="E83" t="s">
        <v>791</v>
      </c>
      <c r="F83" t="s">
        <v>792</v>
      </c>
      <c r="G83" t="s">
        <v>788</v>
      </c>
      <c r="H83">
        <v>20</v>
      </c>
      <c r="I83" t="s">
        <v>789</v>
      </c>
      <c r="J83" t="s">
        <v>790</v>
      </c>
    </row>
    <row r="84" spans="1:10" x14ac:dyDescent="0.25">
      <c r="A84">
        <v>150060284</v>
      </c>
      <c r="B84" t="s">
        <v>625</v>
      </c>
      <c r="C84" s="104">
        <v>44967.988576388889</v>
      </c>
      <c r="D84" s="104">
        <v>44967</v>
      </c>
      <c r="E84" t="s">
        <v>791</v>
      </c>
      <c r="F84" t="s">
        <v>792</v>
      </c>
      <c r="G84" t="s">
        <v>788</v>
      </c>
      <c r="H84">
        <v>20</v>
      </c>
      <c r="I84" t="s">
        <v>789</v>
      </c>
      <c r="J84" t="s">
        <v>790</v>
      </c>
    </row>
    <row r="85" spans="1:10" x14ac:dyDescent="0.25">
      <c r="A85">
        <v>150060284</v>
      </c>
      <c r="B85" t="s">
        <v>625</v>
      </c>
      <c r="C85" s="104">
        <v>44967.988587962966</v>
      </c>
      <c r="D85" s="104">
        <v>44967</v>
      </c>
      <c r="E85" t="s">
        <v>791</v>
      </c>
      <c r="F85" t="s">
        <v>792</v>
      </c>
      <c r="G85" t="s">
        <v>788</v>
      </c>
      <c r="H85">
        <v>20</v>
      </c>
      <c r="I85" t="s">
        <v>789</v>
      </c>
      <c r="J85" t="s">
        <v>790</v>
      </c>
    </row>
    <row r="86" spans="1:10" x14ac:dyDescent="0.25">
      <c r="A86">
        <v>150060284</v>
      </c>
      <c r="B86" t="s">
        <v>625</v>
      </c>
      <c r="C86" s="104">
        <v>44967.988599537035</v>
      </c>
      <c r="D86" s="104">
        <v>44967</v>
      </c>
      <c r="E86" t="s">
        <v>791</v>
      </c>
      <c r="F86" t="s">
        <v>792</v>
      </c>
      <c r="G86" t="s">
        <v>788</v>
      </c>
      <c r="H86">
        <v>20</v>
      </c>
      <c r="I86" t="s">
        <v>789</v>
      </c>
      <c r="J86" t="s">
        <v>790</v>
      </c>
    </row>
    <row r="87" spans="1:10" x14ac:dyDescent="0.25">
      <c r="A87">
        <v>150060284</v>
      </c>
      <c r="B87" t="s">
        <v>625</v>
      </c>
      <c r="C87" s="104">
        <v>44967.988611111112</v>
      </c>
      <c r="D87" s="104">
        <v>44967</v>
      </c>
      <c r="E87" t="s">
        <v>791</v>
      </c>
      <c r="F87" t="s">
        <v>792</v>
      </c>
      <c r="G87" t="s">
        <v>788</v>
      </c>
      <c r="H87">
        <v>20</v>
      </c>
      <c r="I87" t="s">
        <v>789</v>
      </c>
      <c r="J87" t="s">
        <v>790</v>
      </c>
    </row>
    <row r="88" spans="1:10" x14ac:dyDescent="0.25">
      <c r="A88">
        <v>150060284</v>
      </c>
      <c r="B88" t="s">
        <v>625</v>
      </c>
      <c r="C88" s="104">
        <v>44967.988622685189</v>
      </c>
      <c r="D88" s="104">
        <v>44967</v>
      </c>
      <c r="E88" t="s">
        <v>791</v>
      </c>
      <c r="F88" t="s">
        <v>792</v>
      </c>
      <c r="G88" t="s">
        <v>788</v>
      </c>
      <c r="H88">
        <v>20</v>
      </c>
      <c r="I88" t="s">
        <v>789</v>
      </c>
      <c r="J88" t="s">
        <v>790</v>
      </c>
    </row>
    <row r="89" spans="1:10" x14ac:dyDescent="0.25">
      <c r="A89">
        <v>150060284</v>
      </c>
      <c r="B89" t="s">
        <v>625</v>
      </c>
      <c r="C89" s="104">
        <v>44967.988622685189</v>
      </c>
      <c r="D89" s="104">
        <v>44967</v>
      </c>
      <c r="E89" t="s">
        <v>791</v>
      </c>
      <c r="F89" t="s">
        <v>792</v>
      </c>
      <c r="G89" t="s">
        <v>788</v>
      </c>
      <c r="H89">
        <v>20</v>
      </c>
      <c r="I89" t="s">
        <v>789</v>
      </c>
      <c r="J89" t="s">
        <v>790</v>
      </c>
    </row>
    <row r="90" spans="1:10" x14ac:dyDescent="0.25">
      <c r="A90">
        <v>150060284</v>
      </c>
      <c r="B90" t="s">
        <v>625</v>
      </c>
      <c r="C90" s="104">
        <v>44967.988645833335</v>
      </c>
      <c r="D90" s="104">
        <v>44967</v>
      </c>
      <c r="E90" t="s">
        <v>791</v>
      </c>
      <c r="F90" t="s">
        <v>792</v>
      </c>
      <c r="G90" t="s">
        <v>788</v>
      </c>
      <c r="H90">
        <v>20</v>
      </c>
      <c r="I90" t="s">
        <v>789</v>
      </c>
      <c r="J90" t="s">
        <v>790</v>
      </c>
    </row>
    <row r="91" spans="1:10" x14ac:dyDescent="0.25">
      <c r="A91">
        <v>150060284</v>
      </c>
      <c r="B91" t="s">
        <v>625</v>
      </c>
      <c r="C91" s="104">
        <v>44967.988645833335</v>
      </c>
      <c r="D91" s="104">
        <v>44967</v>
      </c>
      <c r="E91" t="s">
        <v>791</v>
      </c>
      <c r="F91" t="s">
        <v>792</v>
      </c>
      <c r="G91" t="s">
        <v>788</v>
      </c>
      <c r="H91">
        <v>20</v>
      </c>
      <c r="I91" t="s">
        <v>789</v>
      </c>
      <c r="J91" t="s">
        <v>790</v>
      </c>
    </row>
    <row r="92" spans="1:10" x14ac:dyDescent="0.25">
      <c r="A92">
        <v>150060312</v>
      </c>
      <c r="B92" t="s">
        <v>306</v>
      </c>
      <c r="C92" s="104">
        <v>44967.662418981483</v>
      </c>
      <c r="D92" s="104">
        <v>44967</v>
      </c>
      <c r="E92" t="s">
        <v>791</v>
      </c>
      <c r="F92" t="s">
        <v>792</v>
      </c>
      <c r="G92" t="s">
        <v>788</v>
      </c>
      <c r="H92">
        <v>178</v>
      </c>
      <c r="I92" t="s">
        <v>789</v>
      </c>
      <c r="J92" t="s">
        <v>790</v>
      </c>
    </row>
    <row r="93" spans="1:10" x14ac:dyDescent="0.25">
      <c r="A93">
        <v>150060312</v>
      </c>
      <c r="B93" t="s">
        <v>306</v>
      </c>
      <c r="C93" s="104">
        <v>44967.662430555552</v>
      </c>
      <c r="D93" s="104">
        <v>44967</v>
      </c>
      <c r="E93" t="s">
        <v>791</v>
      </c>
      <c r="F93" t="s">
        <v>792</v>
      </c>
      <c r="G93" t="s">
        <v>788</v>
      </c>
      <c r="H93">
        <v>180</v>
      </c>
      <c r="I93" t="s">
        <v>789</v>
      </c>
      <c r="J93" t="s">
        <v>790</v>
      </c>
    </row>
    <row r="94" spans="1:10" x14ac:dyDescent="0.25">
      <c r="A94">
        <v>150060312</v>
      </c>
      <c r="B94" t="s">
        <v>306</v>
      </c>
      <c r="C94" s="104">
        <v>44967.992291666669</v>
      </c>
      <c r="D94" s="104">
        <v>44967</v>
      </c>
      <c r="E94" t="s">
        <v>791</v>
      </c>
      <c r="F94" t="s">
        <v>792</v>
      </c>
      <c r="G94" t="s">
        <v>788</v>
      </c>
      <c r="H94">
        <v>63</v>
      </c>
      <c r="I94" t="s">
        <v>789</v>
      </c>
      <c r="J94" t="s">
        <v>790</v>
      </c>
    </row>
    <row r="95" spans="1:10" x14ac:dyDescent="0.25">
      <c r="A95">
        <v>150060312</v>
      </c>
      <c r="B95" t="s">
        <v>306</v>
      </c>
      <c r="C95" s="104">
        <v>44967.992314814815</v>
      </c>
      <c r="D95" s="104">
        <v>44967</v>
      </c>
      <c r="E95" t="s">
        <v>791</v>
      </c>
      <c r="F95" t="s">
        <v>792</v>
      </c>
      <c r="G95" t="s">
        <v>788</v>
      </c>
      <c r="H95">
        <v>243</v>
      </c>
      <c r="I95" t="s">
        <v>789</v>
      </c>
      <c r="J95" t="s">
        <v>790</v>
      </c>
    </row>
    <row r="96" spans="1:10" x14ac:dyDescent="0.25">
      <c r="A96">
        <v>150060312</v>
      </c>
      <c r="B96" t="s">
        <v>306</v>
      </c>
      <c r="C96" s="104">
        <v>44967.992326388892</v>
      </c>
      <c r="D96" s="104">
        <v>44967</v>
      </c>
      <c r="E96" t="s">
        <v>791</v>
      </c>
      <c r="F96" t="s">
        <v>792</v>
      </c>
      <c r="G96" t="s">
        <v>788</v>
      </c>
      <c r="H96">
        <v>243</v>
      </c>
      <c r="I96" t="s">
        <v>789</v>
      </c>
      <c r="J96" t="s">
        <v>790</v>
      </c>
    </row>
    <row r="97" spans="1:10" x14ac:dyDescent="0.25">
      <c r="A97">
        <v>150060312</v>
      </c>
      <c r="B97" t="s">
        <v>306</v>
      </c>
      <c r="C97" s="104">
        <v>44967.992337962962</v>
      </c>
      <c r="D97" s="104">
        <v>44967</v>
      </c>
      <c r="E97" t="s">
        <v>791</v>
      </c>
      <c r="F97" t="s">
        <v>792</v>
      </c>
      <c r="G97" t="s">
        <v>788</v>
      </c>
      <c r="H97">
        <v>40</v>
      </c>
      <c r="I97" t="s">
        <v>789</v>
      </c>
      <c r="J97" t="s">
        <v>790</v>
      </c>
    </row>
    <row r="98" spans="1:10" x14ac:dyDescent="0.25">
      <c r="A98">
        <v>150060312</v>
      </c>
      <c r="B98" t="s">
        <v>306</v>
      </c>
      <c r="C98" s="104">
        <v>44968.214305555557</v>
      </c>
      <c r="D98" s="104">
        <v>44968</v>
      </c>
      <c r="E98" t="s">
        <v>791</v>
      </c>
      <c r="F98" t="s">
        <v>792</v>
      </c>
      <c r="G98" t="s">
        <v>788</v>
      </c>
      <c r="H98">
        <v>203</v>
      </c>
      <c r="I98" t="s">
        <v>789</v>
      </c>
      <c r="J98" t="s">
        <v>790</v>
      </c>
    </row>
    <row r="99" spans="1:10" x14ac:dyDescent="0.25">
      <c r="A99">
        <v>150060312</v>
      </c>
      <c r="B99" t="s">
        <v>306</v>
      </c>
      <c r="C99" s="104">
        <v>44968.21435185185</v>
      </c>
      <c r="D99" s="104">
        <v>44968</v>
      </c>
      <c r="E99" t="s">
        <v>791</v>
      </c>
      <c r="F99" t="s">
        <v>792</v>
      </c>
      <c r="G99" t="s">
        <v>788</v>
      </c>
      <c r="H99">
        <v>64</v>
      </c>
      <c r="I99" t="s">
        <v>789</v>
      </c>
      <c r="J99" t="s">
        <v>790</v>
      </c>
    </row>
    <row r="100" spans="1:10" x14ac:dyDescent="0.25">
      <c r="A100">
        <v>150060312</v>
      </c>
      <c r="B100" t="s">
        <v>306</v>
      </c>
      <c r="C100" s="104">
        <v>44970.301527777781</v>
      </c>
      <c r="D100" s="104">
        <v>44970</v>
      </c>
      <c r="E100" t="s">
        <v>791</v>
      </c>
      <c r="F100" t="s">
        <v>792</v>
      </c>
      <c r="G100" t="s">
        <v>788</v>
      </c>
      <c r="H100">
        <v>186</v>
      </c>
      <c r="I100" t="s">
        <v>789</v>
      </c>
      <c r="J100" t="s">
        <v>790</v>
      </c>
    </row>
    <row r="101" spans="1:10" x14ac:dyDescent="0.25">
      <c r="A101">
        <v>150060312</v>
      </c>
      <c r="B101" t="s">
        <v>306</v>
      </c>
      <c r="C101" s="104">
        <v>44970.319236111114</v>
      </c>
      <c r="D101" s="104">
        <v>44970</v>
      </c>
      <c r="E101" t="s">
        <v>791</v>
      </c>
      <c r="F101" t="s">
        <v>792</v>
      </c>
      <c r="G101" t="s">
        <v>788</v>
      </c>
      <c r="H101">
        <v>54</v>
      </c>
      <c r="I101" t="s">
        <v>789</v>
      </c>
      <c r="J101" t="s">
        <v>790</v>
      </c>
    </row>
    <row r="102" spans="1:10" x14ac:dyDescent="0.25">
      <c r="A102">
        <v>150060537</v>
      </c>
      <c r="B102" t="s">
        <v>324</v>
      </c>
      <c r="C102" s="104">
        <v>44967.988749999997</v>
      </c>
      <c r="D102" s="104">
        <v>44967</v>
      </c>
      <c r="E102" t="s">
        <v>791</v>
      </c>
      <c r="F102" t="s">
        <v>792</v>
      </c>
      <c r="G102" t="s">
        <v>788</v>
      </c>
      <c r="H102">
        <v>420</v>
      </c>
      <c r="I102" t="s">
        <v>789</v>
      </c>
      <c r="J102" t="s">
        <v>790</v>
      </c>
    </row>
    <row r="103" spans="1:10" x14ac:dyDescent="0.25">
      <c r="A103">
        <v>150060537</v>
      </c>
      <c r="B103" t="s">
        <v>324</v>
      </c>
      <c r="C103" s="104">
        <v>44968.07236111111</v>
      </c>
      <c r="D103" s="104">
        <v>44968</v>
      </c>
      <c r="E103" t="s">
        <v>791</v>
      </c>
      <c r="F103" t="s">
        <v>792</v>
      </c>
      <c r="G103" t="s">
        <v>788</v>
      </c>
      <c r="H103">
        <v>210</v>
      </c>
      <c r="I103" t="s">
        <v>789</v>
      </c>
      <c r="J103" t="s">
        <v>790</v>
      </c>
    </row>
    <row r="104" spans="1:10" x14ac:dyDescent="0.25">
      <c r="A104">
        <v>150060537</v>
      </c>
      <c r="B104" t="s">
        <v>324</v>
      </c>
      <c r="C104" s="104">
        <v>44968.311562499999</v>
      </c>
      <c r="D104" s="104">
        <v>44968</v>
      </c>
      <c r="E104" t="s">
        <v>791</v>
      </c>
      <c r="F104" t="s">
        <v>792</v>
      </c>
      <c r="G104" t="s">
        <v>788</v>
      </c>
      <c r="H104">
        <v>420</v>
      </c>
      <c r="I104" t="s">
        <v>789</v>
      </c>
      <c r="J104" t="s">
        <v>790</v>
      </c>
    </row>
    <row r="105" spans="1:10" x14ac:dyDescent="0.25">
      <c r="A105">
        <v>150060537</v>
      </c>
      <c r="B105" t="s">
        <v>324</v>
      </c>
      <c r="C105" s="104">
        <v>44968.648356481484</v>
      </c>
      <c r="D105" s="104">
        <v>44968</v>
      </c>
      <c r="E105" t="s">
        <v>791</v>
      </c>
      <c r="F105" t="s">
        <v>792</v>
      </c>
      <c r="G105" t="s">
        <v>788</v>
      </c>
      <c r="H105">
        <v>210</v>
      </c>
      <c r="I105" t="s">
        <v>789</v>
      </c>
      <c r="J105" t="s">
        <v>790</v>
      </c>
    </row>
    <row r="106" spans="1:10" x14ac:dyDescent="0.25">
      <c r="A106">
        <v>150060537</v>
      </c>
      <c r="B106" t="s">
        <v>324</v>
      </c>
      <c r="C106" s="104">
        <v>44968.659166666665</v>
      </c>
      <c r="D106" s="104">
        <v>44968</v>
      </c>
      <c r="E106" t="s">
        <v>791</v>
      </c>
      <c r="F106" t="s">
        <v>792</v>
      </c>
      <c r="G106" t="s">
        <v>788</v>
      </c>
      <c r="H106">
        <v>430</v>
      </c>
      <c r="I106" t="s">
        <v>789</v>
      </c>
      <c r="J106" t="s">
        <v>790</v>
      </c>
    </row>
    <row r="107" spans="1:10" x14ac:dyDescent="0.25">
      <c r="A107">
        <v>150060537</v>
      </c>
      <c r="B107" t="s">
        <v>324</v>
      </c>
      <c r="C107" s="104">
        <v>44968.9921875</v>
      </c>
      <c r="D107" s="104">
        <v>44968</v>
      </c>
      <c r="E107" t="s">
        <v>791</v>
      </c>
      <c r="F107" t="s">
        <v>792</v>
      </c>
      <c r="G107" t="s">
        <v>788</v>
      </c>
      <c r="H107" s="89">
        <v>200</v>
      </c>
      <c r="I107" t="s">
        <v>789</v>
      </c>
      <c r="J107" t="s">
        <v>790</v>
      </c>
    </row>
    <row r="108" spans="1:10" x14ac:dyDescent="0.25">
      <c r="A108">
        <v>150060537</v>
      </c>
      <c r="B108" t="s">
        <v>324</v>
      </c>
      <c r="C108" s="104">
        <v>44968.992199074077</v>
      </c>
      <c r="D108" s="104">
        <v>44968</v>
      </c>
      <c r="E108" t="s">
        <v>791</v>
      </c>
      <c r="F108" t="s">
        <v>792</v>
      </c>
      <c r="G108" t="s">
        <v>788</v>
      </c>
      <c r="H108" s="89">
        <v>73</v>
      </c>
      <c r="I108" t="s">
        <v>789</v>
      </c>
      <c r="J108" t="s">
        <v>790</v>
      </c>
    </row>
    <row r="109" spans="1:10" x14ac:dyDescent="0.25">
      <c r="A109">
        <v>150060537</v>
      </c>
      <c r="B109" t="s">
        <v>324</v>
      </c>
      <c r="C109" s="104">
        <v>44970.187002314815</v>
      </c>
      <c r="D109" s="104">
        <v>44970</v>
      </c>
      <c r="E109" t="s">
        <v>791</v>
      </c>
      <c r="F109" t="s">
        <v>792</v>
      </c>
      <c r="G109" t="s">
        <v>788</v>
      </c>
      <c r="H109" s="89">
        <v>315</v>
      </c>
      <c r="I109" t="s">
        <v>789</v>
      </c>
      <c r="J109" t="s">
        <v>790</v>
      </c>
    </row>
    <row r="110" spans="1:10" x14ac:dyDescent="0.25">
      <c r="A110">
        <v>150060722</v>
      </c>
      <c r="B110" t="s">
        <v>630</v>
      </c>
      <c r="C110" s="104">
        <v>44968.659189814818</v>
      </c>
      <c r="D110" s="104">
        <v>44968</v>
      </c>
      <c r="E110" t="s">
        <v>791</v>
      </c>
      <c r="F110" t="s">
        <v>792</v>
      </c>
      <c r="G110" t="s">
        <v>788</v>
      </c>
      <c r="H110">
        <v>140</v>
      </c>
      <c r="I110" t="s">
        <v>789</v>
      </c>
      <c r="J110" t="s">
        <v>790</v>
      </c>
    </row>
    <row r="111" spans="1:10" x14ac:dyDescent="0.25">
      <c r="A111">
        <v>150060722</v>
      </c>
      <c r="B111" t="s">
        <v>630</v>
      </c>
      <c r="C111" s="104">
        <v>44968.659201388888</v>
      </c>
      <c r="D111" s="104">
        <v>44968</v>
      </c>
      <c r="E111" t="s">
        <v>791</v>
      </c>
      <c r="F111" t="s">
        <v>792</v>
      </c>
      <c r="G111" t="s">
        <v>788</v>
      </c>
      <c r="H111">
        <v>140</v>
      </c>
      <c r="I111" t="s">
        <v>789</v>
      </c>
      <c r="J111" t="s">
        <v>790</v>
      </c>
    </row>
    <row r="112" spans="1:10" x14ac:dyDescent="0.25">
      <c r="A112">
        <v>150060722</v>
      </c>
      <c r="B112" t="s">
        <v>630</v>
      </c>
      <c r="C112" s="104">
        <v>44968.659201388888</v>
      </c>
      <c r="D112" s="104">
        <v>44968</v>
      </c>
      <c r="E112" t="s">
        <v>791</v>
      </c>
      <c r="F112" t="s">
        <v>792</v>
      </c>
      <c r="G112" t="s">
        <v>788</v>
      </c>
      <c r="H112">
        <v>140</v>
      </c>
      <c r="I112" t="s">
        <v>789</v>
      </c>
      <c r="J112" t="s">
        <v>790</v>
      </c>
    </row>
    <row r="113" spans="1:10" x14ac:dyDescent="0.25">
      <c r="A113">
        <v>150060722</v>
      </c>
      <c r="B113" t="s">
        <v>630</v>
      </c>
      <c r="C113" s="104">
        <v>44968.659224537034</v>
      </c>
      <c r="D113" s="104">
        <v>44968</v>
      </c>
      <c r="E113" t="s">
        <v>791</v>
      </c>
      <c r="F113" t="s">
        <v>792</v>
      </c>
      <c r="G113" t="s">
        <v>788</v>
      </c>
      <c r="H113">
        <v>20</v>
      </c>
      <c r="I113" t="s">
        <v>789</v>
      </c>
      <c r="J113" t="s">
        <v>790</v>
      </c>
    </row>
    <row r="114" spans="1:10" x14ac:dyDescent="0.25">
      <c r="A114">
        <v>150060722</v>
      </c>
      <c r="B114" t="s">
        <v>630</v>
      </c>
      <c r="C114" s="104">
        <v>44968.860162037039</v>
      </c>
      <c r="D114" s="104">
        <v>44968</v>
      </c>
      <c r="E114" t="s">
        <v>791</v>
      </c>
      <c r="F114" t="s">
        <v>792</v>
      </c>
      <c r="G114" t="s">
        <v>788</v>
      </c>
      <c r="H114" s="89">
        <v>120</v>
      </c>
      <c r="I114" t="s">
        <v>789</v>
      </c>
      <c r="J114" t="s">
        <v>790</v>
      </c>
    </row>
    <row r="115" spans="1:10" x14ac:dyDescent="0.25">
      <c r="A115">
        <v>150060722</v>
      </c>
      <c r="B115" t="s">
        <v>630</v>
      </c>
      <c r="C115" s="104">
        <v>44968.860173611109</v>
      </c>
      <c r="D115" s="104">
        <v>44968</v>
      </c>
      <c r="E115" t="s">
        <v>791</v>
      </c>
      <c r="F115" t="s">
        <v>792</v>
      </c>
      <c r="G115" t="s">
        <v>788</v>
      </c>
      <c r="H115" s="89">
        <v>140</v>
      </c>
      <c r="I115" t="s">
        <v>789</v>
      </c>
      <c r="J115" t="s">
        <v>790</v>
      </c>
    </row>
    <row r="116" spans="1:10" x14ac:dyDescent="0.25">
      <c r="A116">
        <v>150060723</v>
      </c>
      <c r="B116" t="s">
        <v>631</v>
      </c>
      <c r="C116" s="104">
        <v>44968.659236111111</v>
      </c>
      <c r="D116" s="104">
        <v>44968</v>
      </c>
      <c r="E116" t="s">
        <v>791</v>
      </c>
      <c r="F116" t="s">
        <v>792</v>
      </c>
      <c r="G116" t="s">
        <v>788</v>
      </c>
      <c r="H116">
        <v>20</v>
      </c>
      <c r="I116" t="s">
        <v>789</v>
      </c>
      <c r="J116" t="s">
        <v>790</v>
      </c>
    </row>
    <row r="117" spans="1:10" x14ac:dyDescent="0.25">
      <c r="A117">
        <v>150060723</v>
      </c>
      <c r="B117" t="s">
        <v>631</v>
      </c>
      <c r="C117" s="104">
        <v>44968.659247685187</v>
      </c>
      <c r="D117" s="104">
        <v>44968</v>
      </c>
      <c r="E117" t="s">
        <v>791</v>
      </c>
      <c r="F117" t="s">
        <v>792</v>
      </c>
      <c r="G117" t="s">
        <v>788</v>
      </c>
      <c r="H117">
        <v>140</v>
      </c>
      <c r="I117" t="s">
        <v>789</v>
      </c>
      <c r="J117" t="s">
        <v>790</v>
      </c>
    </row>
    <row r="118" spans="1:10" x14ac:dyDescent="0.25">
      <c r="A118">
        <v>150060723</v>
      </c>
      <c r="B118" t="s">
        <v>631</v>
      </c>
      <c r="C118" s="104">
        <v>44968.659259259257</v>
      </c>
      <c r="D118" s="104">
        <v>44968</v>
      </c>
      <c r="E118" t="s">
        <v>791</v>
      </c>
      <c r="F118" t="s">
        <v>792</v>
      </c>
      <c r="G118" t="s">
        <v>788</v>
      </c>
      <c r="H118">
        <v>140</v>
      </c>
      <c r="I118" t="s">
        <v>789</v>
      </c>
      <c r="J118" t="s">
        <v>790</v>
      </c>
    </row>
    <row r="119" spans="1:10" x14ac:dyDescent="0.25">
      <c r="A119">
        <v>150060723</v>
      </c>
      <c r="B119" t="s">
        <v>631</v>
      </c>
      <c r="C119" s="104">
        <v>44968.659270833334</v>
      </c>
      <c r="D119" s="104">
        <v>44968</v>
      </c>
      <c r="E119" t="s">
        <v>791</v>
      </c>
      <c r="F119" t="s">
        <v>792</v>
      </c>
      <c r="G119" t="s">
        <v>788</v>
      </c>
      <c r="H119">
        <v>140</v>
      </c>
      <c r="I119" t="s">
        <v>789</v>
      </c>
      <c r="J119" t="s">
        <v>790</v>
      </c>
    </row>
    <row r="120" spans="1:10" x14ac:dyDescent="0.25">
      <c r="A120">
        <v>150060723</v>
      </c>
      <c r="B120" t="s">
        <v>631</v>
      </c>
      <c r="C120" s="104">
        <v>44968.860185185185</v>
      </c>
      <c r="D120" s="104">
        <v>44968</v>
      </c>
      <c r="E120" t="s">
        <v>791</v>
      </c>
      <c r="F120" t="s">
        <v>792</v>
      </c>
      <c r="G120" t="s">
        <v>788</v>
      </c>
      <c r="H120" s="89">
        <v>140</v>
      </c>
      <c r="I120" t="s">
        <v>789</v>
      </c>
      <c r="J120" t="s">
        <v>790</v>
      </c>
    </row>
    <row r="121" spans="1:10" x14ac:dyDescent="0.25">
      <c r="A121">
        <v>150060723</v>
      </c>
      <c r="B121" t="s">
        <v>631</v>
      </c>
      <c r="C121" s="104">
        <v>44968.860208333332</v>
      </c>
      <c r="D121" s="104">
        <v>44968</v>
      </c>
      <c r="E121" t="s">
        <v>791</v>
      </c>
      <c r="F121" t="s">
        <v>792</v>
      </c>
      <c r="G121" t="s">
        <v>788</v>
      </c>
      <c r="H121" s="89">
        <v>120</v>
      </c>
      <c r="I121" t="s">
        <v>789</v>
      </c>
      <c r="J121" t="s">
        <v>790</v>
      </c>
    </row>
    <row r="122" spans="1:10" x14ac:dyDescent="0.25">
      <c r="A122">
        <v>150060742</v>
      </c>
      <c r="B122" t="s">
        <v>632</v>
      </c>
      <c r="C122" s="104">
        <v>44967.659490740742</v>
      </c>
      <c r="D122" s="104">
        <v>44967</v>
      </c>
      <c r="E122" t="s">
        <v>791</v>
      </c>
      <c r="F122" t="s">
        <v>792</v>
      </c>
      <c r="G122" t="s">
        <v>788</v>
      </c>
      <c r="H122">
        <v>108</v>
      </c>
      <c r="I122" t="s">
        <v>789</v>
      </c>
      <c r="J122" t="s">
        <v>790</v>
      </c>
    </row>
    <row r="123" spans="1:10" x14ac:dyDescent="0.25">
      <c r="A123">
        <v>150060742</v>
      </c>
      <c r="B123" t="s">
        <v>632</v>
      </c>
      <c r="C123" s="104">
        <v>44967.659525462965</v>
      </c>
      <c r="D123" s="104">
        <v>44967</v>
      </c>
      <c r="E123" t="s">
        <v>791</v>
      </c>
      <c r="F123" t="s">
        <v>792</v>
      </c>
      <c r="G123" t="s">
        <v>788</v>
      </c>
      <c r="H123">
        <v>108</v>
      </c>
      <c r="I123" t="s">
        <v>789</v>
      </c>
      <c r="J123" t="s">
        <v>790</v>
      </c>
    </row>
    <row r="124" spans="1:10" x14ac:dyDescent="0.25">
      <c r="A124">
        <v>150060742</v>
      </c>
      <c r="B124" t="s">
        <v>632</v>
      </c>
      <c r="C124" s="104">
        <v>44967.659537037034</v>
      </c>
      <c r="D124" s="104">
        <v>44967</v>
      </c>
      <c r="E124" t="s">
        <v>791</v>
      </c>
      <c r="F124" t="s">
        <v>792</v>
      </c>
      <c r="G124" t="s">
        <v>788</v>
      </c>
      <c r="H124">
        <v>108</v>
      </c>
      <c r="I124" t="s">
        <v>789</v>
      </c>
      <c r="J124" t="s">
        <v>790</v>
      </c>
    </row>
    <row r="125" spans="1:10" x14ac:dyDescent="0.25">
      <c r="A125">
        <v>150060742</v>
      </c>
      <c r="B125" t="s">
        <v>632</v>
      </c>
      <c r="C125" s="104">
        <v>44967.659548611111</v>
      </c>
      <c r="D125" s="104">
        <v>44967</v>
      </c>
      <c r="E125" t="s">
        <v>791</v>
      </c>
      <c r="F125" t="s">
        <v>792</v>
      </c>
      <c r="G125" t="s">
        <v>788</v>
      </c>
      <c r="H125">
        <v>50</v>
      </c>
      <c r="I125" t="s">
        <v>789</v>
      </c>
      <c r="J125" t="s">
        <v>790</v>
      </c>
    </row>
    <row r="126" spans="1:10" x14ac:dyDescent="0.25">
      <c r="A126">
        <v>150060742</v>
      </c>
      <c r="B126" t="s">
        <v>632</v>
      </c>
      <c r="C126" s="104">
        <v>44967.717800925922</v>
      </c>
      <c r="D126" s="104">
        <v>44967</v>
      </c>
      <c r="E126" t="s">
        <v>791</v>
      </c>
      <c r="F126" t="s">
        <v>792</v>
      </c>
      <c r="G126" t="s">
        <v>788</v>
      </c>
      <c r="H126">
        <v>58</v>
      </c>
      <c r="I126" t="s">
        <v>789</v>
      </c>
      <c r="J126" t="s">
        <v>790</v>
      </c>
    </row>
    <row r="127" spans="1:10" x14ac:dyDescent="0.25">
      <c r="A127">
        <v>150060742</v>
      </c>
      <c r="B127" t="s">
        <v>632</v>
      </c>
      <c r="C127" s="104">
        <v>44967.721712962964</v>
      </c>
      <c r="D127" s="104">
        <v>44967</v>
      </c>
      <c r="E127" t="s">
        <v>791</v>
      </c>
      <c r="F127" t="s">
        <v>792</v>
      </c>
      <c r="G127" t="s">
        <v>788</v>
      </c>
      <c r="H127">
        <v>14</v>
      </c>
      <c r="I127" t="s">
        <v>789</v>
      </c>
      <c r="J127" t="s">
        <v>790</v>
      </c>
    </row>
    <row r="128" spans="1:10" x14ac:dyDescent="0.25">
      <c r="A128">
        <v>150060743</v>
      </c>
      <c r="B128" t="s">
        <v>794</v>
      </c>
      <c r="C128" s="104">
        <v>44967.659513888888</v>
      </c>
      <c r="D128" s="104">
        <v>44967</v>
      </c>
      <c r="E128" t="s">
        <v>791</v>
      </c>
      <c r="F128" t="s">
        <v>792</v>
      </c>
      <c r="G128" t="s">
        <v>788</v>
      </c>
      <c r="H128">
        <v>108</v>
      </c>
      <c r="I128" t="s">
        <v>789</v>
      </c>
      <c r="J128" t="s">
        <v>790</v>
      </c>
    </row>
    <row r="129" spans="1:10" x14ac:dyDescent="0.25">
      <c r="A129">
        <v>150060743</v>
      </c>
      <c r="B129" t="s">
        <v>794</v>
      </c>
      <c r="C129" s="104">
        <v>44967.659560185188</v>
      </c>
      <c r="D129" s="104">
        <v>44967</v>
      </c>
      <c r="E129" t="s">
        <v>791</v>
      </c>
      <c r="F129" t="s">
        <v>792</v>
      </c>
      <c r="G129" t="s">
        <v>788</v>
      </c>
      <c r="H129">
        <v>50</v>
      </c>
      <c r="I129" t="s">
        <v>789</v>
      </c>
      <c r="J129" t="s">
        <v>790</v>
      </c>
    </row>
    <row r="130" spans="1:10" x14ac:dyDescent="0.25">
      <c r="A130">
        <v>150060743</v>
      </c>
      <c r="B130" t="s">
        <v>794</v>
      </c>
      <c r="C130" s="104">
        <v>44967.659571759257</v>
      </c>
      <c r="D130" s="104">
        <v>44967</v>
      </c>
      <c r="E130" t="s">
        <v>791</v>
      </c>
      <c r="F130" t="s">
        <v>792</v>
      </c>
      <c r="G130" t="s">
        <v>788</v>
      </c>
      <c r="H130">
        <v>108</v>
      </c>
      <c r="I130" t="s">
        <v>789</v>
      </c>
      <c r="J130" t="s">
        <v>790</v>
      </c>
    </row>
    <row r="131" spans="1:10" x14ac:dyDescent="0.25">
      <c r="A131">
        <v>150060743</v>
      </c>
      <c r="B131" t="s">
        <v>794</v>
      </c>
      <c r="C131" s="104">
        <v>44967.659583333334</v>
      </c>
      <c r="D131" s="104">
        <v>44967</v>
      </c>
      <c r="E131" t="s">
        <v>791</v>
      </c>
      <c r="F131" t="s">
        <v>792</v>
      </c>
      <c r="G131" t="s">
        <v>788</v>
      </c>
      <c r="H131">
        <v>108</v>
      </c>
      <c r="I131" t="s">
        <v>789</v>
      </c>
      <c r="J131" t="s">
        <v>790</v>
      </c>
    </row>
    <row r="132" spans="1:10" x14ac:dyDescent="0.25">
      <c r="A132">
        <v>150060743</v>
      </c>
      <c r="B132" t="s">
        <v>794</v>
      </c>
      <c r="C132" s="104">
        <v>44967.717812499999</v>
      </c>
      <c r="D132" s="104">
        <v>44967</v>
      </c>
      <c r="E132" t="s">
        <v>791</v>
      </c>
      <c r="F132" t="s">
        <v>792</v>
      </c>
      <c r="G132" t="s">
        <v>788</v>
      </c>
      <c r="H132">
        <v>58</v>
      </c>
      <c r="I132" t="s">
        <v>789</v>
      </c>
      <c r="J132" t="s">
        <v>790</v>
      </c>
    </row>
    <row r="133" spans="1:10" x14ac:dyDescent="0.25">
      <c r="A133">
        <v>150060743</v>
      </c>
      <c r="B133" t="s">
        <v>794</v>
      </c>
      <c r="C133" s="104">
        <v>44967.721724537034</v>
      </c>
      <c r="D133" s="104">
        <v>44967</v>
      </c>
      <c r="E133" t="s">
        <v>791</v>
      </c>
      <c r="F133" t="s">
        <v>792</v>
      </c>
      <c r="G133" t="s">
        <v>788</v>
      </c>
      <c r="H133">
        <v>14</v>
      </c>
      <c r="I133" t="s">
        <v>789</v>
      </c>
      <c r="J133" t="s">
        <v>790</v>
      </c>
    </row>
    <row r="134" spans="1:10" x14ac:dyDescent="0.25">
      <c r="A134">
        <v>150060802</v>
      </c>
      <c r="B134" t="s">
        <v>99</v>
      </c>
      <c r="C134" s="104">
        <v>44968.662662037037</v>
      </c>
      <c r="D134" s="104">
        <v>44968</v>
      </c>
      <c r="E134" t="s">
        <v>791</v>
      </c>
      <c r="F134" t="s">
        <v>792</v>
      </c>
      <c r="G134" t="s">
        <v>788</v>
      </c>
      <c r="H134">
        <v>48</v>
      </c>
      <c r="I134" t="s">
        <v>789</v>
      </c>
      <c r="J134" t="s">
        <v>790</v>
      </c>
    </row>
    <row r="135" spans="1:10" x14ac:dyDescent="0.25">
      <c r="A135">
        <v>150060802</v>
      </c>
      <c r="B135" t="s">
        <v>99</v>
      </c>
      <c r="C135" s="104">
        <v>44968.662673611114</v>
      </c>
      <c r="D135" s="104">
        <v>44968</v>
      </c>
      <c r="E135" t="s">
        <v>791</v>
      </c>
      <c r="F135" t="s">
        <v>792</v>
      </c>
      <c r="G135" t="s">
        <v>788</v>
      </c>
      <c r="H135">
        <v>48</v>
      </c>
      <c r="I135" t="s">
        <v>789</v>
      </c>
      <c r="J135" t="s">
        <v>790</v>
      </c>
    </row>
    <row r="136" spans="1:10" x14ac:dyDescent="0.25">
      <c r="A136">
        <v>150060802</v>
      </c>
      <c r="B136" t="s">
        <v>99</v>
      </c>
      <c r="C136" s="104">
        <v>44968.66269675926</v>
      </c>
      <c r="D136" s="104">
        <v>44968</v>
      </c>
      <c r="E136" t="s">
        <v>791</v>
      </c>
      <c r="F136" t="s">
        <v>792</v>
      </c>
      <c r="G136" t="s">
        <v>788</v>
      </c>
      <c r="H136">
        <v>48</v>
      </c>
      <c r="I136" t="s">
        <v>789</v>
      </c>
      <c r="J136" t="s">
        <v>790</v>
      </c>
    </row>
    <row r="137" spans="1:10" x14ac:dyDescent="0.25">
      <c r="A137">
        <v>150060802</v>
      </c>
      <c r="B137" t="s">
        <v>99</v>
      </c>
      <c r="C137" s="104">
        <v>44968.662708333337</v>
      </c>
      <c r="D137" s="104">
        <v>44968</v>
      </c>
      <c r="E137" t="s">
        <v>791</v>
      </c>
      <c r="F137" t="s">
        <v>792</v>
      </c>
      <c r="G137" t="s">
        <v>788</v>
      </c>
      <c r="H137">
        <v>16</v>
      </c>
      <c r="I137" t="s">
        <v>789</v>
      </c>
      <c r="J137" t="s">
        <v>790</v>
      </c>
    </row>
    <row r="138" spans="1:10" x14ac:dyDescent="0.25">
      <c r="A138">
        <v>150060802</v>
      </c>
      <c r="B138" t="s">
        <v>99</v>
      </c>
      <c r="C138" s="104">
        <v>44968.662719907406</v>
      </c>
      <c r="D138" s="104">
        <v>44968</v>
      </c>
      <c r="E138" t="s">
        <v>791</v>
      </c>
      <c r="F138" t="s">
        <v>792</v>
      </c>
      <c r="G138" t="s">
        <v>788</v>
      </c>
      <c r="H138">
        <v>50</v>
      </c>
      <c r="I138" t="s">
        <v>789</v>
      </c>
      <c r="J138" t="s">
        <v>790</v>
      </c>
    </row>
    <row r="139" spans="1:10" x14ac:dyDescent="0.25">
      <c r="A139">
        <v>150060802</v>
      </c>
      <c r="B139" t="s">
        <v>99</v>
      </c>
      <c r="C139" s="104">
        <v>44968.662731481483</v>
      </c>
      <c r="D139" s="104">
        <v>44968</v>
      </c>
      <c r="E139" t="s">
        <v>791</v>
      </c>
      <c r="F139" t="s">
        <v>792</v>
      </c>
      <c r="G139" t="s">
        <v>788</v>
      </c>
      <c r="H139">
        <v>16</v>
      </c>
      <c r="I139" t="s">
        <v>789</v>
      </c>
      <c r="J139" t="s">
        <v>790</v>
      </c>
    </row>
    <row r="140" spans="1:10" x14ac:dyDescent="0.25">
      <c r="A140">
        <v>150060802</v>
      </c>
      <c r="B140" t="s">
        <v>99</v>
      </c>
      <c r="C140" s="104">
        <v>44968.662754629629</v>
      </c>
      <c r="D140" s="104">
        <v>44968</v>
      </c>
      <c r="E140" t="s">
        <v>791</v>
      </c>
      <c r="F140" t="s">
        <v>792</v>
      </c>
      <c r="G140" t="s">
        <v>788</v>
      </c>
      <c r="H140">
        <v>16</v>
      </c>
      <c r="I140" t="s">
        <v>789</v>
      </c>
      <c r="J140" t="s">
        <v>790</v>
      </c>
    </row>
    <row r="141" spans="1:10" x14ac:dyDescent="0.25">
      <c r="A141">
        <v>150060802</v>
      </c>
      <c r="B141" t="s">
        <v>99</v>
      </c>
      <c r="C141" s="104">
        <v>44968.97519675926</v>
      </c>
      <c r="D141" s="104">
        <v>44968</v>
      </c>
      <c r="E141" t="s">
        <v>791</v>
      </c>
      <c r="F141" t="s">
        <v>792</v>
      </c>
      <c r="G141" t="s">
        <v>788</v>
      </c>
      <c r="H141">
        <v>64</v>
      </c>
      <c r="I141" t="s">
        <v>789</v>
      </c>
      <c r="J141" t="s">
        <v>790</v>
      </c>
    </row>
    <row r="142" spans="1:10" x14ac:dyDescent="0.25">
      <c r="A142">
        <v>150060802</v>
      </c>
      <c r="B142" t="s">
        <v>99</v>
      </c>
      <c r="C142" s="104">
        <v>44968.975219907406</v>
      </c>
      <c r="D142" s="104">
        <v>44968</v>
      </c>
      <c r="E142" t="s">
        <v>791</v>
      </c>
      <c r="F142" t="s">
        <v>792</v>
      </c>
      <c r="G142" t="s">
        <v>788</v>
      </c>
      <c r="H142">
        <v>64</v>
      </c>
      <c r="I142" t="s">
        <v>789</v>
      </c>
      <c r="J142" t="s">
        <v>790</v>
      </c>
    </row>
    <row r="143" spans="1:10" x14ac:dyDescent="0.25">
      <c r="A143">
        <v>150060802</v>
      </c>
      <c r="B143" t="s">
        <v>99</v>
      </c>
      <c r="C143" s="104">
        <v>44968.975277777776</v>
      </c>
      <c r="D143" s="104">
        <v>44968</v>
      </c>
      <c r="E143" t="s">
        <v>791</v>
      </c>
      <c r="F143" t="s">
        <v>792</v>
      </c>
      <c r="G143" t="s">
        <v>788</v>
      </c>
      <c r="H143">
        <v>64</v>
      </c>
      <c r="I143" t="s">
        <v>789</v>
      </c>
      <c r="J143" t="s">
        <v>790</v>
      </c>
    </row>
    <row r="144" spans="1:10" x14ac:dyDescent="0.25">
      <c r="A144">
        <v>150060802</v>
      </c>
      <c r="B144" t="s">
        <v>99</v>
      </c>
      <c r="C144" s="104">
        <v>44968.975289351853</v>
      </c>
      <c r="D144" s="104">
        <v>44968</v>
      </c>
      <c r="E144" t="s">
        <v>791</v>
      </c>
      <c r="F144" t="s">
        <v>792</v>
      </c>
      <c r="G144" t="s">
        <v>788</v>
      </c>
      <c r="H144">
        <v>14</v>
      </c>
      <c r="I144" t="s">
        <v>789</v>
      </c>
      <c r="J144" t="s">
        <v>790</v>
      </c>
    </row>
    <row r="145" spans="1:10" x14ac:dyDescent="0.25">
      <c r="A145">
        <v>150060802</v>
      </c>
      <c r="B145" t="s">
        <v>99</v>
      </c>
      <c r="C145" s="104">
        <v>44968.989004629628</v>
      </c>
      <c r="D145" s="104">
        <v>44968</v>
      </c>
      <c r="E145" t="s">
        <v>791</v>
      </c>
      <c r="F145" t="s">
        <v>792</v>
      </c>
      <c r="G145" t="s">
        <v>788</v>
      </c>
      <c r="H145">
        <v>57</v>
      </c>
      <c r="I145" t="s">
        <v>789</v>
      </c>
      <c r="J145" t="s">
        <v>790</v>
      </c>
    </row>
    <row r="146" spans="1:10" x14ac:dyDescent="0.25">
      <c r="A146">
        <v>150060802</v>
      </c>
      <c r="B146" t="s">
        <v>99</v>
      </c>
      <c r="C146" s="104">
        <v>44970.287777777776</v>
      </c>
      <c r="D146" s="104">
        <v>44970</v>
      </c>
      <c r="E146" t="s">
        <v>791</v>
      </c>
      <c r="F146" t="s">
        <v>792</v>
      </c>
      <c r="G146" t="s">
        <v>788</v>
      </c>
      <c r="H146">
        <v>64</v>
      </c>
      <c r="I146" t="s">
        <v>789</v>
      </c>
      <c r="J146" t="s">
        <v>790</v>
      </c>
    </row>
    <row r="147" spans="1:10" x14ac:dyDescent="0.25">
      <c r="A147">
        <v>150060802</v>
      </c>
      <c r="B147" t="s">
        <v>99</v>
      </c>
      <c r="C147" s="104">
        <v>44970.287824074076</v>
      </c>
      <c r="D147" s="104">
        <v>44970</v>
      </c>
      <c r="E147" t="s">
        <v>791</v>
      </c>
      <c r="F147" t="s">
        <v>792</v>
      </c>
      <c r="G147" t="s">
        <v>788</v>
      </c>
      <c r="H147">
        <v>64</v>
      </c>
      <c r="I147" t="s">
        <v>789</v>
      </c>
      <c r="J147" t="s">
        <v>790</v>
      </c>
    </row>
    <row r="148" spans="1:10" x14ac:dyDescent="0.25">
      <c r="A148">
        <v>150060802</v>
      </c>
      <c r="B148" t="s">
        <v>99</v>
      </c>
      <c r="C148" s="104">
        <v>44970.319328703707</v>
      </c>
      <c r="D148" s="104">
        <v>44970</v>
      </c>
      <c r="E148" t="s">
        <v>791</v>
      </c>
      <c r="F148" t="s">
        <v>792</v>
      </c>
      <c r="G148" t="s">
        <v>788</v>
      </c>
      <c r="H148">
        <v>42</v>
      </c>
      <c r="I148" t="s">
        <v>789</v>
      </c>
      <c r="J148" t="s">
        <v>790</v>
      </c>
    </row>
    <row r="149" spans="1:10" x14ac:dyDescent="0.25">
      <c r="A149">
        <v>150060803</v>
      </c>
      <c r="B149" t="s">
        <v>100</v>
      </c>
      <c r="C149" s="104">
        <v>44968.662777777776</v>
      </c>
      <c r="D149" s="104">
        <v>44968</v>
      </c>
      <c r="E149" t="s">
        <v>791</v>
      </c>
      <c r="F149" t="s">
        <v>792</v>
      </c>
      <c r="G149" t="s">
        <v>788</v>
      </c>
      <c r="H149">
        <v>50</v>
      </c>
      <c r="I149" t="s">
        <v>789</v>
      </c>
      <c r="J149" t="s">
        <v>790</v>
      </c>
    </row>
    <row r="150" spans="1:10" x14ac:dyDescent="0.25">
      <c r="A150">
        <v>150060803</v>
      </c>
      <c r="B150" t="s">
        <v>100</v>
      </c>
      <c r="C150" s="104">
        <v>44968.662789351853</v>
      </c>
      <c r="D150" s="104">
        <v>44968</v>
      </c>
      <c r="E150" t="s">
        <v>791</v>
      </c>
      <c r="F150" t="s">
        <v>792</v>
      </c>
      <c r="G150" t="s">
        <v>788</v>
      </c>
      <c r="H150">
        <v>16</v>
      </c>
      <c r="I150" t="s">
        <v>789</v>
      </c>
      <c r="J150" t="s">
        <v>790</v>
      </c>
    </row>
    <row r="151" spans="1:10" x14ac:dyDescent="0.25">
      <c r="A151">
        <v>150060803</v>
      </c>
      <c r="B151" t="s">
        <v>100</v>
      </c>
      <c r="C151" s="104">
        <v>44968.662812499999</v>
      </c>
      <c r="D151" s="104">
        <v>44968</v>
      </c>
      <c r="E151" t="s">
        <v>791</v>
      </c>
      <c r="F151" t="s">
        <v>792</v>
      </c>
      <c r="G151" t="s">
        <v>788</v>
      </c>
      <c r="H151">
        <v>48</v>
      </c>
      <c r="I151" t="s">
        <v>789</v>
      </c>
      <c r="J151" t="s">
        <v>790</v>
      </c>
    </row>
    <row r="152" spans="1:10" x14ac:dyDescent="0.25">
      <c r="A152">
        <v>150060803</v>
      </c>
      <c r="B152" t="s">
        <v>100</v>
      </c>
      <c r="C152" s="104">
        <v>44968.662824074076</v>
      </c>
      <c r="D152" s="104">
        <v>44968</v>
      </c>
      <c r="E152" t="s">
        <v>791</v>
      </c>
      <c r="F152" t="s">
        <v>792</v>
      </c>
      <c r="G152" t="s">
        <v>788</v>
      </c>
      <c r="H152">
        <v>16</v>
      </c>
      <c r="I152" t="s">
        <v>789</v>
      </c>
      <c r="J152" t="s">
        <v>790</v>
      </c>
    </row>
    <row r="153" spans="1:10" x14ac:dyDescent="0.25">
      <c r="A153">
        <v>150060803</v>
      </c>
      <c r="B153" t="s">
        <v>100</v>
      </c>
      <c r="C153" s="104">
        <v>44968.662835648145</v>
      </c>
      <c r="D153" s="104">
        <v>44968</v>
      </c>
      <c r="E153" t="s">
        <v>791</v>
      </c>
      <c r="F153" t="s">
        <v>792</v>
      </c>
      <c r="G153" t="s">
        <v>788</v>
      </c>
      <c r="H153">
        <v>16</v>
      </c>
      <c r="I153" t="s">
        <v>789</v>
      </c>
      <c r="J153" t="s">
        <v>790</v>
      </c>
    </row>
    <row r="154" spans="1:10" x14ac:dyDescent="0.25">
      <c r="A154">
        <v>150060803</v>
      </c>
      <c r="B154" t="s">
        <v>100</v>
      </c>
      <c r="C154" s="104">
        <v>44968.662847222222</v>
      </c>
      <c r="D154" s="104">
        <v>44968</v>
      </c>
      <c r="E154" t="s">
        <v>791</v>
      </c>
      <c r="F154" t="s">
        <v>792</v>
      </c>
      <c r="G154" t="s">
        <v>788</v>
      </c>
      <c r="H154">
        <v>48</v>
      </c>
      <c r="I154" t="s">
        <v>789</v>
      </c>
      <c r="J154" t="s">
        <v>790</v>
      </c>
    </row>
    <row r="155" spans="1:10" x14ac:dyDescent="0.25">
      <c r="A155">
        <v>150060803</v>
      </c>
      <c r="B155" t="s">
        <v>100</v>
      </c>
      <c r="C155" s="104">
        <v>44968.662858796299</v>
      </c>
      <c r="D155" s="104">
        <v>44968</v>
      </c>
      <c r="E155" t="s">
        <v>791</v>
      </c>
      <c r="F155" t="s">
        <v>792</v>
      </c>
      <c r="G155" t="s">
        <v>788</v>
      </c>
      <c r="H155">
        <v>48</v>
      </c>
      <c r="I155" t="s">
        <v>789</v>
      </c>
      <c r="J155" t="s">
        <v>790</v>
      </c>
    </row>
    <row r="156" spans="1:10" x14ac:dyDescent="0.25">
      <c r="A156">
        <v>150060803</v>
      </c>
      <c r="B156" t="s">
        <v>100</v>
      </c>
      <c r="C156" s="104">
        <v>44968.975231481483</v>
      </c>
      <c r="D156" s="104">
        <v>44968</v>
      </c>
      <c r="E156" t="s">
        <v>791</v>
      </c>
      <c r="F156" t="s">
        <v>792</v>
      </c>
      <c r="G156" t="s">
        <v>788</v>
      </c>
      <c r="H156">
        <v>64</v>
      </c>
      <c r="I156" t="s">
        <v>789</v>
      </c>
      <c r="J156" t="s">
        <v>790</v>
      </c>
    </row>
    <row r="157" spans="1:10" x14ac:dyDescent="0.25">
      <c r="A157">
        <v>150060803</v>
      </c>
      <c r="B157" t="s">
        <v>100</v>
      </c>
      <c r="C157" s="104">
        <v>44968.975243055553</v>
      </c>
      <c r="D157" s="104">
        <v>44968</v>
      </c>
      <c r="E157" t="s">
        <v>791</v>
      </c>
      <c r="F157" t="s">
        <v>792</v>
      </c>
      <c r="G157" t="s">
        <v>788</v>
      </c>
      <c r="H157">
        <v>64</v>
      </c>
      <c r="I157" t="s">
        <v>789</v>
      </c>
      <c r="J157" t="s">
        <v>790</v>
      </c>
    </row>
    <row r="158" spans="1:10" x14ac:dyDescent="0.25">
      <c r="A158">
        <v>150060803</v>
      </c>
      <c r="B158" t="s">
        <v>100</v>
      </c>
      <c r="C158" s="104">
        <v>44968.975266203706</v>
      </c>
      <c r="D158" s="104">
        <v>44968</v>
      </c>
      <c r="E158" t="s">
        <v>791</v>
      </c>
      <c r="F158" t="s">
        <v>792</v>
      </c>
      <c r="G158" t="s">
        <v>788</v>
      </c>
      <c r="H158">
        <v>64</v>
      </c>
      <c r="I158" t="s">
        <v>789</v>
      </c>
      <c r="J158" t="s">
        <v>790</v>
      </c>
    </row>
    <row r="159" spans="1:10" x14ac:dyDescent="0.25">
      <c r="A159">
        <v>150060803</v>
      </c>
      <c r="B159" t="s">
        <v>100</v>
      </c>
      <c r="C159" s="104">
        <v>44968.975300925929</v>
      </c>
      <c r="D159" s="104">
        <v>44968</v>
      </c>
      <c r="E159" t="s">
        <v>791</v>
      </c>
      <c r="F159" t="s">
        <v>792</v>
      </c>
      <c r="G159" t="s">
        <v>788</v>
      </c>
      <c r="H159">
        <v>14</v>
      </c>
      <c r="I159" t="s">
        <v>789</v>
      </c>
      <c r="J159" t="s">
        <v>790</v>
      </c>
    </row>
    <row r="160" spans="1:10" x14ac:dyDescent="0.25">
      <c r="A160">
        <v>150060803</v>
      </c>
      <c r="B160" t="s">
        <v>100</v>
      </c>
      <c r="C160" s="104">
        <v>44968.989016203705</v>
      </c>
      <c r="D160" s="104">
        <v>44968</v>
      </c>
      <c r="E160" t="s">
        <v>791</v>
      </c>
      <c r="F160" t="s">
        <v>792</v>
      </c>
      <c r="G160" t="s">
        <v>788</v>
      </c>
      <c r="H160">
        <v>57</v>
      </c>
      <c r="I160" t="s">
        <v>789</v>
      </c>
      <c r="J160" t="s">
        <v>790</v>
      </c>
    </row>
    <row r="161" spans="1:10" x14ac:dyDescent="0.25">
      <c r="A161">
        <v>150060803</v>
      </c>
      <c r="B161" t="s">
        <v>100</v>
      </c>
      <c r="C161" s="104">
        <v>44970.287731481483</v>
      </c>
      <c r="D161" s="104">
        <v>44970</v>
      </c>
      <c r="E161" t="s">
        <v>791</v>
      </c>
      <c r="F161" t="s">
        <v>792</v>
      </c>
      <c r="G161" t="s">
        <v>788</v>
      </c>
      <c r="H161" s="89">
        <v>64</v>
      </c>
      <c r="I161" t="s">
        <v>789</v>
      </c>
      <c r="J161" t="s">
        <v>790</v>
      </c>
    </row>
    <row r="162" spans="1:10" x14ac:dyDescent="0.25">
      <c r="A162">
        <v>150060803</v>
      </c>
      <c r="B162" t="s">
        <v>100</v>
      </c>
      <c r="C162" s="104">
        <v>44970.287800925929</v>
      </c>
      <c r="D162" s="104">
        <v>44970</v>
      </c>
      <c r="E162" t="s">
        <v>791</v>
      </c>
      <c r="F162" t="s">
        <v>792</v>
      </c>
      <c r="G162" t="s">
        <v>788</v>
      </c>
      <c r="H162">
        <v>64</v>
      </c>
      <c r="I162" t="s">
        <v>789</v>
      </c>
      <c r="J162" t="s">
        <v>790</v>
      </c>
    </row>
    <row r="163" spans="1:10" x14ac:dyDescent="0.25">
      <c r="A163">
        <v>150060803</v>
      </c>
      <c r="B163" t="s">
        <v>100</v>
      </c>
      <c r="C163" s="104">
        <v>44970.319305555553</v>
      </c>
      <c r="D163" s="104">
        <v>44970</v>
      </c>
      <c r="E163" t="s">
        <v>791</v>
      </c>
      <c r="F163" t="s">
        <v>792</v>
      </c>
      <c r="G163" t="s">
        <v>788</v>
      </c>
      <c r="H163">
        <v>42</v>
      </c>
      <c r="I163" t="s">
        <v>789</v>
      </c>
      <c r="J163" t="s">
        <v>790</v>
      </c>
    </row>
    <row r="164" spans="1:10" x14ac:dyDescent="0.25">
      <c r="A164">
        <v>150060804</v>
      </c>
      <c r="B164" t="s">
        <v>101</v>
      </c>
      <c r="C164" s="104">
        <v>44968.662499999999</v>
      </c>
      <c r="D164" s="104">
        <v>44968</v>
      </c>
      <c r="E164" t="s">
        <v>791</v>
      </c>
      <c r="F164" t="s">
        <v>792</v>
      </c>
      <c r="G164" t="s">
        <v>788</v>
      </c>
      <c r="H164">
        <v>48</v>
      </c>
      <c r="I164" t="s">
        <v>789</v>
      </c>
      <c r="J164" t="s">
        <v>790</v>
      </c>
    </row>
    <row r="165" spans="1:10" x14ac:dyDescent="0.25">
      <c r="A165">
        <v>150060804</v>
      </c>
      <c r="B165" t="s">
        <v>101</v>
      </c>
      <c r="C165" s="104">
        <v>44968.662511574075</v>
      </c>
      <c r="D165" s="104">
        <v>44968</v>
      </c>
      <c r="E165" t="s">
        <v>791</v>
      </c>
      <c r="F165" t="s">
        <v>792</v>
      </c>
      <c r="G165" t="s">
        <v>788</v>
      </c>
      <c r="H165">
        <v>48</v>
      </c>
      <c r="I165" t="s">
        <v>789</v>
      </c>
      <c r="J165" t="s">
        <v>790</v>
      </c>
    </row>
    <row r="166" spans="1:10" x14ac:dyDescent="0.25">
      <c r="A166">
        <v>150060804</v>
      </c>
      <c r="B166" t="s">
        <v>101</v>
      </c>
      <c r="C166" s="104">
        <v>44968.662523148145</v>
      </c>
      <c r="D166" s="104">
        <v>44968</v>
      </c>
      <c r="E166" t="s">
        <v>791</v>
      </c>
      <c r="F166" t="s">
        <v>792</v>
      </c>
      <c r="G166" t="s">
        <v>788</v>
      </c>
      <c r="H166">
        <v>48</v>
      </c>
      <c r="I166" t="s">
        <v>789</v>
      </c>
      <c r="J166" t="s">
        <v>790</v>
      </c>
    </row>
    <row r="167" spans="1:10" x14ac:dyDescent="0.25">
      <c r="A167">
        <v>150060804</v>
      </c>
      <c r="B167" t="s">
        <v>101</v>
      </c>
      <c r="C167" s="104">
        <v>44968.662534722222</v>
      </c>
      <c r="D167" s="104">
        <v>44968</v>
      </c>
      <c r="E167" t="s">
        <v>791</v>
      </c>
      <c r="F167" t="s">
        <v>792</v>
      </c>
      <c r="G167" t="s">
        <v>788</v>
      </c>
      <c r="H167">
        <v>48</v>
      </c>
      <c r="I167" t="s">
        <v>789</v>
      </c>
      <c r="J167" t="s">
        <v>790</v>
      </c>
    </row>
    <row r="168" spans="1:10" x14ac:dyDescent="0.25">
      <c r="A168">
        <v>150060804</v>
      </c>
      <c r="B168" t="s">
        <v>101</v>
      </c>
      <c r="C168" s="104">
        <v>44968.662546296298</v>
      </c>
      <c r="D168" s="104">
        <v>44968</v>
      </c>
      <c r="E168" t="s">
        <v>791</v>
      </c>
      <c r="F168" t="s">
        <v>792</v>
      </c>
      <c r="G168" t="s">
        <v>788</v>
      </c>
      <c r="H168">
        <v>48</v>
      </c>
      <c r="I168" t="s">
        <v>789</v>
      </c>
      <c r="J168" t="s">
        <v>790</v>
      </c>
    </row>
    <row r="169" spans="1:10" x14ac:dyDescent="0.25">
      <c r="A169">
        <v>150060804</v>
      </c>
      <c r="B169" t="s">
        <v>101</v>
      </c>
      <c r="C169" s="104">
        <v>44968.662557870368</v>
      </c>
      <c r="D169" s="104">
        <v>44968</v>
      </c>
      <c r="E169" t="s">
        <v>791</v>
      </c>
      <c r="F169" t="s">
        <v>792</v>
      </c>
      <c r="G169" t="s">
        <v>788</v>
      </c>
      <c r="H169">
        <v>48</v>
      </c>
      <c r="I169" t="s">
        <v>789</v>
      </c>
      <c r="J169" t="s">
        <v>790</v>
      </c>
    </row>
    <row r="170" spans="1:10" x14ac:dyDescent="0.25">
      <c r="A170">
        <v>150060804</v>
      </c>
      <c r="B170" t="s">
        <v>101</v>
      </c>
      <c r="C170" s="104">
        <v>44968.662569444445</v>
      </c>
      <c r="D170" s="104">
        <v>44968</v>
      </c>
      <c r="E170" t="s">
        <v>791</v>
      </c>
      <c r="F170" t="s">
        <v>792</v>
      </c>
      <c r="G170" t="s">
        <v>788</v>
      </c>
      <c r="H170">
        <v>18</v>
      </c>
      <c r="I170" t="s">
        <v>789</v>
      </c>
      <c r="J170" t="s">
        <v>790</v>
      </c>
    </row>
    <row r="171" spans="1:10" x14ac:dyDescent="0.25">
      <c r="A171">
        <v>150060804</v>
      </c>
      <c r="B171" t="s">
        <v>101</v>
      </c>
      <c r="C171" s="104">
        <v>44968.912708333337</v>
      </c>
      <c r="D171" s="104">
        <v>44968</v>
      </c>
      <c r="E171" t="s">
        <v>791</v>
      </c>
      <c r="F171" t="s">
        <v>792</v>
      </c>
      <c r="G171" t="s">
        <v>788</v>
      </c>
      <c r="H171" s="89">
        <v>48</v>
      </c>
      <c r="I171" t="s">
        <v>789</v>
      </c>
      <c r="J171" t="s">
        <v>790</v>
      </c>
    </row>
    <row r="172" spans="1:10" x14ac:dyDescent="0.25">
      <c r="A172">
        <v>150060804</v>
      </c>
      <c r="B172" t="s">
        <v>101</v>
      </c>
      <c r="C172" s="104">
        <v>44968.912731481483</v>
      </c>
      <c r="D172" s="104">
        <v>44968</v>
      </c>
      <c r="E172" t="s">
        <v>791</v>
      </c>
      <c r="F172" t="s">
        <v>792</v>
      </c>
      <c r="G172" t="s">
        <v>788</v>
      </c>
      <c r="H172" s="89">
        <v>30</v>
      </c>
      <c r="I172" t="s">
        <v>789</v>
      </c>
      <c r="J172" t="s">
        <v>790</v>
      </c>
    </row>
    <row r="173" spans="1:10" x14ac:dyDescent="0.25">
      <c r="A173">
        <v>150060804</v>
      </c>
      <c r="B173" t="s">
        <v>101</v>
      </c>
      <c r="C173" s="104">
        <v>44968.912731481483</v>
      </c>
      <c r="D173" s="104">
        <v>44968</v>
      </c>
      <c r="E173" t="s">
        <v>791</v>
      </c>
      <c r="F173" t="s">
        <v>792</v>
      </c>
      <c r="G173" t="s">
        <v>788</v>
      </c>
      <c r="H173" s="89">
        <v>63</v>
      </c>
      <c r="I173" t="s">
        <v>789</v>
      </c>
      <c r="J173" t="s">
        <v>790</v>
      </c>
    </row>
    <row r="174" spans="1:10" x14ac:dyDescent="0.25">
      <c r="A174">
        <v>150060804</v>
      </c>
      <c r="B174" t="s">
        <v>101</v>
      </c>
      <c r="C174" s="104">
        <v>44968.912743055553</v>
      </c>
      <c r="D174" s="104">
        <v>44968</v>
      </c>
      <c r="E174" t="s">
        <v>791</v>
      </c>
      <c r="F174" t="s">
        <v>792</v>
      </c>
      <c r="G174" t="s">
        <v>788</v>
      </c>
      <c r="H174" s="89">
        <v>63</v>
      </c>
      <c r="I174" t="s">
        <v>789</v>
      </c>
      <c r="J174" t="s">
        <v>790</v>
      </c>
    </row>
    <row r="175" spans="1:10" x14ac:dyDescent="0.25">
      <c r="A175">
        <v>150060804</v>
      </c>
      <c r="B175" t="s">
        <v>101</v>
      </c>
      <c r="C175" s="104">
        <v>44968.912754629629</v>
      </c>
      <c r="D175" s="104">
        <v>44968</v>
      </c>
      <c r="E175" t="s">
        <v>791</v>
      </c>
      <c r="F175" t="s">
        <v>792</v>
      </c>
      <c r="G175" t="s">
        <v>788</v>
      </c>
      <c r="H175" s="89">
        <v>63</v>
      </c>
      <c r="I175" t="s">
        <v>789</v>
      </c>
      <c r="J175" t="s">
        <v>790</v>
      </c>
    </row>
    <row r="176" spans="1:10" x14ac:dyDescent="0.25">
      <c r="A176">
        <v>150060804</v>
      </c>
      <c r="B176" t="s">
        <v>101</v>
      </c>
      <c r="C176" s="104">
        <v>44968.912766203706</v>
      </c>
      <c r="D176" s="104">
        <v>44968</v>
      </c>
      <c r="E176" t="s">
        <v>791</v>
      </c>
      <c r="F176" t="s">
        <v>792</v>
      </c>
      <c r="G176" t="s">
        <v>788</v>
      </c>
      <c r="H176" s="89">
        <v>63</v>
      </c>
      <c r="I176" t="s">
        <v>789</v>
      </c>
      <c r="J176" t="s">
        <v>790</v>
      </c>
    </row>
    <row r="177" spans="1:10" x14ac:dyDescent="0.25">
      <c r="A177">
        <v>150060804</v>
      </c>
      <c r="B177" t="s">
        <v>101</v>
      </c>
      <c r="C177" s="104">
        <v>44968.912777777776</v>
      </c>
      <c r="D177" s="104">
        <v>44968</v>
      </c>
      <c r="E177" t="s">
        <v>791</v>
      </c>
      <c r="F177" t="s">
        <v>792</v>
      </c>
      <c r="G177" t="s">
        <v>788</v>
      </c>
      <c r="H177" s="89">
        <v>63</v>
      </c>
      <c r="I177" t="s">
        <v>789</v>
      </c>
      <c r="J177" t="s">
        <v>790</v>
      </c>
    </row>
    <row r="178" spans="1:10" x14ac:dyDescent="0.25">
      <c r="A178">
        <v>150060804</v>
      </c>
      <c r="B178" t="s">
        <v>101</v>
      </c>
      <c r="C178" s="104">
        <v>44968.912789351853</v>
      </c>
      <c r="D178" s="104">
        <v>44968</v>
      </c>
      <c r="E178" t="s">
        <v>791</v>
      </c>
      <c r="F178" t="s">
        <v>792</v>
      </c>
      <c r="G178" t="s">
        <v>788</v>
      </c>
      <c r="H178" s="89">
        <v>63</v>
      </c>
      <c r="I178" t="s">
        <v>789</v>
      </c>
      <c r="J178" t="s">
        <v>790</v>
      </c>
    </row>
    <row r="179" spans="1:10" x14ac:dyDescent="0.25">
      <c r="A179">
        <v>150060805</v>
      </c>
      <c r="B179" t="s">
        <v>102</v>
      </c>
      <c r="C179" s="104">
        <v>44968.662581018521</v>
      </c>
      <c r="D179" s="104">
        <v>44968</v>
      </c>
      <c r="E179" t="s">
        <v>791</v>
      </c>
      <c r="F179" t="s">
        <v>792</v>
      </c>
      <c r="G179" t="s">
        <v>788</v>
      </c>
      <c r="H179">
        <v>18</v>
      </c>
      <c r="I179" t="s">
        <v>789</v>
      </c>
      <c r="J179" t="s">
        <v>790</v>
      </c>
    </row>
    <row r="180" spans="1:10" x14ac:dyDescent="0.25">
      <c r="A180">
        <v>150060805</v>
      </c>
      <c r="B180" t="s">
        <v>102</v>
      </c>
      <c r="C180" s="104">
        <v>44968.662592592591</v>
      </c>
      <c r="D180" s="104">
        <v>44968</v>
      </c>
      <c r="E180" t="s">
        <v>791</v>
      </c>
      <c r="F180" t="s">
        <v>792</v>
      </c>
      <c r="G180" t="s">
        <v>788</v>
      </c>
      <c r="H180">
        <v>48</v>
      </c>
      <c r="I180" t="s">
        <v>789</v>
      </c>
      <c r="J180" t="s">
        <v>790</v>
      </c>
    </row>
    <row r="181" spans="1:10" x14ac:dyDescent="0.25">
      <c r="A181">
        <v>150060805</v>
      </c>
      <c r="B181" t="s">
        <v>102</v>
      </c>
      <c r="C181" s="104">
        <v>44968.662604166668</v>
      </c>
      <c r="D181" s="104">
        <v>44968</v>
      </c>
      <c r="E181" t="s">
        <v>791</v>
      </c>
      <c r="F181" t="s">
        <v>792</v>
      </c>
      <c r="G181" t="s">
        <v>788</v>
      </c>
      <c r="H181">
        <v>48</v>
      </c>
      <c r="I181" t="s">
        <v>789</v>
      </c>
      <c r="J181" t="s">
        <v>790</v>
      </c>
    </row>
    <row r="182" spans="1:10" x14ac:dyDescent="0.25">
      <c r="A182">
        <v>150060805</v>
      </c>
      <c r="B182" t="s">
        <v>102</v>
      </c>
      <c r="C182" s="104">
        <v>44968.662615740737</v>
      </c>
      <c r="D182" s="104">
        <v>44968</v>
      </c>
      <c r="E182" t="s">
        <v>791</v>
      </c>
      <c r="F182" t="s">
        <v>792</v>
      </c>
      <c r="G182" t="s">
        <v>788</v>
      </c>
      <c r="H182">
        <v>48</v>
      </c>
      <c r="I182" t="s">
        <v>789</v>
      </c>
      <c r="J182" t="s">
        <v>790</v>
      </c>
    </row>
    <row r="183" spans="1:10" x14ac:dyDescent="0.25">
      <c r="A183">
        <v>150060805</v>
      </c>
      <c r="B183" t="s">
        <v>102</v>
      </c>
      <c r="C183" s="104">
        <v>44968.662627314814</v>
      </c>
      <c r="D183" s="104">
        <v>44968</v>
      </c>
      <c r="E183" t="s">
        <v>791</v>
      </c>
      <c r="F183" t="s">
        <v>792</v>
      </c>
      <c r="G183" t="s">
        <v>788</v>
      </c>
      <c r="H183">
        <v>48</v>
      </c>
      <c r="I183" t="s">
        <v>789</v>
      </c>
      <c r="J183" t="s">
        <v>790</v>
      </c>
    </row>
    <row r="184" spans="1:10" x14ac:dyDescent="0.25">
      <c r="A184">
        <v>150060805</v>
      </c>
      <c r="B184" t="s">
        <v>102</v>
      </c>
      <c r="C184" s="104">
        <v>44968.662638888891</v>
      </c>
      <c r="D184" s="104">
        <v>44968</v>
      </c>
      <c r="E184" t="s">
        <v>791</v>
      </c>
      <c r="F184" t="s">
        <v>792</v>
      </c>
      <c r="G184" t="s">
        <v>788</v>
      </c>
      <c r="H184">
        <v>48</v>
      </c>
      <c r="I184" t="s">
        <v>789</v>
      </c>
      <c r="J184" t="s">
        <v>790</v>
      </c>
    </row>
    <row r="185" spans="1:10" x14ac:dyDescent="0.25">
      <c r="A185">
        <v>150060805</v>
      </c>
      <c r="B185" t="s">
        <v>102</v>
      </c>
      <c r="C185" s="104">
        <v>44968.66265046296</v>
      </c>
      <c r="D185" s="104">
        <v>44968</v>
      </c>
      <c r="E185" t="s">
        <v>791</v>
      </c>
      <c r="F185" t="s">
        <v>792</v>
      </c>
      <c r="G185" t="s">
        <v>788</v>
      </c>
      <c r="H185">
        <v>48</v>
      </c>
      <c r="I185" t="s">
        <v>789</v>
      </c>
      <c r="J185" t="s">
        <v>790</v>
      </c>
    </row>
    <row r="186" spans="1:10" x14ac:dyDescent="0.25">
      <c r="A186">
        <v>150060805</v>
      </c>
      <c r="B186" t="s">
        <v>102</v>
      </c>
      <c r="C186" s="104">
        <v>44968.912812499999</v>
      </c>
      <c r="D186" s="104">
        <v>44968</v>
      </c>
      <c r="E186" t="s">
        <v>791</v>
      </c>
      <c r="F186" t="s">
        <v>792</v>
      </c>
      <c r="G186" t="s">
        <v>788</v>
      </c>
      <c r="H186" s="89">
        <v>48</v>
      </c>
      <c r="I186" t="s">
        <v>789</v>
      </c>
      <c r="J186" t="s">
        <v>790</v>
      </c>
    </row>
    <row r="187" spans="1:10" x14ac:dyDescent="0.25">
      <c r="A187">
        <v>150060805</v>
      </c>
      <c r="B187" t="s">
        <v>102</v>
      </c>
      <c r="C187" s="104">
        <v>44968.912824074076</v>
      </c>
      <c r="D187" s="104">
        <v>44968</v>
      </c>
      <c r="E187" t="s">
        <v>791</v>
      </c>
      <c r="F187" t="s">
        <v>792</v>
      </c>
      <c r="G187" t="s">
        <v>788</v>
      </c>
      <c r="H187" s="89">
        <v>63</v>
      </c>
      <c r="I187" t="s">
        <v>789</v>
      </c>
      <c r="J187" t="s">
        <v>790</v>
      </c>
    </row>
    <row r="188" spans="1:10" x14ac:dyDescent="0.25">
      <c r="A188">
        <v>150060805</v>
      </c>
      <c r="B188" t="s">
        <v>102</v>
      </c>
      <c r="C188" s="104">
        <v>44968.912835648145</v>
      </c>
      <c r="D188" s="104">
        <v>44968</v>
      </c>
      <c r="E188" t="s">
        <v>791</v>
      </c>
      <c r="F188" t="s">
        <v>792</v>
      </c>
      <c r="G188" t="s">
        <v>788</v>
      </c>
      <c r="H188" s="89">
        <v>63</v>
      </c>
      <c r="I188" t="s">
        <v>789</v>
      </c>
      <c r="J188" t="s">
        <v>790</v>
      </c>
    </row>
    <row r="189" spans="1:10" x14ac:dyDescent="0.25">
      <c r="A189">
        <v>150060805</v>
      </c>
      <c r="B189" t="s">
        <v>102</v>
      </c>
      <c r="C189" s="104">
        <v>44968.912847222222</v>
      </c>
      <c r="D189" s="104">
        <v>44968</v>
      </c>
      <c r="E189" t="s">
        <v>791</v>
      </c>
      <c r="F189" t="s">
        <v>792</v>
      </c>
      <c r="G189" t="s">
        <v>788</v>
      </c>
      <c r="H189" s="89">
        <v>63</v>
      </c>
      <c r="I189" t="s">
        <v>789</v>
      </c>
      <c r="J189" t="s">
        <v>790</v>
      </c>
    </row>
    <row r="190" spans="1:10" x14ac:dyDescent="0.25">
      <c r="A190">
        <v>150060805</v>
      </c>
      <c r="B190" t="s">
        <v>102</v>
      </c>
      <c r="C190" s="104">
        <v>44968.912858796299</v>
      </c>
      <c r="D190" s="104">
        <v>44968</v>
      </c>
      <c r="E190" t="s">
        <v>791</v>
      </c>
      <c r="F190" t="s">
        <v>792</v>
      </c>
      <c r="G190" t="s">
        <v>788</v>
      </c>
      <c r="H190" s="89">
        <v>63</v>
      </c>
      <c r="I190" t="s">
        <v>789</v>
      </c>
      <c r="J190" t="s">
        <v>790</v>
      </c>
    </row>
    <row r="191" spans="1:10" x14ac:dyDescent="0.25">
      <c r="A191">
        <v>150060805</v>
      </c>
      <c r="B191" t="s">
        <v>102</v>
      </c>
      <c r="C191" s="104">
        <v>44968.912870370368</v>
      </c>
      <c r="D191" s="104">
        <v>44968</v>
      </c>
      <c r="E191" t="s">
        <v>791</v>
      </c>
      <c r="F191" t="s">
        <v>792</v>
      </c>
      <c r="G191" t="s">
        <v>788</v>
      </c>
      <c r="H191" s="89">
        <v>63</v>
      </c>
      <c r="I191" t="s">
        <v>789</v>
      </c>
      <c r="J191" t="s">
        <v>790</v>
      </c>
    </row>
    <row r="192" spans="1:10" x14ac:dyDescent="0.25">
      <c r="A192">
        <v>150060805</v>
      </c>
      <c r="B192" t="s">
        <v>102</v>
      </c>
      <c r="C192" s="104">
        <v>44968.912870370368</v>
      </c>
      <c r="D192" s="104">
        <v>44968</v>
      </c>
      <c r="E192" t="s">
        <v>791</v>
      </c>
      <c r="F192" t="s">
        <v>792</v>
      </c>
      <c r="G192" t="s">
        <v>788</v>
      </c>
      <c r="H192" s="89">
        <v>63</v>
      </c>
      <c r="I192" t="s">
        <v>789</v>
      </c>
      <c r="J192" t="s">
        <v>790</v>
      </c>
    </row>
    <row r="193" spans="1:10" x14ac:dyDescent="0.25">
      <c r="A193">
        <v>150060805</v>
      </c>
      <c r="B193" t="s">
        <v>102</v>
      </c>
      <c r="C193" s="104">
        <v>44968.912881944445</v>
      </c>
      <c r="D193" s="104">
        <v>44968</v>
      </c>
      <c r="E193" t="s">
        <v>791</v>
      </c>
      <c r="F193" t="s">
        <v>792</v>
      </c>
      <c r="G193" t="s">
        <v>788</v>
      </c>
      <c r="H193">
        <v>30</v>
      </c>
      <c r="I193" t="s">
        <v>789</v>
      </c>
      <c r="J193" t="s">
        <v>790</v>
      </c>
    </row>
    <row r="194" spans="1:10" x14ac:dyDescent="0.25">
      <c r="A194">
        <v>150060835</v>
      </c>
      <c r="B194" t="s">
        <v>112</v>
      </c>
      <c r="C194" s="104">
        <v>44967.735914351855</v>
      </c>
      <c r="D194" s="104">
        <v>44967</v>
      </c>
      <c r="E194" t="s">
        <v>791</v>
      </c>
      <c r="F194" t="s">
        <v>792</v>
      </c>
      <c r="G194" t="s">
        <v>788</v>
      </c>
      <c r="H194">
        <v>300</v>
      </c>
      <c r="I194" t="s">
        <v>789</v>
      </c>
      <c r="J194" t="s">
        <v>790</v>
      </c>
    </row>
    <row r="195" spans="1:10" x14ac:dyDescent="0.25">
      <c r="A195">
        <v>150060835</v>
      </c>
      <c r="B195" t="s">
        <v>112</v>
      </c>
      <c r="C195" s="104">
        <v>44967.735925925925</v>
      </c>
      <c r="D195" s="104">
        <v>44967</v>
      </c>
      <c r="E195" t="s">
        <v>791</v>
      </c>
      <c r="F195" t="s">
        <v>792</v>
      </c>
      <c r="G195" t="s">
        <v>788</v>
      </c>
      <c r="H195">
        <v>311</v>
      </c>
      <c r="I195" t="s">
        <v>789</v>
      </c>
      <c r="J195" t="s">
        <v>790</v>
      </c>
    </row>
    <row r="196" spans="1:10" x14ac:dyDescent="0.25">
      <c r="A196">
        <v>150060835</v>
      </c>
      <c r="B196" t="s">
        <v>112</v>
      </c>
      <c r="C196" s="104">
        <v>44968.315381944441</v>
      </c>
      <c r="D196" s="104">
        <v>44968</v>
      </c>
      <c r="E196" t="s">
        <v>791</v>
      </c>
      <c r="F196" t="s">
        <v>792</v>
      </c>
      <c r="G196" t="s">
        <v>788</v>
      </c>
      <c r="H196">
        <v>164</v>
      </c>
      <c r="I196" t="s">
        <v>789</v>
      </c>
      <c r="J196" t="s">
        <v>790</v>
      </c>
    </row>
    <row r="197" spans="1:10" x14ac:dyDescent="0.25">
      <c r="A197">
        <v>150060835</v>
      </c>
      <c r="B197" t="s">
        <v>112</v>
      </c>
      <c r="C197" s="104">
        <v>44968.325960648152</v>
      </c>
      <c r="D197" s="104">
        <v>44968</v>
      </c>
      <c r="E197" t="s">
        <v>791</v>
      </c>
      <c r="F197" t="s">
        <v>792</v>
      </c>
      <c r="G197" t="s">
        <v>788</v>
      </c>
      <c r="H197">
        <v>114</v>
      </c>
      <c r="I197" t="s">
        <v>789</v>
      </c>
      <c r="J197" t="s">
        <v>790</v>
      </c>
    </row>
    <row r="198" spans="1:10" x14ac:dyDescent="0.25">
      <c r="A198">
        <v>150061330</v>
      </c>
      <c r="B198" t="s">
        <v>545</v>
      </c>
      <c r="C198" s="104">
        <v>44967.642187500001</v>
      </c>
      <c r="D198" s="104">
        <v>44967</v>
      </c>
      <c r="E198" t="s">
        <v>791</v>
      </c>
      <c r="F198" t="s">
        <v>792</v>
      </c>
      <c r="G198" t="s">
        <v>788</v>
      </c>
      <c r="H198">
        <v>400</v>
      </c>
      <c r="I198" t="s">
        <v>789</v>
      </c>
      <c r="J198" t="s">
        <v>790</v>
      </c>
    </row>
    <row r="199" spans="1:10" x14ac:dyDescent="0.25">
      <c r="A199">
        <v>150061330</v>
      </c>
      <c r="B199" t="s">
        <v>545</v>
      </c>
      <c r="C199" s="104">
        <v>44967.642199074071</v>
      </c>
      <c r="D199" s="104">
        <v>44967</v>
      </c>
      <c r="E199" t="s">
        <v>791</v>
      </c>
      <c r="F199" t="s">
        <v>792</v>
      </c>
      <c r="G199" t="s">
        <v>788</v>
      </c>
      <c r="H199">
        <v>230</v>
      </c>
      <c r="I199" t="s">
        <v>789</v>
      </c>
      <c r="J199" t="s">
        <v>790</v>
      </c>
    </row>
    <row r="200" spans="1:10" x14ac:dyDescent="0.25">
      <c r="A200">
        <v>150061330</v>
      </c>
      <c r="B200" t="s">
        <v>545</v>
      </c>
      <c r="C200" s="104">
        <v>44967.732719907406</v>
      </c>
      <c r="D200" s="104">
        <v>44967</v>
      </c>
      <c r="E200" t="s">
        <v>791</v>
      </c>
      <c r="F200" t="s">
        <v>792</v>
      </c>
      <c r="G200" t="s">
        <v>788</v>
      </c>
      <c r="H200">
        <v>400</v>
      </c>
      <c r="I200" t="s">
        <v>789</v>
      </c>
      <c r="J200" t="s">
        <v>790</v>
      </c>
    </row>
    <row r="201" spans="1:10" x14ac:dyDescent="0.25">
      <c r="A201">
        <v>150061330</v>
      </c>
      <c r="B201" t="s">
        <v>545</v>
      </c>
      <c r="C201" s="104">
        <v>44967.745706018519</v>
      </c>
      <c r="D201" s="104">
        <v>44967</v>
      </c>
      <c r="E201" t="s">
        <v>791</v>
      </c>
      <c r="F201" t="s">
        <v>792</v>
      </c>
      <c r="G201" t="s">
        <v>788</v>
      </c>
      <c r="H201">
        <v>90</v>
      </c>
      <c r="I201" t="s">
        <v>789</v>
      </c>
      <c r="J201" t="s">
        <v>790</v>
      </c>
    </row>
    <row r="202" spans="1:10" x14ac:dyDescent="0.25">
      <c r="A202">
        <v>150061330</v>
      </c>
      <c r="B202" t="s">
        <v>545</v>
      </c>
      <c r="C202" s="104">
        <v>44967.995972222219</v>
      </c>
      <c r="D202" s="104">
        <v>44967</v>
      </c>
      <c r="E202" t="s">
        <v>791</v>
      </c>
      <c r="F202" t="s">
        <v>792</v>
      </c>
      <c r="G202" t="s">
        <v>788</v>
      </c>
      <c r="H202">
        <v>400</v>
      </c>
      <c r="I202" t="s">
        <v>789</v>
      </c>
      <c r="J202" t="s">
        <v>790</v>
      </c>
    </row>
    <row r="203" spans="1:10" x14ac:dyDescent="0.25">
      <c r="A203">
        <v>150061330</v>
      </c>
      <c r="B203" t="s">
        <v>545</v>
      </c>
      <c r="C203" s="104">
        <v>44967.995983796296</v>
      </c>
      <c r="D203" s="104">
        <v>44967</v>
      </c>
      <c r="E203" t="s">
        <v>791</v>
      </c>
      <c r="F203" t="s">
        <v>792</v>
      </c>
      <c r="G203" t="s">
        <v>788</v>
      </c>
      <c r="H203">
        <v>310</v>
      </c>
      <c r="I203" t="s">
        <v>789</v>
      </c>
      <c r="J203" t="s">
        <v>790</v>
      </c>
    </row>
    <row r="204" spans="1:10" x14ac:dyDescent="0.25">
      <c r="A204">
        <v>150061330</v>
      </c>
      <c r="B204" t="s">
        <v>545</v>
      </c>
      <c r="C204" s="104">
        <v>44967.995995370373</v>
      </c>
      <c r="D204" s="104">
        <v>44967</v>
      </c>
      <c r="E204" t="s">
        <v>791</v>
      </c>
      <c r="F204" t="s">
        <v>792</v>
      </c>
      <c r="G204" t="s">
        <v>788</v>
      </c>
      <c r="H204">
        <v>224</v>
      </c>
      <c r="I204" t="s">
        <v>789</v>
      </c>
      <c r="J204" t="s">
        <v>790</v>
      </c>
    </row>
    <row r="205" spans="1:10" x14ac:dyDescent="0.25">
      <c r="A205">
        <v>150061330</v>
      </c>
      <c r="B205" t="s">
        <v>545</v>
      </c>
      <c r="C205" s="104">
        <v>44968.321944444448</v>
      </c>
      <c r="D205" s="104">
        <v>44968</v>
      </c>
      <c r="E205" t="s">
        <v>791</v>
      </c>
      <c r="F205" t="s">
        <v>792</v>
      </c>
      <c r="G205" t="s">
        <v>788</v>
      </c>
      <c r="H205">
        <v>176</v>
      </c>
      <c r="I205" t="s">
        <v>789</v>
      </c>
      <c r="J205" t="s">
        <v>790</v>
      </c>
    </row>
    <row r="206" spans="1:10" x14ac:dyDescent="0.25">
      <c r="A206">
        <v>150061330</v>
      </c>
      <c r="B206" t="s">
        <v>545</v>
      </c>
      <c r="C206" s="104">
        <v>44968.321967592594</v>
      </c>
      <c r="D206" s="104">
        <v>44968</v>
      </c>
      <c r="E206" t="s">
        <v>791</v>
      </c>
      <c r="F206" t="s">
        <v>792</v>
      </c>
      <c r="G206" t="s">
        <v>788</v>
      </c>
      <c r="H206">
        <v>400</v>
      </c>
      <c r="I206" t="s">
        <v>789</v>
      </c>
      <c r="J206" t="s">
        <v>790</v>
      </c>
    </row>
    <row r="207" spans="1:10" x14ac:dyDescent="0.25">
      <c r="A207">
        <v>150061330</v>
      </c>
      <c r="B207" t="s">
        <v>545</v>
      </c>
      <c r="C207" s="104">
        <v>44968.32199074074</v>
      </c>
      <c r="D207" s="104">
        <v>44968</v>
      </c>
      <c r="E207" t="s">
        <v>791</v>
      </c>
      <c r="F207" t="s">
        <v>792</v>
      </c>
      <c r="G207" t="s">
        <v>788</v>
      </c>
      <c r="H207">
        <v>400</v>
      </c>
      <c r="I207" t="s">
        <v>789</v>
      </c>
      <c r="J207" t="s">
        <v>790</v>
      </c>
    </row>
    <row r="208" spans="1:10" x14ac:dyDescent="0.25">
      <c r="A208">
        <v>150061330</v>
      </c>
      <c r="B208" t="s">
        <v>545</v>
      </c>
      <c r="C208" s="104">
        <v>44968.325624999998</v>
      </c>
      <c r="D208" s="104">
        <v>44968</v>
      </c>
      <c r="E208" t="s">
        <v>791</v>
      </c>
      <c r="F208" t="s">
        <v>792</v>
      </c>
      <c r="G208" t="s">
        <v>788</v>
      </c>
      <c r="H208">
        <v>96</v>
      </c>
      <c r="I208" t="s">
        <v>789</v>
      </c>
      <c r="J208" t="s">
        <v>790</v>
      </c>
    </row>
    <row r="209" spans="1:10" x14ac:dyDescent="0.25">
      <c r="A209">
        <v>150061330</v>
      </c>
      <c r="B209" t="s">
        <v>545</v>
      </c>
      <c r="C209" s="104">
        <v>44968.603194444448</v>
      </c>
      <c r="D209" s="104">
        <v>44968</v>
      </c>
      <c r="E209" t="s">
        <v>791</v>
      </c>
      <c r="F209" t="s">
        <v>792</v>
      </c>
      <c r="G209" t="s">
        <v>788</v>
      </c>
      <c r="H209">
        <v>304</v>
      </c>
      <c r="I209" t="s">
        <v>789</v>
      </c>
      <c r="J209" t="s">
        <v>790</v>
      </c>
    </row>
    <row r="210" spans="1:10" x14ac:dyDescent="0.25">
      <c r="A210">
        <v>150061330</v>
      </c>
      <c r="B210" t="s">
        <v>545</v>
      </c>
      <c r="C210" s="104">
        <v>44968.603229166663</v>
      </c>
      <c r="D210" s="104">
        <v>44968</v>
      </c>
      <c r="E210" t="s">
        <v>791</v>
      </c>
      <c r="F210" t="s">
        <v>792</v>
      </c>
      <c r="G210" t="s">
        <v>788</v>
      </c>
      <c r="H210">
        <v>400</v>
      </c>
      <c r="I210" t="s">
        <v>789</v>
      </c>
      <c r="J210" t="s">
        <v>790</v>
      </c>
    </row>
    <row r="211" spans="1:10" x14ac:dyDescent="0.25">
      <c r="A211">
        <v>150061330</v>
      </c>
      <c r="B211" t="s">
        <v>545</v>
      </c>
      <c r="C211" s="104">
        <v>44968.634652777779</v>
      </c>
      <c r="D211" s="104">
        <v>44968</v>
      </c>
      <c r="E211" t="s">
        <v>791</v>
      </c>
      <c r="F211" t="s">
        <v>792</v>
      </c>
      <c r="G211" t="s">
        <v>788</v>
      </c>
      <c r="H211">
        <v>400</v>
      </c>
      <c r="I211" t="s">
        <v>789</v>
      </c>
      <c r="J211" t="s">
        <v>790</v>
      </c>
    </row>
    <row r="212" spans="1:10" x14ac:dyDescent="0.25">
      <c r="A212">
        <v>150061330</v>
      </c>
      <c r="B212" t="s">
        <v>545</v>
      </c>
      <c r="C212" s="104">
        <v>44968.666087962964</v>
      </c>
      <c r="D212" s="104">
        <v>44968</v>
      </c>
      <c r="E212" t="s">
        <v>791</v>
      </c>
      <c r="F212" t="s">
        <v>792</v>
      </c>
      <c r="G212" t="s">
        <v>788</v>
      </c>
      <c r="H212">
        <v>176</v>
      </c>
      <c r="I212" t="s">
        <v>789</v>
      </c>
      <c r="J212" t="s">
        <v>790</v>
      </c>
    </row>
    <row r="213" spans="1:10" x14ac:dyDescent="0.25">
      <c r="A213">
        <v>150061330</v>
      </c>
      <c r="B213" t="s">
        <v>545</v>
      </c>
      <c r="C213" s="104">
        <v>44970.311932870369</v>
      </c>
      <c r="D213" s="104">
        <v>44970</v>
      </c>
      <c r="E213" t="s">
        <v>791</v>
      </c>
      <c r="F213" t="s">
        <v>792</v>
      </c>
      <c r="G213" t="s">
        <v>788</v>
      </c>
      <c r="H213">
        <v>224</v>
      </c>
      <c r="I213" t="s">
        <v>789</v>
      </c>
      <c r="J213" t="s">
        <v>790</v>
      </c>
    </row>
    <row r="214" spans="1:10" x14ac:dyDescent="0.25">
      <c r="A214">
        <v>150061330</v>
      </c>
      <c r="B214" t="s">
        <v>545</v>
      </c>
      <c r="C214" s="104">
        <v>44970.311956018515</v>
      </c>
      <c r="D214" s="104">
        <v>44970</v>
      </c>
      <c r="E214" t="s">
        <v>791</v>
      </c>
      <c r="F214" t="s">
        <v>792</v>
      </c>
      <c r="G214" t="s">
        <v>788</v>
      </c>
      <c r="H214">
        <v>400</v>
      </c>
      <c r="I214" t="s">
        <v>789</v>
      </c>
      <c r="J214" t="s">
        <v>790</v>
      </c>
    </row>
    <row r="215" spans="1:10" x14ac:dyDescent="0.25">
      <c r="A215">
        <v>150061330</v>
      </c>
      <c r="B215" t="s">
        <v>545</v>
      </c>
      <c r="C215" s="104">
        <v>44970.311967592592</v>
      </c>
      <c r="D215" s="104">
        <v>44970</v>
      </c>
      <c r="E215" t="s">
        <v>791</v>
      </c>
      <c r="F215" t="s">
        <v>792</v>
      </c>
      <c r="G215" t="s">
        <v>788</v>
      </c>
      <c r="H215">
        <v>400</v>
      </c>
      <c r="I215" t="s">
        <v>789</v>
      </c>
      <c r="J215" t="s">
        <v>790</v>
      </c>
    </row>
    <row r="216" spans="1:10" x14ac:dyDescent="0.25">
      <c r="A216">
        <v>150061330</v>
      </c>
      <c r="B216" t="s">
        <v>545</v>
      </c>
      <c r="C216" s="104">
        <v>44970.322337962964</v>
      </c>
      <c r="D216" s="104">
        <v>44970</v>
      </c>
      <c r="E216" t="s">
        <v>791</v>
      </c>
      <c r="F216" t="s">
        <v>792</v>
      </c>
      <c r="G216" t="s">
        <v>788</v>
      </c>
      <c r="H216">
        <v>48</v>
      </c>
      <c r="I216" t="s">
        <v>789</v>
      </c>
      <c r="J216" t="s">
        <v>790</v>
      </c>
    </row>
    <row r="217" spans="1:10" x14ac:dyDescent="0.25">
      <c r="A217">
        <v>150061331</v>
      </c>
      <c r="B217" t="s">
        <v>793</v>
      </c>
      <c r="C217" s="104">
        <v>44967.642245370371</v>
      </c>
      <c r="D217" s="104">
        <v>44967</v>
      </c>
      <c r="E217" t="s">
        <v>791</v>
      </c>
      <c r="F217" t="s">
        <v>792</v>
      </c>
      <c r="G217" t="s">
        <v>788</v>
      </c>
      <c r="H217">
        <v>230</v>
      </c>
      <c r="I217" t="s">
        <v>789</v>
      </c>
      <c r="J217" t="s">
        <v>790</v>
      </c>
    </row>
    <row r="218" spans="1:10" x14ac:dyDescent="0.25">
      <c r="A218">
        <v>150061331</v>
      </c>
      <c r="B218" t="s">
        <v>793</v>
      </c>
      <c r="C218" s="104">
        <v>44967.642268518517</v>
      </c>
      <c r="D218" s="104">
        <v>44967</v>
      </c>
      <c r="E218" t="s">
        <v>791</v>
      </c>
      <c r="F218" t="s">
        <v>792</v>
      </c>
      <c r="G218" t="s">
        <v>788</v>
      </c>
      <c r="H218">
        <v>400</v>
      </c>
      <c r="I218" t="s">
        <v>789</v>
      </c>
      <c r="J218" t="s">
        <v>790</v>
      </c>
    </row>
    <row r="219" spans="1:10" x14ac:dyDescent="0.25">
      <c r="A219">
        <v>150061331</v>
      </c>
      <c r="B219" t="s">
        <v>793</v>
      </c>
      <c r="C219" s="104">
        <v>44967.732743055552</v>
      </c>
      <c r="D219" s="104">
        <v>44967</v>
      </c>
      <c r="E219" t="s">
        <v>791</v>
      </c>
      <c r="F219" t="s">
        <v>792</v>
      </c>
      <c r="G219" t="s">
        <v>788</v>
      </c>
      <c r="H219">
        <v>400</v>
      </c>
      <c r="I219" t="s">
        <v>789</v>
      </c>
      <c r="J219" t="s">
        <v>790</v>
      </c>
    </row>
    <row r="220" spans="1:10" x14ac:dyDescent="0.25">
      <c r="A220">
        <v>150061331</v>
      </c>
      <c r="B220" t="s">
        <v>793</v>
      </c>
      <c r="C220" s="104">
        <v>44967.745729166665</v>
      </c>
      <c r="D220" s="104">
        <v>44967</v>
      </c>
      <c r="E220" t="s">
        <v>791</v>
      </c>
      <c r="F220" t="s">
        <v>792</v>
      </c>
      <c r="G220" t="s">
        <v>788</v>
      </c>
      <c r="H220">
        <v>90</v>
      </c>
      <c r="I220" t="s">
        <v>789</v>
      </c>
      <c r="J220" t="s">
        <v>790</v>
      </c>
    </row>
    <row r="221" spans="1:10" x14ac:dyDescent="0.25">
      <c r="A221">
        <v>150061331</v>
      </c>
      <c r="B221" t="s">
        <v>793</v>
      </c>
      <c r="C221" s="104">
        <v>44967.996006944442</v>
      </c>
      <c r="D221" s="104">
        <v>44967</v>
      </c>
      <c r="E221" t="s">
        <v>791</v>
      </c>
      <c r="F221" t="s">
        <v>792</v>
      </c>
      <c r="G221" t="s">
        <v>788</v>
      </c>
      <c r="H221">
        <v>224</v>
      </c>
      <c r="I221" t="s">
        <v>789</v>
      </c>
      <c r="J221" t="s">
        <v>790</v>
      </c>
    </row>
    <row r="222" spans="1:10" x14ac:dyDescent="0.25">
      <c r="A222">
        <v>150061331</v>
      </c>
      <c r="B222" t="s">
        <v>793</v>
      </c>
      <c r="C222" s="104">
        <v>44967.996018518519</v>
      </c>
      <c r="D222" s="104">
        <v>44967</v>
      </c>
      <c r="E222" t="s">
        <v>791</v>
      </c>
      <c r="F222" t="s">
        <v>792</v>
      </c>
      <c r="G222" t="s">
        <v>788</v>
      </c>
      <c r="H222">
        <v>310</v>
      </c>
      <c r="I222" t="s">
        <v>789</v>
      </c>
      <c r="J222" t="s">
        <v>790</v>
      </c>
    </row>
    <row r="223" spans="1:10" x14ac:dyDescent="0.25">
      <c r="A223">
        <v>150061331</v>
      </c>
      <c r="B223" t="s">
        <v>793</v>
      </c>
      <c r="C223" s="104">
        <v>44967.996030092596</v>
      </c>
      <c r="D223" s="104">
        <v>44967</v>
      </c>
      <c r="E223" t="s">
        <v>791</v>
      </c>
      <c r="F223" t="s">
        <v>792</v>
      </c>
      <c r="G223" t="s">
        <v>788</v>
      </c>
      <c r="H223">
        <v>400</v>
      </c>
      <c r="I223" t="s">
        <v>789</v>
      </c>
      <c r="J223" t="s">
        <v>790</v>
      </c>
    </row>
    <row r="224" spans="1:10" x14ac:dyDescent="0.25">
      <c r="A224">
        <v>150061331</v>
      </c>
      <c r="B224" t="s">
        <v>793</v>
      </c>
      <c r="C224" s="104">
        <v>44968.322002314817</v>
      </c>
      <c r="D224" s="104">
        <v>44968</v>
      </c>
      <c r="E224" t="s">
        <v>791</v>
      </c>
      <c r="F224" t="s">
        <v>792</v>
      </c>
      <c r="G224" t="s">
        <v>788</v>
      </c>
      <c r="H224">
        <v>176</v>
      </c>
      <c r="I224" t="s">
        <v>789</v>
      </c>
      <c r="J224" t="s">
        <v>790</v>
      </c>
    </row>
    <row r="225" spans="1:10" x14ac:dyDescent="0.25">
      <c r="A225">
        <v>150061331</v>
      </c>
      <c r="B225" t="s">
        <v>793</v>
      </c>
      <c r="C225" s="104">
        <v>44968.322013888886</v>
      </c>
      <c r="D225" s="104">
        <v>44968</v>
      </c>
      <c r="E225" t="s">
        <v>791</v>
      </c>
      <c r="F225" t="s">
        <v>792</v>
      </c>
      <c r="G225" t="s">
        <v>788</v>
      </c>
      <c r="H225">
        <v>400</v>
      </c>
      <c r="I225" t="s">
        <v>789</v>
      </c>
      <c r="J225" t="s">
        <v>790</v>
      </c>
    </row>
    <row r="226" spans="1:10" x14ac:dyDescent="0.25">
      <c r="A226">
        <v>150061331</v>
      </c>
      <c r="B226" t="s">
        <v>793</v>
      </c>
      <c r="C226" s="104">
        <v>44968.322025462963</v>
      </c>
      <c r="D226" s="104">
        <v>44968</v>
      </c>
      <c r="E226" t="s">
        <v>791</v>
      </c>
      <c r="F226" t="s">
        <v>792</v>
      </c>
      <c r="G226" t="s">
        <v>788</v>
      </c>
      <c r="H226">
        <v>400</v>
      </c>
      <c r="I226" t="s">
        <v>789</v>
      </c>
      <c r="J226" t="s">
        <v>790</v>
      </c>
    </row>
    <row r="227" spans="1:10" x14ac:dyDescent="0.25">
      <c r="A227">
        <v>150061331</v>
      </c>
      <c r="B227" t="s">
        <v>793</v>
      </c>
      <c r="C227" s="104">
        <v>44968.325636574074</v>
      </c>
      <c r="D227" s="104">
        <v>44968</v>
      </c>
      <c r="E227" t="s">
        <v>791</v>
      </c>
      <c r="F227" t="s">
        <v>792</v>
      </c>
      <c r="G227" t="s">
        <v>788</v>
      </c>
      <c r="H227">
        <v>96</v>
      </c>
      <c r="I227" t="s">
        <v>789</v>
      </c>
      <c r="J227" t="s">
        <v>790</v>
      </c>
    </row>
    <row r="228" spans="1:10" x14ac:dyDescent="0.25">
      <c r="A228">
        <v>150061331</v>
      </c>
      <c r="B228" t="s">
        <v>793</v>
      </c>
      <c r="C228" s="104">
        <v>44968.60324074074</v>
      </c>
      <c r="D228" s="104">
        <v>44968</v>
      </c>
      <c r="E228" t="s">
        <v>791</v>
      </c>
      <c r="F228" t="s">
        <v>792</v>
      </c>
      <c r="G228" t="s">
        <v>788</v>
      </c>
      <c r="H228">
        <v>400</v>
      </c>
      <c r="I228" t="s">
        <v>789</v>
      </c>
      <c r="J228" t="s">
        <v>790</v>
      </c>
    </row>
    <row r="229" spans="1:10" x14ac:dyDescent="0.25">
      <c r="A229">
        <v>150061331</v>
      </c>
      <c r="B229" t="s">
        <v>793</v>
      </c>
      <c r="C229" s="104">
        <v>44968.603252314817</v>
      </c>
      <c r="D229" s="104">
        <v>44968</v>
      </c>
      <c r="E229" t="s">
        <v>791</v>
      </c>
      <c r="F229" t="s">
        <v>792</v>
      </c>
      <c r="G229" t="s">
        <v>788</v>
      </c>
      <c r="H229">
        <v>304</v>
      </c>
      <c r="I229" t="s">
        <v>789</v>
      </c>
      <c r="J229" t="s">
        <v>790</v>
      </c>
    </row>
    <row r="230" spans="1:10" x14ac:dyDescent="0.25">
      <c r="A230">
        <v>150061331</v>
      </c>
      <c r="B230" t="s">
        <v>793</v>
      </c>
      <c r="C230" s="104">
        <v>44968.634675925925</v>
      </c>
      <c r="D230" s="104">
        <v>44968</v>
      </c>
      <c r="E230" t="s">
        <v>791</v>
      </c>
      <c r="F230" t="s">
        <v>792</v>
      </c>
      <c r="G230" t="s">
        <v>788</v>
      </c>
      <c r="H230">
        <v>400</v>
      </c>
      <c r="I230" t="s">
        <v>789</v>
      </c>
      <c r="J230" t="s">
        <v>790</v>
      </c>
    </row>
    <row r="231" spans="1:10" x14ac:dyDescent="0.25">
      <c r="A231">
        <v>150061331</v>
      </c>
      <c r="B231" t="s">
        <v>793</v>
      </c>
      <c r="C231" s="104">
        <v>44968.66609953704</v>
      </c>
      <c r="D231" s="104">
        <v>44968</v>
      </c>
      <c r="E231" t="s">
        <v>791</v>
      </c>
      <c r="F231" t="s">
        <v>792</v>
      </c>
      <c r="G231" t="s">
        <v>788</v>
      </c>
      <c r="H231" s="89">
        <v>176</v>
      </c>
      <c r="I231" t="s">
        <v>789</v>
      </c>
      <c r="J231" t="s">
        <v>790</v>
      </c>
    </row>
    <row r="232" spans="1:10" x14ac:dyDescent="0.25">
      <c r="A232">
        <v>150061331</v>
      </c>
      <c r="B232" t="s">
        <v>793</v>
      </c>
      <c r="C232" s="104">
        <v>44970.311944444446</v>
      </c>
      <c r="D232" s="104">
        <v>44970</v>
      </c>
      <c r="E232" t="s">
        <v>791</v>
      </c>
      <c r="F232" t="s">
        <v>792</v>
      </c>
      <c r="G232" t="s">
        <v>788</v>
      </c>
      <c r="H232">
        <v>224</v>
      </c>
      <c r="I232" t="s">
        <v>789</v>
      </c>
      <c r="J232" t="s">
        <v>790</v>
      </c>
    </row>
    <row r="233" spans="1:10" x14ac:dyDescent="0.25">
      <c r="A233">
        <v>150061331</v>
      </c>
      <c r="B233" t="s">
        <v>793</v>
      </c>
      <c r="C233" s="104">
        <v>44970.311956018515</v>
      </c>
      <c r="D233" s="104">
        <v>44970</v>
      </c>
      <c r="E233" t="s">
        <v>791</v>
      </c>
      <c r="F233" t="s">
        <v>792</v>
      </c>
      <c r="G233" t="s">
        <v>788</v>
      </c>
      <c r="H233">
        <v>400</v>
      </c>
      <c r="I233" t="s">
        <v>789</v>
      </c>
      <c r="J233" t="s">
        <v>790</v>
      </c>
    </row>
    <row r="234" spans="1:10" x14ac:dyDescent="0.25">
      <c r="A234">
        <v>150061331</v>
      </c>
      <c r="B234" t="s">
        <v>793</v>
      </c>
      <c r="C234" s="104">
        <v>44970.311979166669</v>
      </c>
      <c r="D234" s="104">
        <v>44970</v>
      </c>
      <c r="E234" t="s">
        <v>791</v>
      </c>
      <c r="F234" t="s">
        <v>792</v>
      </c>
      <c r="G234" t="s">
        <v>788</v>
      </c>
      <c r="H234">
        <v>400</v>
      </c>
      <c r="I234" t="s">
        <v>789</v>
      </c>
      <c r="J234" t="s">
        <v>790</v>
      </c>
    </row>
    <row r="235" spans="1:10" x14ac:dyDescent="0.25">
      <c r="A235">
        <v>150061331</v>
      </c>
      <c r="B235" t="s">
        <v>793</v>
      </c>
      <c r="C235" s="104">
        <v>44970.32234953704</v>
      </c>
      <c r="D235" s="104">
        <v>44970</v>
      </c>
      <c r="E235" t="s">
        <v>791</v>
      </c>
      <c r="F235" t="s">
        <v>792</v>
      </c>
      <c r="G235" t="s">
        <v>788</v>
      </c>
      <c r="H235">
        <v>48</v>
      </c>
      <c r="I235" t="s">
        <v>789</v>
      </c>
      <c r="J235" t="s">
        <v>790</v>
      </c>
    </row>
    <row r="236" spans="1:10" x14ac:dyDescent="0.25">
      <c r="A236">
        <v>150061364</v>
      </c>
      <c r="B236" t="s">
        <v>775</v>
      </c>
      <c r="C236" s="104">
        <v>44967.687199074076</v>
      </c>
      <c r="D236" s="104">
        <v>44967</v>
      </c>
      <c r="E236" t="s">
        <v>791</v>
      </c>
      <c r="F236" t="s">
        <v>792</v>
      </c>
      <c r="G236" t="s">
        <v>788</v>
      </c>
      <c r="H236">
        <v>13</v>
      </c>
      <c r="I236" t="s">
        <v>789</v>
      </c>
      <c r="J236" t="s">
        <v>790</v>
      </c>
    </row>
    <row r="237" spans="1:10" x14ac:dyDescent="0.25">
      <c r="A237">
        <v>150061365</v>
      </c>
      <c r="B237" t="s">
        <v>776</v>
      </c>
      <c r="C237" s="104">
        <v>44967.687210648146</v>
      </c>
      <c r="D237" s="104">
        <v>44967</v>
      </c>
      <c r="E237" t="s">
        <v>791</v>
      </c>
      <c r="F237" t="s">
        <v>792</v>
      </c>
      <c r="G237" t="s">
        <v>788</v>
      </c>
      <c r="H237">
        <v>13</v>
      </c>
      <c r="I237" t="s">
        <v>789</v>
      </c>
      <c r="J237" t="s">
        <v>790</v>
      </c>
    </row>
    <row r="238" spans="1:10" x14ac:dyDescent="0.25">
      <c r="A238">
        <v>150061446</v>
      </c>
      <c r="B238" t="s">
        <v>661</v>
      </c>
      <c r="C238" s="104">
        <v>44967.384872685187</v>
      </c>
      <c r="D238" s="104">
        <v>44967</v>
      </c>
      <c r="E238" t="s">
        <v>791</v>
      </c>
      <c r="F238" t="s">
        <v>792</v>
      </c>
      <c r="G238" t="s">
        <v>788</v>
      </c>
      <c r="H238">
        <v>40</v>
      </c>
      <c r="I238" t="s">
        <v>789</v>
      </c>
      <c r="J238" t="s">
        <v>790</v>
      </c>
    </row>
    <row r="239" spans="1:10" x14ac:dyDescent="0.25">
      <c r="A239">
        <v>150061446</v>
      </c>
      <c r="B239" t="s">
        <v>661</v>
      </c>
      <c r="C239" s="104">
        <v>44967.502928240741</v>
      </c>
      <c r="D239" s="104">
        <v>44967</v>
      </c>
      <c r="E239" t="s">
        <v>791</v>
      </c>
      <c r="F239" t="s">
        <v>792</v>
      </c>
      <c r="G239" t="s">
        <v>788</v>
      </c>
      <c r="H239">
        <v>60</v>
      </c>
      <c r="I239" t="s">
        <v>789</v>
      </c>
      <c r="J239" t="s">
        <v>790</v>
      </c>
    </row>
    <row r="240" spans="1:10" x14ac:dyDescent="0.25">
      <c r="A240">
        <v>150061446</v>
      </c>
      <c r="B240" t="s">
        <v>661</v>
      </c>
      <c r="C240" s="104">
        <v>44967.65965277778</v>
      </c>
      <c r="D240" s="104">
        <v>44967</v>
      </c>
      <c r="E240" t="s">
        <v>791</v>
      </c>
      <c r="F240" t="s">
        <v>792</v>
      </c>
      <c r="G240" t="s">
        <v>788</v>
      </c>
      <c r="H240">
        <v>60</v>
      </c>
      <c r="I240" t="s">
        <v>789</v>
      </c>
      <c r="J240" t="s">
        <v>790</v>
      </c>
    </row>
    <row r="241" spans="1:10" x14ac:dyDescent="0.25">
      <c r="A241">
        <v>150061446</v>
      </c>
      <c r="B241" t="s">
        <v>661</v>
      </c>
      <c r="C241" s="104">
        <v>44967.73170138889</v>
      </c>
      <c r="D241" s="104">
        <v>44967</v>
      </c>
      <c r="E241" t="s">
        <v>791</v>
      </c>
      <c r="F241" t="s">
        <v>792</v>
      </c>
      <c r="G241" t="s">
        <v>788</v>
      </c>
      <c r="H241">
        <v>60</v>
      </c>
      <c r="I241" t="s">
        <v>789</v>
      </c>
      <c r="J241" t="s">
        <v>790</v>
      </c>
    </row>
    <row r="242" spans="1:10" x14ac:dyDescent="0.25">
      <c r="A242">
        <v>150061478</v>
      </c>
      <c r="B242" t="s">
        <v>569</v>
      </c>
      <c r="C242" s="104">
        <v>44967.742835648147</v>
      </c>
      <c r="D242" s="104">
        <v>44967</v>
      </c>
      <c r="E242" t="s">
        <v>791</v>
      </c>
      <c r="F242" t="s">
        <v>792</v>
      </c>
      <c r="G242" t="s">
        <v>788</v>
      </c>
      <c r="H242">
        <v>38</v>
      </c>
      <c r="I242" t="s">
        <v>789</v>
      </c>
      <c r="J242" t="s">
        <v>790</v>
      </c>
    </row>
    <row r="243" spans="1:10" x14ac:dyDescent="0.25">
      <c r="A243">
        <v>150061478</v>
      </c>
      <c r="B243" t="s">
        <v>569</v>
      </c>
      <c r="C243" s="104">
        <v>44967.742847222224</v>
      </c>
      <c r="D243" s="104">
        <v>44967</v>
      </c>
      <c r="E243" t="s">
        <v>791</v>
      </c>
      <c r="F243" t="s">
        <v>792</v>
      </c>
      <c r="G243" t="s">
        <v>788</v>
      </c>
      <c r="H243">
        <v>38</v>
      </c>
      <c r="I243" t="s">
        <v>789</v>
      </c>
      <c r="J243" t="s">
        <v>790</v>
      </c>
    </row>
    <row r="244" spans="1:10" x14ac:dyDescent="0.25">
      <c r="A244">
        <v>150061478</v>
      </c>
      <c r="B244" t="s">
        <v>569</v>
      </c>
      <c r="C244" s="104">
        <v>44967.742858796293</v>
      </c>
      <c r="D244" s="104">
        <v>44967</v>
      </c>
      <c r="E244" t="s">
        <v>791</v>
      </c>
      <c r="F244" t="s">
        <v>792</v>
      </c>
      <c r="G244" t="s">
        <v>788</v>
      </c>
      <c r="H244">
        <v>38</v>
      </c>
      <c r="I244" t="s">
        <v>789</v>
      </c>
      <c r="J244" t="s">
        <v>790</v>
      </c>
    </row>
    <row r="245" spans="1:10" x14ac:dyDescent="0.25">
      <c r="A245">
        <v>150061478</v>
      </c>
      <c r="B245" t="s">
        <v>569</v>
      </c>
      <c r="C245" s="104">
        <v>44967.74287037037</v>
      </c>
      <c r="D245" s="104">
        <v>44967</v>
      </c>
      <c r="E245" t="s">
        <v>791</v>
      </c>
      <c r="F245" t="s">
        <v>792</v>
      </c>
      <c r="G245" t="s">
        <v>788</v>
      </c>
      <c r="H245">
        <v>38</v>
      </c>
      <c r="I245" t="s">
        <v>789</v>
      </c>
      <c r="J245" t="s">
        <v>790</v>
      </c>
    </row>
    <row r="246" spans="1:10" x14ac:dyDescent="0.25">
      <c r="A246">
        <v>150061478</v>
      </c>
      <c r="B246" t="s">
        <v>569</v>
      </c>
      <c r="C246" s="104">
        <v>44967.742881944447</v>
      </c>
      <c r="D246" s="104">
        <v>44967</v>
      </c>
      <c r="E246" t="s">
        <v>791</v>
      </c>
      <c r="F246" t="s">
        <v>792</v>
      </c>
      <c r="G246" t="s">
        <v>788</v>
      </c>
      <c r="H246">
        <v>38</v>
      </c>
      <c r="I246" t="s">
        <v>789</v>
      </c>
      <c r="J246" t="s">
        <v>790</v>
      </c>
    </row>
    <row r="247" spans="1:10" x14ac:dyDescent="0.25">
      <c r="A247">
        <v>150061478</v>
      </c>
      <c r="B247" t="s">
        <v>569</v>
      </c>
      <c r="C247" s="104">
        <v>44967.742893518516</v>
      </c>
      <c r="D247" s="104">
        <v>44967</v>
      </c>
      <c r="E247" t="s">
        <v>791</v>
      </c>
      <c r="F247" t="s">
        <v>792</v>
      </c>
      <c r="G247" t="s">
        <v>788</v>
      </c>
      <c r="H247">
        <v>10</v>
      </c>
      <c r="I247" t="s">
        <v>789</v>
      </c>
      <c r="J247" t="s">
        <v>790</v>
      </c>
    </row>
    <row r="248" spans="1:10" x14ac:dyDescent="0.25">
      <c r="A248">
        <v>150061731</v>
      </c>
      <c r="B248" t="s">
        <v>664</v>
      </c>
      <c r="C248" s="104">
        <v>44967.735891203702</v>
      </c>
      <c r="D248" s="104">
        <v>44967</v>
      </c>
      <c r="E248" t="s">
        <v>791</v>
      </c>
      <c r="F248" t="s">
        <v>792</v>
      </c>
      <c r="G248" t="s">
        <v>788</v>
      </c>
      <c r="H248">
        <v>6</v>
      </c>
      <c r="I248" t="s">
        <v>789</v>
      </c>
      <c r="J248" t="s">
        <v>790</v>
      </c>
    </row>
    <row r="249" spans="1:10" x14ac:dyDescent="0.25">
      <c r="A249">
        <v>150061731</v>
      </c>
      <c r="B249" t="s">
        <v>664</v>
      </c>
      <c r="C249" s="104">
        <v>44967.735902777778</v>
      </c>
      <c r="D249" s="104">
        <v>44967</v>
      </c>
      <c r="E249" t="s">
        <v>791</v>
      </c>
      <c r="F249" t="s">
        <v>792</v>
      </c>
      <c r="G249" t="s">
        <v>788</v>
      </c>
      <c r="H249">
        <v>60</v>
      </c>
      <c r="I249" t="s">
        <v>789</v>
      </c>
      <c r="J249" t="s">
        <v>790</v>
      </c>
    </row>
    <row r="250" spans="1:10" x14ac:dyDescent="0.25">
      <c r="A250">
        <v>150061731</v>
      </c>
      <c r="B250" t="s">
        <v>664</v>
      </c>
      <c r="C250" s="104">
        <v>44967.749212962961</v>
      </c>
      <c r="D250" s="104">
        <v>44967</v>
      </c>
      <c r="E250" t="s">
        <v>791</v>
      </c>
      <c r="F250" t="s">
        <v>792</v>
      </c>
      <c r="G250" t="s">
        <v>788</v>
      </c>
      <c r="H250">
        <v>48</v>
      </c>
      <c r="I250" t="s">
        <v>789</v>
      </c>
      <c r="J250" t="s">
        <v>790</v>
      </c>
    </row>
    <row r="251" spans="1:10" x14ac:dyDescent="0.25">
      <c r="A251">
        <v>150061731</v>
      </c>
      <c r="B251" t="s">
        <v>664</v>
      </c>
      <c r="C251" s="104">
        <v>44967.787199074075</v>
      </c>
      <c r="D251" s="104">
        <v>44967</v>
      </c>
      <c r="E251" t="s">
        <v>791</v>
      </c>
      <c r="F251" t="s">
        <v>792</v>
      </c>
      <c r="G251" t="s">
        <v>788</v>
      </c>
      <c r="H251">
        <v>12</v>
      </c>
      <c r="I251" t="s">
        <v>789</v>
      </c>
      <c r="J251" t="s">
        <v>790</v>
      </c>
    </row>
    <row r="252" spans="1:10" x14ac:dyDescent="0.25">
      <c r="A252">
        <v>150061731</v>
      </c>
      <c r="B252" t="s">
        <v>664</v>
      </c>
      <c r="C252" s="104">
        <v>44967.787210648145</v>
      </c>
      <c r="D252" s="104">
        <v>44967</v>
      </c>
      <c r="E252" t="s">
        <v>791</v>
      </c>
      <c r="F252" t="s">
        <v>792</v>
      </c>
      <c r="G252" t="s">
        <v>788</v>
      </c>
      <c r="H252">
        <v>18</v>
      </c>
      <c r="I252" t="s">
        <v>789</v>
      </c>
      <c r="J252" t="s">
        <v>790</v>
      </c>
    </row>
    <row r="253" spans="1:10" x14ac:dyDescent="0.25">
      <c r="A253">
        <v>150061858</v>
      </c>
      <c r="B253" t="s">
        <v>694</v>
      </c>
      <c r="C253" s="104">
        <v>44967.44736111111</v>
      </c>
      <c r="D253" s="104">
        <v>44967</v>
      </c>
      <c r="E253" t="s">
        <v>791</v>
      </c>
      <c r="F253" t="s">
        <v>792</v>
      </c>
      <c r="G253" t="s">
        <v>788</v>
      </c>
      <c r="H253">
        <v>448</v>
      </c>
      <c r="I253" t="s">
        <v>789</v>
      </c>
      <c r="J253" t="s">
        <v>790</v>
      </c>
    </row>
    <row r="254" spans="1:10" x14ac:dyDescent="0.25">
      <c r="A254">
        <v>150061858</v>
      </c>
      <c r="B254" t="s">
        <v>694</v>
      </c>
      <c r="C254" s="104">
        <v>44967.662453703706</v>
      </c>
      <c r="D254" s="104">
        <v>44967</v>
      </c>
      <c r="E254" t="s">
        <v>791</v>
      </c>
      <c r="F254" t="s">
        <v>792</v>
      </c>
      <c r="G254" t="s">
        <v>788</v>
      </c>
      <c r="H254">
        <v>429</v>
      </c>
      <c r="I254" t="s">
        <v>789</v>
      </c>
      <c r="J254" t="s">
        <v>790</v>
      </c>
    </row>
    <row r="255" spans="1:10" x14ac:dyDescent="0.25">
      <c r="A255">
        <v>150061858</v>
      </c>
      <c r="B255" t="s">
        <v>694</v>
      </c>
      <c r="C255" s="104">
        <v>44967.745567129627</v>
      </c>
      <c r="D255" s="104">
        <v>44967</v>
      </c>
      <c r="E255" t="s">
        <v>791</v>
      </c>
      <c r="F255" t="s">
        <v>792</v>
      </c>
      <c r="G255" t="s">
        <v>788</v>
      </c>
      <c r="H255">
        <v>211</v>
      </c>
      <c r="I255" t="s">
        <v>789</v>
      </c>
      <c r="J255" t="s">
        <v>790</v>
      </c>
    </row>
    <row r="256" spans="1:10" x14ac:dyDescent="0.25">
      <c r="A256">
        <v>150061858</v>
      </c>
      <c r="B256" t="s">
        <v>694</v>
      </c>
      <c r="C256" s="104">
        <v>44967.745578703703</v>
      </c>
      <c r="D256" s="104">
        <v>44967</v>
      </c>
      <c r="E256" t="s">
        <v>791</v>
      </c>
      <c r="F256" t="s">
        <v>792</v>
      </c>
      <c r="G256" t="s">
        <v>788</v>
      </c>
      <c r="H256">
        <v>192</v>
      </c>
      <c r="I256" t="s">
        <v>789</v>
      </c>
      <c r="J256" t="s">
        <v>790</v>
      </c>
    </row>
    <row r="257" spans="3:4" x14ac:dyDescent="0.25">
      <c r="C257" s="104"/>
      <c r="D257" s="104"/>
    </row>
    <row r="258" spans="3:4" x14ac:dyDescent="0.25">
      <c r="C258" s="104"/>
      <c r="D258" s="104"/>
    </row>
    <row r="259" spans="3:4" x14ac:dyDescent="0.25">
      <c r="C259" s="104"/>
      <c r="D259" s="104"/>
    </row>
    <row r="260" spans="3:4" x14ac:dyDescent="0.25">
      <c r="C260" s="104"/>
      <c r="D260" s="104"/>
    </row>
    <row r="261" spans="3:4" x14ac:dyDescent="0.25">
      <c r="C261" s="104"/>
      <c r="D261" s="104"/>
    </row>
    <row r="262" spans="3:4" x14ac:dyDescent="0.25">
      <c r="C262" s="104"/>
      <c r="D262" s="104"/>
    </row>
    <row r="263" spans="3:4" x14ac:dyDescent="0.25">
      <c r="C263" s="104"/>
      <c r="D263" s="104"/>
    </row>
    <row r="264" spans="3:4" x14ac:dyDescent="0.25">
      <c r="C264" s="104"/>
      <c r="D264" s="104"/>
    </row>
    <row r="265" spans="3:4" x14ac:dyDescent="0.25">
      <c r="C265" s="104"/>
      <c r="D265" s="104"/>
    </row>
    <row r="266" spans="3:4" x14ac:dyDescent="0.25">
      <c r="C266" s="104"/>
      <c r="D266" s="104"/>
    </row>
    <row r="267" spans="3:4" x14ac:dyDescent="0.25">
      <c r="C267" s="104"/>
      <c r="D267" s="104"/>
    </row>
    <row r="268" spans="3:4" x14ac:dyDescent="0.25">
      <c r="C268" s="104"/>
      <c r="D268" s="104"/>
    </row>
    <row r="269" spans="3:4" x14ac:dyDescent="0.25">
      <c r="C269" s="104"/>
      <c r="D269" s="104"/>
    </row>
    <row r="270" spans="3:4" x14ac:dyDescent="0.25">
      <c r="C270" s="104"/>
      <c r="D270" s="104"/>
    </row>
    <row r="271" spans="3:4" x14ac:dyDescent="0.25">
      <c r="C271" s="104"/>
      <c r="D271" s="104"/>
    </row>
    <row r="272" spans="3:4" x14ac:dyDescent="0.25">
      <c r="C272" s="104"/>
      <c r="D272" s="104"/>
    </row>
    <row r="273" spans="3:4" x14ac:dyDescent="0.25">
      <c r="C273" s="104"/>
      <c r="D273" s="104"/>
    </row>
    <row r="274" spans="3:4" x14ac:dyDescent="0.25">
      <c r="C274" s="104"/>
      <c r="D274" s="104"/>
    </row>
    <row r="275" spans="3:4" x14ac:dyDescent="0.25">
      <c r="C275" s="104"/>
      <c r="D275" s="104"/>
    </row>
    <row r="276" spans="3:4" x14ac:dyDescent="0.25">
      <c r="C276" s="104"/>
      <c r="D276" s="104"/>
    </row>
    <row r="277" spans="3:4" x14ac:dyDescent="0.25">
      <c r="C277" s="104"/>
      <c r="D277" s="104"/>
    </row>
    <row r="278" spans="3:4" x14ac:dyDescent="0.25">
      <c r="C278" s="104"/>
      <c r="D278" s="104"/>
    </row>
    <row r="279" spans="3:4" x14ac:dyDescent="0.25">
      <c r="C279" s="104"/>
      <c r="D279" s="104"/>
    </row>
    <row r="280" spans="3:4" x14ac:dyDescent="0.25">
      <c r="C280" s="104"/>
      <c r="D280" s="104"/>
    </row>
    <row r="281" spans="3:4" x14ac:dyDescent="0.25">
      <c r="C281" s="104"/>
      <c r="D281" s="104"/>
    </row>
    <row r="282" spans="3:4" x14ac:dyDescent="0.25">
      <c r="C282" s="104"/>
      <c r="D282" s="104"/>
    </row>
    <row r="283" spans="3:4" x14ac:dyDescent="0.25">
      <c r="C283" s="104"/>
      <c r="D283" s="104"/>
    </row>
    <row r="284" spans="3:4" x14ac:dyDescent="0.25">
      <c r="C284" s="104"/>
      <c r="D284" s="104"/>
    </row>
    <row r="285" spans="3:4" x14ac:dyDescent="0.25">
      <c r="C285" s="104"/>
      <c r="D285" s="104"/>
    </row>
    <row r="286" spans="3:4" x14ac:dyDescent="0.25">
      <c r="C286" s="104"/>
      <c r="D286" s="104"/>
    </row>
    <row r="287" spans="3:4" x14ac:dyDescent="0.25">
      <c r="C287" s="104"/>
      <c r="D287" s="104"/>
    </row>
    <row r="288" spans="3:4" x14ac:dyDescent="0.25">
      <c r="C288" s="104"/>
      <c r="D288" s="104"/>
    </row>
    <row r="289" spans="3:4" x14ac:dyDescent="0.25">
      <c r="C289" s="104"/>
      <c r="D289" s="104"/>
    </row>
    <row r="290" spans="3:4" x14ac:dyDescent="0.25">
      <c r="C290" s="104"/>
      <c r="D290" s="104"/>
    </row>
    <row r="291" spans="3:4" x14ac:dyDescent="0.25">
      <c r="C291" s="104"/>
      <c r="D291" s="104"/>
    </row>
    <row r="292" spans="3:4" x14ac:dyDescent="0.25">
      <c r="C292" s="104"/>
      <c r="D292" s="104"/>
    </row>
    <row r="293" spans="3:4" x14ac:dyDescent="0.25">
      <c r="C293" s="104"/>
      <c r="D293" s="104"/>
    </row>
    <row r="294" spans="3:4" x14ac:dyDescent="0.25">
      <c r="C294" s="104"/>
      <c r="D294" s="104"/>
    </row>
    <row r="295" spans="3:4" x14ac:dyDescent="0.25">
      <c r="C295" s="104"/>
      <c r="D295" s="104"/>
    </row>
    <row r="296" spans="3:4" x14ac:dyDescent="0.25">
      <c r="C296" s="104"/>
      <c r="D296" s="104"/>
    </row>
    <row r="297" spans="3:4" x14ac:dyDescent="0.25">
      <c r="C297" s="104"/>
      <c r="D297" s="104"/>
    </row>
    <row r="298" spans="3:4" x14ac:dyDescent="0.25">
      <c r="C298" s="104"/>
      <c r="D298" s="104"/>
    </row>
    <row r="299" spans="3:4" x14ac:dyDescent="0.25">
      <c r="C299" s="104"/>
      <c r="D299" s="104"/>
    </row>
    <row r="300" spans="3:4" x14ac:dyDescent="0.25">
      <c r="C300" s="104"/>
      <c r="D300" s="104"/>
    </row>
    <row r="301" spans="3:4" x14ac:dyDescent="0.25">
      <c r="C301" s="104"/>
      <c r="D301" s="104"/>
    </row>
    <row r="302" spans="3:4" x14ac:dyDescent="0.25">
      <c r="C302" s="104"/>
      <c r="D302" s="104"/>
    </row>
    <row r="303" spans="3:4" x14ac:dyDescent="0.25">
      <c r="C303" s="104"/>
      <c r="D303" s="104"/>
    </row>
    <row r="304" spans="3:4" x14ac:dyDescent="0.25">
      <c r="C304" s="104"/>
      <c r="D304" s="104"/>
    </row>
    <row r="305" spans="3:4" x14ac:dyDescent="0.25">
      <c r="C305" s="104"/>
      <c r="D305" s="104"/>
    </row>
    <row r="306" spans="3:4" x14ac:dyDescent="0.25">
      <c r="C306" s="104"/>
      <c r="D306" s="104"/>
    </row>
    <row r="307" spans="3:4" x14ac:dyDescent="0.25">
      <c r="C307" s="104"/>
      <c r="D307" s="104"/>
    </row>
    <row r="308" spans="3:4" x14ac:dyDescent="0.25">
      <c r="C308" s="104"/>
      <c r="D308" s="104"/>
    </row>
    <row r="309" spans="3:4" x14ac:dyDescent="0.25">
      <c r="C309" s="104"/>
      <c r="D309" s="104"/>
    </row>
    <row r="310" spans="3:4" x14ac:dyDescent="0.25">
      <c r="C310" s="104"/>
      <c r="D310" s="104"/>
    </row>
    <row r="311" spans="3:4" x14ac:dyDescent="0.25">
      <c r="C311" s="104"/>
      <c r="D311" s="104"/>
    </row>
    <row r="312" spans="3:4" x14ac:dyDescent="0.25">
      <c r="C312" s="104"/>
      <c r="D312" s="104"/>
    </row>
    <row r="313" spans="3:4" x14ac:dyDescent="0.25">
      <c r="C313" s="104"/>
      <c r="D313" s="104"/>
    </row>
    <row r="314" spans="3:4" x14ac:dyDescent="0.25">
      <c r="C314" s="104"/>
      <c r="D314" s="104"/>
    </row>
    <row r="315" spans="3:4" x14ac:dyDescent="0.25">
      <c r="C315" s="104"/>
      <c r="D315" s="104"/>
    </row>
    <row r="316" spans="3:4" x14ac:dyDescent="0.25">
      <c r="C316" s="104"/>
      <c r="D316" s="104"/>
    </row>
    <row r="317" spans="3:4" x14ac:dyDescent="0.25">
      <c r="C317" s="104"/>
      <c r="D317" s="104"/>
    </row>
    <row r="318" spans="3:4" x14ac:dyDescent="0.25">
      <c r="C318" s="104"/>
      <c r="D318" s="104"/>
    </row>
    <row r="319" spans="3:4" x14ac:dyDescent="0.25">
      <c r="C319" s="104"/>
      <c r="D319" s="104"/>
    </row>
    <row r="320" spans="3:4" x14ac:dyDescent="0.25">
      <c r="C320" s="104"/>
      <c r="D320" s="104"/>
    </row>
    <row r="321" spans="3:4" x14ac:dyDescent="0.25">
      <c r="C321" s="104"/>
      <c r="D321" s="104"/>
    </row>
    <row r="322" spans="3:4" x14ac:dyDescent="0.25">
      <c r="C322" s="104"/>
      <c r="D322" s="104"/>
    </row>
    <row r="323" spans="3:4" x14ac:dyDescent="0.25">
      <c r="C323" s="104"/>
      <c r="D323" s="104"/>
    </row>
    <row r="324" spans="3:4" x14ac:dyDescent="0.25">
      <c r="C324" s="104"/>
      <c r="D324" s="104"/>
    </row>
    <row r="325" spans="3:4" x14ac:dyDescent="0.25">
      <c r="C325" s="104"/>
      <c r="D325" s="104"/>
    </row>
    <row r="326" spans="3:4" x14ac:dyDescent="0.25">
      <c r="C326" s="104"/>
      <c r="D326" s="104"/>
    </row>
    <row r="327" spans="3:4" x14ac:dyDescent="0.25">
      <c r="C327" s="104"/>
      <c r="D327" s="104"/>
    </row>
    <row r="328" spans="3:4" x14ac:dyDescent="0.25">
      <c r="C328" s="104"/>
      <c r="D328" s="104"/>
    </row>
    <row r="329" spans="3:4" x14ac:dyDescent="0.25">
      <c r="C329" s="104"/>
      <c r="D329" s="104"/>
    </row>
    <row r="330" spans="3:4" x14ac:dyDescent="0.25">
      <c r="C330" s="104"/>
      <c r="D330" s="104"/>
    </row>
    <row r="331" spans="3:4" x14ac:dyDescent="0.25">
      <c r="C331" s="104"/>
      <c r="D331" s="104"/>
    </row>
    <row r="332" spans="3:4" x14ac:dyDescent="0.25">
      <c r="C332" s="104"/>
      <c r="D332" s="104"/>
    </row>
    <row r="333" spans="3:4" x14ac:dyDescent="0.25">
      <c r="C333" s="104"/>
      <c r="D333" s="104"/>
    </row>
    <row r="334" spans="3:4" x14ac:dyDescent="0.25">
      <c r="C334" s="104"/>
      <c r="D334" s="104"/>
    </row>
    <row r="335" spans="3:4" x14ac:dyDescent="0.25">
      <c r="C335" s="104"/>
      <c r="D335" s="104"/>
    </row>
    <row r="336" spans="3:4" x14ac:dyDescent="0.25">
      <c r="C336" s="104"/>
      <c r="D336" s="104"/>
    </row>
    <row r="337" spans="3:4" x14ac:dyDescent="0.25">
      <c r="C337" s="104"/>
      <c r="D337" s="104"/>
    </row>
    <row r="338" spans="3:4" x14ac:dyDescent="0.25">
      <c r="C338" s="104"/>
      <c r="D338" s="104"/>
    </row>
    <row r="339" spans="3:4" x14ac:dyDescent="0.25">
      <c r="C339" s="104"/>
      <c r="D339" s="104"/>
    </row>
    <row r="340" spans="3:4" x14ac:dyDescent="0.25">
      <c r="C340" s="104"/>
      <c r="D340" s="104"/>
    </row>
    <row r="341" spans="3:4" x14ac:dyDescent="0.25">
      <c r="C341" s="104"/>
      <c r="D341" s="104"/>
    </row>
    <row r="342" spans="3:4" x14ac:dyDescent="0.25">
      <c r="C342" s="104"/>
      <c r="D342" s="104"/>
    </row>
    <row r="343" spans="3:4" x14ac:dyDescent="0.25">
      <c r="C343" s="104"/>
      <c r="D343" s="104"/>
    </row>
    <row r="344" spans="3:4" x14ac:dyDescent="0.25">
      <c r="C344" s="104"/>
      <c r="D344" s="104"/>
    </row>
    <row r="345" spans="3:4" x14ac:dyDescent="0.25">
      <c r="C345" s="104"/>
      <c r="D345" s="104"/>
    </row>
    <row r="346" spans="3:4" x14ac:dyDescent="0.25">
      <c r="C346" s="104"/>
      <c r="D346" s="104"/>
    </row>
    <row r="347" spans="3:4" x14ac:dyDescent="0.25">
      <c r="C347" s="104"/>
      <c r="D347" s="104"/>
    </row>
    <row r="348" spans="3:4" x14ac:dyDescent="0.25">
      <c r="C348" s="104"/>
      <c r="D348" s="104"/>
    </row>
    <row r="349" spans="3:4" x14ac:dyDescent="0.25">
      <c r="C349" s="104"/>
      <c r="D349" s="104"/>
    </row>
    <row r="350" spans="3:4" x14ac:dyDescent="0.25">
      <c r="C350" s="104"/>
      <c r="D350" s="104"/>
    </row>
    <row r="351" spans="3:4" x14ac:dyDescent="0.25">
      <c r="C351" s="104"/>
      <c r="D351" s="104"/>
    </row>
    <row r="352" spans="3:4" x14ac:dyDescent="0.25">
      <c r="C352" s="104"/>
      <c r="D352" s="104"/>
    </row>
    <row r="353" spans="3:4" x14ac:dyDescent="0.25">
      <c r="C353" s="104"/>
      <c r="D353" s="104"/>
    </row>
    <row r="354" spans="3:4" x14ac:dyDescent="0.25">
      <c r="C354" s="104"/>
      <c r="D354" s="104"/>
    </row>
    <row r="355" spans="3:4" x14ac:dyDescent="0.25">
      <c r="C355" s="104"/>
      <c r="D355" s="104"/>
    </row>
    <row r="356" spans="3:4" x14ac:dyDescent="0.25">
      <c r="C356" s="104"/>
      <c r="D356" s="104"/>
    </row>
    <row r="357" spans="3:4" x14ac:dyDescent="0.25">
      <c r="C357" s="104"/>
      <c r="D357" s="104"/>
    </row>
    <row r="358" spans="3:4" x14ac:dyDescent="0.25">
      <c r="C358" s="104"/>
      <c r="D358" s="104"/>
    </row>
    <row r="359" spans="3:4" x14ac:dyDescent="0.25">
      <c r="C359" s="104"/>
      <c r="D359" s="104"/>
    </row>
    <row r="360" spans="3:4" x14ac:dyDescent="0.25">
      <c r="C360" s="104"/>
      <c r="D360" s="104"/>
    </row>
    <row r="361" spans="3:4" x14ac:dyDescent="0.25">
      <c r="C361" s="104"/>
      <c r="D361" s="104"/>
    </row>
    <row r="362" spans="3:4" x14ac:dyDescent="0.25">
      <c r="C362" s="104"/>
      <c r="D362" s="104"/>
    </row>
    <row r="363" spans="3:4" x14ac:dyDescent="0.25">
      <c r="C363" s="104"/>
      <c r="D363" s="104"/>
    </row>
    <row r="364" spans="3:4" x14ac:dyDescent="0.25">
      <c r="C364" s="104"/>
      <c r="D364" s="104"/>
    </row>
    <row r="365" spans="3:4" x14ac:dyDescent="0.25">
      <c r="C365" s="104"/>
      <c r="D365" s="104"/>
    </row>
    <row r="366" spans="3:4" x14ac:dyDescent="0.25">
      <c r="C366" s="104"/>
      <c r="D366" s="104"/>
    </row>
    <row r="367" spans="3:4" x14ac:dyDescent="0.25">
      <c r="C367" s="104"/>
      <c r="D367" s="104"/>
    </row>
    <row r="368" spans="3:4" x14ac:dyDescent="0.25">
      <c r="C368" s="104"/>
      <c r="D368" s="104"/>
    </row>
    <row r="369" spans="3:4" x14ac:dyDescent="0.25">
      <c r="C369" s="104"/>
      <c r="D369" s="104"/>
    </row>
    <row r="370" spans="3:4" x14ac:dyDescent="0.25">
      <c r="C370" s="104"/>
      <c r="D370" s="104"/>
    </row>
    <row r="371" spans="3:4" x14ac:dyDescent="0.25">
      <c r="C371" s="104"/>
      <c r="D371" s="104"/>
    </row>
    <row r="372" spans="3:4" x14ac:dyDescent="0.25">
      <c r="C372" s="104"/>
      <c r="D372" s="104"/>
    </row>
    <row r="373" spans="3:4" x14ac:dyDescent="0.25">
      <c r="C373" s="104"/>
      <c r="D373" s="104"/>
    </row>
    <row r="374" spans="3:4" x14ac:dyDescent="0.25">
      <c r="C374" s="104"/>
      <c r="D374" s="104"/>
    </row>
    <row r="375" spans="3:4" x14ac:dyDescent="0.25">
      <c r="C375" s="104"/>
      <c r="D375" s="104"/>
    </row>
    <row r="376" spans="3:4" x14ac:dyDescent="0.25">
      <c r="C376" s="104"/>
      <c r="D376" s="104"/>
    </row>
    <row r="377" spans="3:4" x14ac:dyDescent="0.25">
      <c r="C377" s="104"/>
      <c r="D377" s="104"/>
    </row>
    <row r="378" spans="3:4" x14ac:dyDescent="0.25">
      <c r="C378" s="104"/>
      <c r="D378" s="104"/>
    </row>
    <row r="379" spans="3:4" x14ac:dyDescent="0.25">
      <c r="C379" s="104"/>
      <c r="D379" s="104"/>
    </row>
    <row r="380" spans="3:4" x14ac:dyDescent="0.25">
      <c r="C380" s="104"/>
      <c r="D380" s="104"/>
    </row>
    <row r="381" spans="3:4" x14ac:dyDescent="0.25">
      <c r="C381" s="104"/>
      <c r="D381" s="104"/>
    </row>
    <row r="382" spans="3:4" x14ac:dyDescent="0.25">
      <c r="C382" s="104"/>
      <c r="D382" s="104"/>
    </row>
    <row r="383" spans="3:4" x14ac:dyDescent="0.25">
      <c r="C383" s="104"/>
      <c r="D383" s="104"/>
    </row>
    <row r="384" spans="3:4" x14ac:dyDescent="0.25">
      <c r="C384" s="104"/>
      <c r="D384" s="104"/>
    </row>
    <row r="385" spans="3:4" x14ac:dyDescent="0.25">
      <c r="C385" s="104"/>
      <c r="D385" s="104"/>
    </row>
    <row r="386" spans="3:4" x14ac:dyDescent="0.25">
      <c r="C386" s="104"/>
      <c r="D386" s="104"/>
    </row>
    <row r="387" spans="3:4" x14ac:dyDescent="0.25">
      <c r="C387" s="104"/>
      <c r="D387" s="104"/>
    </row>
    <row r="388" spans="3:4" x14ac:dyDescent="0.25">
      <c r="C388" s="104"/>
      <c r="D388" s="104"/>
    </row>
    <row r="389" spans="3:4" x14ac:dyDescent="0.25">
      <c r="C389" s="104"/>
      <c r="D389" s="104"/>
    </row>
    <row r="390" spans="3:4" x14ac:dyDescent="0.25">
      <c r="C390" s="104"/>
      <c r="D390" s="104"/>
    </row>
    <row r="391" spans="3:4" x14ac:dyDescent="0.25">
      <c r="C391" s="104"/>
      <c r="D391" s="104"/>
    </row>
    <row r="392" spans="3:4" x14ac:dyDescent="0.25">
      <c r="C392" s="104"/>
      <c r="D392" s="104"/>
    </row>
    <row r="393" spans="3:4" x14ac:dyDescent="0.25">
      <c r="C393" s="104"/>
      <c r="D393" s="104"/>
    </row>
    <row r="394" spans="3:4" x14ac:dyDescent="0.25">
      <c r="C394" s="104"/>
      <c r="D394" s="104"/>
    </row>
    <row r="395" spans="3:4" x14ac:dyDescent="0.25">
      <c r="C395" s="104"/>
      <c r="D395" s="104"/>
    </row>
    <row r="396" spans="3:4" x14ac:dyDescent="0.25">
      <c r="C396" s="104"/>
      <c r="D396" s="104"/>
    </row>
    <row r="397" spans="3:4" x14ac:dyDescent="0.25">
      <c r="C397" s="104"/>
      <c r="D397" s="104"/>
    </row>
    <row r="398" spans="3:4" x14ac:dyDescent="0.25">
      <c r="C398" s="104"/>
      <c r="D398" s="104"/>
    </row>
    <row r="399" spans="3:4" x14ac:dyDescent="0.25">
      <c r="C399" s="104"/>
      <c r="D399" s="104"/>
    </row>
    <row r="400" spans="3:4" x14ac:dyDescent="0.25">
      <c r="C400" s="104"/>
      <c r="D400" s="104"/>
    </row>
    <row r="401" spans="3:4" x14ac:dyDescent="0.25">
      <c r="C401" s="104"/>
      <c r="D401" s="104"/>
    </row>
    <row r="402" spans="3:4" x14ac:dyDescent="0.25">
      <c r="C402" s="104"/>
      <c r="D402" s="104"/>
    </row>
    <row r="403" spans="3:4" x14ac:dyDescent="0.25">
      <c r="C403" s="104"/>
      <c r="D403" s="104"/>
    </row>
    <row r="404" spans="3:4" x14ac:dyDescent="0.25">
      <c r="C404" s="104"/>
      <c r="D404" s="104"/>
    </row>
    <row r="405" spans="3:4" x14ac:dyDescent="0.25">
      <c r="C405" s="104"/>
      <c r="D405" s="104"/>
    </row>
    <row r="406" spans="3:4" x14ac:dyDescent="0.25">
      <c r="C406" s="104"/>
      <c r="D406" s="104"/>
    </row>
    <row r="407" spans="3:4" x14ac:dyDescent="0.25">
      <c r="C407" s="104"/>
      <c r="D407" s="104"/>
    </row>
    <row r="408" spans="3:4" x14ac:dyDescent="0.25">
      <c r="C408" s="104"/>
      <c r="D408" s="104"/>
    </row>
    <row r="409" spans="3:4" x14ac:dyDescent="0.25">
      <c r="C409" s="104"/>
      <c r="D409" s="104"/>
    </row>
    <row r="410" spans="3:4" x14ac:dyDescent="0.25">
      <c r="C410" s="104"/>
      <c r="D410" s="104"/>
    </row>
    <row r="411" spans="3:4" x14ac:dyDescent="0.25">
      <c r="C411" s="104"/>
      <c r="D411" s="104"/>
    </row>
    <row r="412" spans="3:4" x14ac:dyDescent="0.25">
      <c r="C412" s="104"/>
      <c r="D412" s="104"/>
    </row>
    <row r="413" spans="3:4" x14ac:dyDescent="0.25">
      <c r="C413" s="104"/>
      <c r="D413" s="104"/>
    </row>
    <row r="414" spans="3:4" x14ac:dyDescent="0.25">
      <c r="C414" s="104"/>
      <c r="D414" s="104"/>
    </row>
    <row r="415" spans="3:4" x14ac:dyDescent="0.25">
      <c r="C415" s="104"/>
      <c r="D415" s="104"/>
    </row>
    <row r="416" spans="3:4" x14ac:dyDescent="0.25">
      <c r="C416" s="104"/>
      <c r="D416" s="104"/>
    </row>
    <row r="417" spans="3:4" x14ac:dyDescent="0.25">
      <c r="C417" s="104"/>
      <c r="D417" s="104"/>
    </row>
    <row r="418" spans="3:4" x14ac:dyDescent="0.25">
      <c r="C418" s="104"/>
      <c r="D418" s="104"/>
    </row>
    <row r="419" spans="3:4" x14ac:dyDescent="0.25">
      <c r="C419" s="104"/>
      <c r="D419" s="104"/>
    </row>
    <row r="420" spans="3:4" x14ac:dyDescent="0.25">
      <c r="C420" s="104"/>
      <c r="D420" s="104"/>
    </row>
    <row r="421" spans="3:4" x14ac:dyDescent="0.25">
      <c r="C421" s="104"/>
      <c r="D421" s="104"/>
    </row>
    <row r="422" spans="3:4" x14ac:dyDescent="0.25">
      <c r="C422" s="104"/>
      <c r="D422" s="104"/>
    </row>
    <row r="423" spans="3:4" x14ac:dyDescent="0.25">
      <c r="C423" s="104"/>
      <c r="D423" s="104"/>
    </row>
    <row r="424" spans="3:4" x14ac:dyDescent="0.25">
      <c r="C424" s="104"/>
      <c r="D424" s="104"/>
    </row>
    <row r="425" spans="3:4" x14ac:dyDescent="0.25">
      <c r="C425" s="104"/>
      <c r="D425" s="104"/>
    </row>
    <row r="426" spans="3:4" x14ac:dyDescent="0.25">
      <c r="C426" s="104"/>
      <c r="D426" s="104"/>
    </row>
    <row r="427" spans="3:4" x14ac:dyDescent="0.25">
      <c r="C427" s="104"/>
      <c r="D427" s="104"/>
    </row>
    <row r="428" spans="3:4" x14ac:dyDescent="0.25">
      <c r="C428" s="104"/>
      <c r="D428" s="104"/>
    </row>
    <row r="429" spans="3:4" x14ac:dyDescent="0.25">
      <c r="C429" s="104"/>
      <c r="D429" s="104"/>
    </row>
    <row r="430" spans="3:4" x14ac:dyDescent="0.25">
      <c r="C430" s="104"/>
      <c r="D430" s="104"/>
    </row>
    <row r="431" spans="3:4" x14ac:dyDescent="0.25">
      <c r="C431" s="104"/>
      <c r="D431" s="104"/>
    </row>
    <row r="432" spans="3:4" x14ac:dyDescent="0.25">
      <c r="C432" s="104"/>
      <c r="D432" s="104"/>
    </row>
    <row r="433" spans="3:4" x14ac:dyDescent="0.25">
      <c r="C433" s="104"/>
      <c r="D433" s="104"/>
    </row>
    <row r="434" spans="3:4" x14ac:dyDescent="0.25">
      <c r="C434" s="104"/>
      <c r="D434" s="104"/>
    </row>
    <row r="435" spans="3:4" x14ac:dyDescent="0.25">
      <c r="C435" s="104"/>
      <c r="D435" s="104"/>
    </row>
    <row r="436" spans="3:4" x14ac:dyDescent="0.25">
      <c r="C436" s="104"/>
      <c r="D436" s="104"/>
    </row>
    <row r="437" spans="3:4" x14ac:dyDescent="0.25">
      <c r="C437" s="104"/>
      <c r="D437" s="104"/>
    </row>
    <row r="438" spans="3:4" x14ac:dyDescent="0.25">
      <c r="C438" s="104"/>
      <c r="D438" s="104"/>
    </row>
    <row r="439" spans="3:4" x14ac:dyDescent="0.25">
      <c r="C439" s="104"/>
      <c r="D439" s="104"/>
    </row>
    <row r="440" spans="3:4" x14ac:dyDescent="0.25">
      <c r="C440" s="104"/>
      <c r="D440" s="104"/>
    </row>
    <row r="441" spans="3:4" x14ac:dyDescent="0.25">
      <c r="C441" s="104"/>
      <c r="D441" s="104"/>
    </row>
    <row r="442" spans="3:4" x14ac:dyDescent="0.25">
      <c r="C442" s="104"/>
      <c r="D442" s="104"/>
    </row>
    <row r="443" spans="3:4" x14ac:dyDescent="0.25">
      <c r="C443" s="104"/>
      <c r="D443" s="104"/>
    </row>
    <row r="444" spans="3:4" x14ac:dyDescent="0.25">
      <c r="C444" s="104"/>
      <c r="D444" s="104"/>
    </row>
    <row r="445" spans="3:4" x14ac:dyDescent="0.25">
      <c r="C445" s="104"/>
      <c r="D445" s="104"/>
    </row>
    <row r="446" spans="3:4" x14ac:dyDescent="0.25">
      <c r="C446" s="104"/>
      <c r="D446" s="104"/>
    </row>
    <row r="447" spans="3:4" x14ac:dyDescent="0.25">
      <c r="C447" s="104"/>
      <c r="D447" s="104"/>
    </row>
    <row r="448" spans="3:4" x14ac:dyDescent="0.25">
      <c r="C448" s="104"/>
      <c r="D448" s="104"/>
    </row>
    <row r="449" spans="3:4" x14ac:dyDescent="0.25">
      <c r="C449" s="104"/>
      <c r="D449" s="104"/>
    </row>
    <row r="450" spans="3:4" x14ac:dyDescent="0.25">
      <c r="C450" s="104"/>
      <c r="D450" s="104"/>
    </row>
    <row r="451" spans="3:4" x14ac:dyDescent="0.25">
      <c r="C451" s="104"/>
      <c r="D451" s="104"/>
    </row>
    <row r="452" spans="3:4" x14ac:dyDescent="0.25">
      <c r="C452" s="104"/>
      <c r="D452" s="104"/>
    </row>
    <row r="453" spans="3:4" x14ac:dyDescent="0.25">
      <c r="C453" s="104"/>
      <c r="D453" s="104"/>
    </row>
    <row r="454" spans="3:4" x14ac:dyDescent="0.25">
      <c r="C454" s="104"/>
      <c r="D454" s="104"/>
    </row>
    <row r="455" spans="3:4" x14ac:dyDescent="0.25">
      <c r="C455" s="104"/>
      <c r="D455" s="104"/>
    </row>
    <row r="456" spans="3:4" x14ac:dyDescent="0.25">
      <c r="C456" s="104"/>
      <c r="D456" s="104"/>
    </row>
    <row r="457" spans="3:4" x14ac:dyDescent="0.25">
      <c r="C457" s="104"/>
      <c r="D457" s="104"/>
    </row>
    <row r="458" spans="3:4" x14ac:dyDescent="0.25">
      <c r="C458" s="104"/>
      <c r="D458" s="104"/>
    </row>
    <row r="459" spans="3:4" x14ac:dyDescent="0.25">
      <c r="C459" s="104"/>
      <c r="D459" s="104"/>
    </row>
    <row r="460" spans="3:4" x14ac:dyDescent="0.25">
      <c r="C460" s="104"/>
      <c r="D460" s="104"/>
    </row>
    <row r="461" spans="3:4" x14ac:dyDescent="0.25">
      <c r="C461" s="104"/>
      <c r="D461" s="104"/>
    </row>
    <row r="462" spans="3:4" x14ac:dyDescent="0.25">
      <c r="C462" s="104"/>
      <c r="D462" s="104"/>
    </row>
    <row r="463" spans="3:4" x14ac:dyDescent="0.25">
      <c r="C463" s="104"/>
      <c r="D463" s="104"/>
    </row>
    <row r="464" spans="3:4" x14ac:dyDescent="0.25">
      <c r="C464" s="104"/>
      <c r="D464" s="104"/>
    </row>
    <row r="465" spans="3:4" x14ac:dyDescent="0.25">
      <c r="C465" s="104"/>
      <c r="D465" s="104"/>
    </row>
    <row r="466" spans="3:4" x14ac:dyDescent="0.25">
      <c r="C466" s="104"/>
      <c r="D466" s="104"/>
    </row>
    <row r="467" spans="3:4" x14ac:dyDescent="0.25">
      <c r="C467" s="104"/>
      <c r="D467" s="104"/>
    </row>
    <row r="468" spans="3:4" x14ac:dyDescent="0.25">
      <c r="C468" s="104"/>
      <c r="D468" s="104"/>
    </row>
    <row r="469" spans="3:4" x14ac:dyDescent="0.25">
      <c r="C469" s="104"/>
      <c r="D469" s="104"/>
    </row>
    <row r="470" spans="3:4" x14ac:dyDescent="0.25">
      <c r="C470" s="104"/>
      <c r="D470" s="104"/>
    </row>
    <row r="471" spans="3:4" x14ac:dyDescent="0.25">
      <c r="C471" s="104"/>
      <c r="D471" s="104"/>
    </row>
    <row r="472" spans="3:4" x14ac:dyDescent="0.25">
      <c r="C472" s="104"/>
      <c r="D472" s="104"/>
    </row>
    <row r="473" spans="3:4" x14ac:dyDescent="0.25">
      <c r="C473" s="104"/>
      <c r="D473" s="104"/>
    </row>
    <row r="474" spans="3:4" x14ac:dyDescent="0.25">
      <c r="C474" s="104"/>
      <c r="D474" s="104"/>
    </row>
    <row r="475" spans="3:4" x14ac:dyDescent="0.25">
      <c r="C475" s="104"/>
      <c r="D475" s="104"/>
    </row>
    <row r="476" spans="3:4" x14ac:dyDescent="0.25">
      <c r="C476" s="104"/>
      <c r="D476" s="104"/>
    </row>
    <row r="477" spans="3:4" x14ac:dyDescent="0.25">
      <c r="C477" s="104"/>
      <c r="D477" s="104"/>
    </row>
    <row r="478" spans="3:4" x14ac:dyDescent="0.25">
      <c r="C478" s="104"/>
      <c r="D478" s="104"/>
    </row>
    <row r="479" spans="3:4" x14ac:dyDescent="0.25">
      <c r="C479" s="104"/>
      <c r="D479" s="104"/>
    </row>
    <row r="480" spans="3:4" x14ac:dyDescent="0.25">
      <c r="C480" s="104"/>
      <c r="D480" s="104"/>
    </row>
    <row r="481" spans="3:4" x14ac:dyDescent="0.25">
      <c r="C481" s="104"/>
      <c r="D481" s="104"/>
    </row>
    <row r="482" spans="3:4" x14ac:dyDescent="0.25">
      <c r="C482" s="104"/>
      <c r="D482" s="104"/>
    </row>
    <row r="483" spans="3:4" x14ac:dyDescent="0.25">
      <c r="C483" s="104"/>
      <c r="D483" s="104"/>
    </row>
    <row r="484" spans="3:4" x14ac:dyDescent="0.25">
      <c r="C484" s="104"/>
      <c r="D484" s="104"/>
    </row>
    <row r="485" spans="3:4" x14ac:dyDescent="0.25">
      <c r="C485" s="104"/>
      <c r="D485" s="104"/>
    </row>
    <row r="486" spans="3:4" x14ac:dyDescent="0.25">
      <c r="C486" s="104"/>
      <c r="D486" s="104"/>
    </row>
    <row r="487" spans="3:4" x14ac:dyDescent="0.25">
      <c r="C487" s="104"/>
      <c r="D487" s="104"/>
    </row>
    <row r="488" spans="3:4" x14ac:dyDescent="0.25">
      <c r="C488" s="104"/>
      <c r="D488" s="104"/>
    </row>
    <row r="489" spans="3:4" x14ac:dyDescent="0.25">
      <c r="C489" s="104"/>
      <c r="D489" s="104"/>
    </row>
    <row r="490" spans="3:4" x14ac:dyDescent="0.25">
      <c r="C490" s="104"/>
      <c r="D490" s="104"/>
    </row>
    <row r="491" spans="3:4" x14ac:dyDescent="0.25">
      <c r="C491" s="104"/>
      <c r="D491" s="104"/>
    </row>
    <row r="492" spans="3:4" x14ac:dyDescent="0.25">
      <c r="C492" s="104"/>
      <c r="D492" s="104"/>
    </row>
    <row r="493" spans="3:4" x14ac:dyDescent="0.25">
      <c r="C493" s="104"/>
      <c r="D493" s="104"/>
    </row>
    <row r="494" spans="3:4" x14ac:dyDescent="0.25">
      <c r="C494" s="104"/>
      <c r="D494" s="104"/>
    </row>
    <row r="495" spans="3:4" x14ac:dyDescent="0.25">
      <c r="C495" s="104"/>
      <c r="D495" s="104"/>
    </row>
    <row r="496" spans="3:4" x14ac:dyDescent="0.25">
      <c r="C496" s="104"/>
      <c r="D496" s="104"/>
    </row>
    <row r="497" spans="3:4" x14ac:dyDescent="0.25">
      <c r="C497" s="104"/>
      <c r="D497" s="104"/>
    </row>
    <row r="498" spans="3:4" x14ac:dyDescent="0.25">
      <c r="C498" s="104"/>
      <c r="D498" s="104"/>
    </row>
    <row r="499" spans="3:4" x14ac:dyDescent="0.25">
      <c r="C499" s="104"/>
      <c r="D499" s="104"/>
    </row>
    <row r="500" spans="3:4" x14ac:dyDescent="0.25">
      <c r="C500" s="104"/>
      <c r="D500" s="104"/>
    </row>
    <row r="501" spans="3:4" x14ac:dyDescent="0.25">
      <c r="C501" s="104"/>
      <c r="D501" s="104"/>
    </row>
    <row r="502" spans="3:4" x14ac:dyDescent="0.25">
      <c r="C502" s="104"/>
      <c r="D502" s="104"/>
    </row>
    <row r="503" spans="3:4" x14ac:dyDescent="0.25">
      <c r="C503" s="104"/>
      <c r="D503" s="104"/>
    </row>
    <row r="504" spans="3:4" x14ac:dyDescent="0.25">
      <c r="C504" s="104"/>
      <c r="D504" s="104"/>
    </row>
    <row r="505" spans="3:4" x14ac:dyDescent="0.25">
      <c r="C505" s="104"/>
      <c r="D505" s="104"/>
    </row>
    <row r="506" spans="3:4" x14ac:dyDescent="0.25">
      <c r="C506" s="104"/>
      <c r="D506" s="104"/>
    </row>
    <row r="507" spans="3:4" x14ac:dyDescent="0.25">
      <c r="C507" s="104"/>
      <c r="D507" s="104"/>
    </row>
    <row r="508" spans="3:4" x14ac:dyDescent="0.25">
      <c r="C508" s="104"/>
      <c r="D508" s="104"/>
    </row>
    <row r="509" spans="3:4" x14ac:dyDescent="0.25">
      <c r="C509" s="104"/>
      <c r="D509" s="104"/>
    </row>
    <row r="510" spans="3:4" x14ac:dyDescent="0.25">
      <c r="C510" s="104"/>
      <c r="D510" s="104"/>
    </row>
    <row r="511" spans="3:4" x14ac:dyDescent="0.25">
      <c r="C511" s="104"/>
      <c r="D511" s="104"/>
    </row>
    <row r="512" spans="3:4" x14ac:dyDescent="0.25">
      <c r="C512" s="104"/>
      <c r="D512" s="104"/>
    </row>
    <row r="513" spans="3:4" x14ac:dyDescent="0.25">
      <c r="C513" s="104"/>
      <c r="D513" s="104"/>
    </row>
    <row r="514" spans="3:4" x14ac:dyDescent="0.25">
      <c r="C514" s="104"/>
      <c r="D514" s="104"/>
    </row>
    <row r="515" spans="3:4" x14ac:dyDescent="0.25">
      <c r="C515" s="104"/>
      <c r="D515" s="104"/>
    </row>
    <row r="516" spans="3:4" x14ac:dyDescent="0.25">
      <c r="C516" s="104"/>
      <c r="D516" s="104"/>
    </row>
    <row r="517" spans="3:4" x14ac:dyDescent="0.25">
      <c r="C517" s="104"/>
      <c r="D517" s="104"/>
    </row>
    <row r="518" spans="3:4" x14ac:dyDescent="0.25">
      <c r="C518" s="104"/>
      <c r="D518" s="104"/>
    </row>
    <row r="519" spans="3:4" x14ac:dyDescent="0.25">
      <c r="C519" s="104"/>
      <c r="D519" s="104"/>
    </row>
    <row r="520" spans="3:4" x14ac:dyDescent="0.25">
      <c r="C520" s="104"/>
      <c r="D520" s="104"/>
    </row>
    <row r="521" spans="3:4" x14ac:dyDescent="0.25">
      <c r="C521" s="104"/>
      <c r="D521" s="104"/>
    </row>
    <row r="522" spans="3:4" x14ac:dyDescent="0.25">
      <c r="C522" s="104"/>
      <c r="D522" s="104"/>
    </row>
    <row r="523" spans="3:4" x14ac:dyDescent="0.25">
      <c r="C523" s="104"/>
      <c r="D523" s="104"/>
    </row>
    <row r="524" spans="3:4" x14ac:dyDescent="0.25">
      <c r="C524" s="104"/>
      <c r="D524" s="104"/>
    </row>
    <row r="525" spans="3:4" x14ac:dyDescent="0.25">
      <c r="C525" s="104"/>
      <c r="D525" s="104"/>
    </row>
    <row r="526" spans="3:4" x14ac:dyDescent="0.25">
      <c r="C526" s="104"/>
      <c r="D526" s="104"/>
    </row>
    <row r="527" spans="3:4" x14ac:dyDescent="0.25">
      <c r="C527" s="104"/>
      <c r="D527" s="104"/>
    </row>
    <row r="528" spans="3:4" x14ac:dyDescent="0.25">
      <c r="C528" s="104"/>
      <c r="D528" s="104"/>
    </row>
    <row r="529" spans="3:4" x14ac:dyDescent="0.25">
      <c r="C529" s="104"/>
      <c r="D529" s="104"/>
    </row>
    <row r="530" spans="3:4" x14ac:dyDescent="0.25">
      <c r="C530" s="104"/>
      <c r="D530" s="104"/>
    </row>
    <row r="531" spans="3:4" x14ac:dyDescent="0.25">
      <c r="C531" s="104"/>
      <c r="D531" s="104"/>
    </row>
    <row r="532" spans="3:4" x14ac:dyDescent="0.25">
      <c r="C532" s="104"/>
      <c r="D532" s="104"/>
    </row>
    <row r="533" spans="3:4" x14ac:dyDescent="0.25">
      <c r="C533" s="104"/>
      <c r="D533" s="104"/>
    </row>
    <row r="534" spans="3:4" x14ac:dyDescent="0.25">
      <c r="C534" s="104"/>
      <c r="D534" s="104"/>
    </row>
    <row r="535" spans="3:4" x14ac:dyDescent="0.25">
      <c r="C535" s="104"/>
      <c r="D535" s="104"/>
    </row>
    <row r="536" spans="3:4" x14ac:dyDescent="0.25">
      <c r="C536" s="104"/>
      <c r="D536" s="104"/>
    </row>
    <row r="537" spans="3:4" x14ac:dyDescent="0.25">
      <c r="C537" s="104"/>
      <c r="D537" s="104"/>
    </row>
    <row r="538" spans="3:4" x14ac:dyDescent="0.25">
      <c r="C538" s="104"/>
      <c r="D538" s="104"/>
    </row>
    <row r="539" spans="3:4" x14ac:dyDescent="0.25">
      <c r="C539" s="104"/>
      <c r="D539" s="104"/>
    </row>
    <row r="540" spans="3:4" x14ac:dyDescent="0.25">
      <c r="C540" s="104"/>
      <c r="D540" s="104"/>
    </row>
    <row r="541" spans="3:4" x14ac:dyDescent="0.25">
      <c r="C541" s="104"/>
      <c r="D541" s="104"/>
    </row>
    <row r="542" spans="3:4" x14ac:dyDescent="0.25">
      <c r="C542" s="104"/>
      <c r="D542" s="104"/>
    </row>
    <row r="543" spans="3:4" x14ac:dyDescent="0.25">
      <c r="C543" s="104"/>
      <c r="D543" s="104"/>
    </row>
    <row r="544" spans="3:4" x14ac:dyDescent="0.25">
      <c r="C544" s="104"/>
      <c r="D544" s="104"/>
    </row>
    <row r="545" spans="3:4" x14ac:dyDescent="0.25">
      <c r="C545" s="104"/>
      <c r="D545" s="104"/>
    </row>
    <row r="546" spans="3:4" x14ac:dyDescent="0.25">
      <c r="C546" s="104"/>
      <c r="D546" s="104"/>
    </row>
    <row r="547" spans="3:4" x14ac:dyDescent="0.25">
      <c r="C547" s="104"/>
      <c r="D547" s="104"/>
    </row>
    <row r="548" spans="3:4" x14ac:dyDescent="0.25">
      <c r="C548" s="104"/>
      <c r="D548" s="104"/>
    </row>
    <row r="549" spans="3:4" x14ac:dyDescent="0.25">
      <c r="C549" s="104"/>
      <c r="D549" s="104"/>
    </row>
    <row r="550" spans="3:4" x14ac:dyDescent="0.25">
      <c r="C550" s="104"/>
      <c r="D550" s="104"/>
    </row>
    <row r="551" spans="3:4" x14ac:dyDescent="0.25">
      <c r="C551" s="104"/>
      <c r="D551" s="104"/>
    </row>
    <row r="552" spans="3:4" x14ac:dyDescent="0.25">
      <c r="C552" s="104"/>
      <c r="D552" s="104"/>
    </row>
    <row r="553" spans="3:4" x14ac:dyDescent="0.25">
      <c r="C553" s="104"/>
      <c r="D553" s="104"/>
    </row>
    <row r="554" spans="3:4" x14ac:dyDescent="0.25">
      <c r="C554" s="104"/>
      <c r="D554" s="104"/>
    </row>
    <row r="555" spans="3:4" x14ac:dyDescent="0.25">
      <c r="C555" s="104"/>
      <c r="D555" s="104"/>
    </row>
    <row r="556" spans="3:4" x14ac:dyDescent="0.25">
      <c r="C556" s="104"/>
      <c r="D556" s="104"/>
    </row>
    <row r="557" spans="3:4" x14ac:dyDescent="0.25">
      <c r="C557" s="104"/>
      <c r="D557" s="104"/>
    </row>
    <row r="558" spans="3:4" x14ac:dyDescent="0.25">
      <c r="C558" s="104"/>
      <c r="D558" s="104"/>
    </row>
    <row r="559" spans="3:4" x14ac:dyDescent="0.25">
      <c r="C559" s="104"/>
      <c r="D559" s="104"/>
    </row>
    <row r="560" spans="3:4" x14ac:dyDescent="0.25">
      <c r="C560" s="104"/>
      <c r="D560" s="104"/>
    </row>
    <row r="561" spans="3:4" x14ac:dyDescent="0.25">
      <c r="C561" s="104"/>
      <c r="D561" s="104"/>
    </row>
    <row r="562" spans="3:4" x14ac:dyDescent="0.25">
      <c r="C562" s="104"/>
      <c r="D562" s="104"/>
    </row>
    <row r="563" spans="3:4" x14ac:dyDescent="0.25">
      <c r="C563" s="104"/>
      <c r="D563" s="104"/>
    </row>
    <row r="564" spans="3:4" x14ac:dyDescent="0.25">
      <c r="C564" s="104"/>
      <c r="D564" s="104"/>
    </row>
    <row r="565" spans="3:4" x14ac:dyDescent="0.25">
      <c r="C565" s="104"/>
      <c r="D565" s="104"/>
    </row>
    <row r="566" spans="3:4" x14ac:dyDescent="0.25">
      <c r="C566" s="104"/>
      <c r="D566" s="104"/>
    </row>
    <row r="567" spans="3:4" x14ac:dyDescent="0.25">
      <c r="C567" s="104"/>
      <c r="D567" s="104"/>
    </row>
    <row r="568" spans="3:4" x14ac:dyDescent="0.25">
      <c r="C568" s="104"/>
      <c r="D568" s="104"/>
    </row>
    <row r="569" spans="3:4" x14ac:dyDescent="0.25">
      <c r="C569" s="104"/>
      <c r="D569" s="104"/>
    </row>
    <row r="570" spans="3:4" x14ac:dyDescent="0.25">
      <c r="C570" s="104"/>
      <c r="D570" s="104"/>
    </row>
    <row r="571" spans="3:4" x14ac:dyDescent="0.25">
      <c r="C571" s="104"/>
      <c r="D571" s="104"/>
    </row>
    <row r="572" spans="3:4" x14ac:dyDescent="0.25">
      <c r="C572" s="104"/>
      <c r="D572" s="104"/>
    </row>
    <row r="573" spans="3:4" x14ac:dyDescent="0.25">
      <c r="C573" s="104"/>
      <c r="D573" s="104"/>
    </row>
    <row r="574" spans="3:4" x14ac:dyDescent="0.25">
      <c r="C574" s="104"/>
      <c r="D574" s="104"/>
    </row>
    <row r="575" spans="3:4" x14ac:dyDescent="0.25">
      <c r="C575" s="104"/>
      <c r="D575" s="104"/>
    </row>
    <row r="576" spans="3:4" x14ac:dyDescent="0.25">
      <c r="C576" s="104"/>
      <c r="D576" s="104"/>
    </row>
    <row r="577" spans="3:4" x14ac:dyDescent="0.25">
      <c r="C577" s="104"/>
      <c r="D577" s="104"/>
    </row>
    <row r="578" spans="3:4" x14ac:dyDescent="0.25">
      <c r="C578" s="104"/>
      <c r="D578" s="104"/>
    </row>
    <row r="579" spans="3:4" x14ac:dyDescent="0.25">
      <c r="C579" s="104"/>
      <c r="D579" s="104"/>
    </row>
    <row r="580" spans="3:4" x14ac:dyDescent="0.25">
      <c r="C580" s="104"/>
      <c r="D580" s="104"/>
    </row>
    <row r="581" spans="3:4" x14ac:dyDescent="0.25">
      <c r="C581" s="104"/>
      <c r="D581" s="104"/>
    </row>
    <row r="582" spans="3:4" x14ac:dyDescent="0.25">
      <c r="C582" s="104"/>
      <c r="D582" s="104"/>
    </row>
    <row r="583" spans="3:4" x14ac:dyDescent="0.25">
      <c r="C583" s="104"/>
      <c r="D583" s="104"/>
    </row>
    <row r="584" spans="3:4" x14ac:dyDescent="0.25">
      <c r="C584" s="104"/>
      <c r="D584" s="104"/>
    </row>
    <row r="585" spans="3:4" x14ac:dyDescent="0.25">
      <c r="C585" s="104"/>
      <c r="D585" s="104"/>
    </row>
    <row r="586" spans="3:4" x14ac:dyDescent="0.25">
      <c r="C586" s="104"/>
      <c r="D586" s="104"/>
    </row>
    <row r="587" spans="3:4" x14ac:dyDescent="0.25">
      <c r="C587" s="104"/>
      <c r="D587" s="104"/>
    </row>
    <row r="588" spans="3:4" x14ac:dyDescent="0.25">
      <c r="C588" s="104"/>
      <c r="D588" s="104"/>
    </row>
    <row r="589" spans="3:4" x14ac:dyDescent="0.25">
      <c r="C589" s="104"/>
      <c r="D589" s="104"/>
    </row>
    <row r="590" spans="3:4" x14ac:dyDescent="0.25">
      <c r="C590" s="104"/>
      <c r="D590" s="104"/>
    </row>
    <row r="591" spans="3:4" x14ac:dyDescent="0.25">
      <c r="C591" s="104"/>
      <c r="D591" s="104"/>
    </row>
    <row r="592" spans="3:4" x14ac:dyDescent="0.25">
      <c r="C592" s="104"/>
      <c r="D592" s="104"/>
    </row>
    <row r="593" spans="3:8" x14ac:dyDescent="0.25">
      <c r="C593" s="104"/>
      <c r="D593" s="104"/>
    </row>
    <row r="594" spans="3:8" x14ac:dyDescent="0.25">
      <c r="C594" s="104"/>
      <c r="D594" s="104"/>
      <c r="H594" s="89"/>
    </row>
    <row r="595" spans="3:8" x14ac:dyDescent="0.25">
      <c r="C595" s="104"/>
      <c r="D595" s="104"/>
      <c r="H595" s="89"/>
    </row>
    <row r="596" spans="3:8" x14ac:dyDescent="0.25">
      <c r="C596" s="104"/>
      <c r="D596" s="104"/>
      <c r="H596" s="89"/>
    </row>
    <row r="597" spans="3:8" x14ac:dyDescent="0.25">
      <c r="C597" s="104"/>
      <c r="D597" s="104"/>
    </row>
    <row r="598" spans="3:8" x14ac:dyDescent="0.25">
      <c r="C598" s="104"/>
      <c r="D598" s="104"/>
    </row>
    <row r="599" spans="3:8" x14ac:dyDescent="0.25">
      <c r="C599" s="104"/>
      <c r="D599" s="104"/>
    </row>
    <row r="600" spans="3:8" x14ac:dyDescent="0.25">
      <c r="C600" s="104"/>
      <c r="D600" s="104"/>
    </row>
    <row r="601" spans="3:8" x14ac:dyDescent="0.25">
      <c r="C601" s="104"/>
      <c r="D601" s="104"/>
    </row>
    <row r="602" spans="3:8" x14ac:dyDescent="0.25">
      <c r="C602" s="104"/>
      <c r="D602" s="104"/>
    </row>
    <row r="603" spans="3:8" x14ac:dyDescent="0.25">
      <c r="C603" s="104"/>
      <c r="D603" s="104"/>
    </row>
    <row r="604" spans="3:8" x14ac:dyDescent="0.25">
      <c r="C604" s="104"/>
      <c r="D604" s="104"/>
    </row>
    <row r="605" spans="3:8" x14ac:dyDescent="0.25">
      <c r="C605" s="104"/>
      <c r="D605" s="104"/>
    </row>
    <row r="606" spans="3:8" x14ac:dyDescent="0.25">
      <c r="C606" s="104"/>
      <c r="D606" s="104"/>
    </row>
    <row r="607" spans="3:8" x14ac:dyDescent="0.25">
      <c r="C607" s="104"/>
      <c r="D607" s="104"/>
    </row>
    <row r="608" spans="3:8" x14ac:dyDescent="0.25">
      <c r="C608" s="104"/>
      <c r="D608" s="104"/>
    </row>
    <row r="609" spans="3:4" x14ac:dyDescent="0.25">
      <c r="C609" s="104"/>
      <c r="D609" s="104"/>
    </row>
    <row r="610" spans="3:4" x14ac:dyDescent="0.25">
      <c r="C610" s="104"/>
      <c r="D610" s="104"/>
    </row>
    <row r="611" spans="3:4" x14ac:dyDescent="0.25">
      <c r="C611" s="104"/>
      <c r="D611" s="104"/>
    </row>
    <row r="612" spans="3:4" x14ac:dyDescent="0.25">
      <c r="C612" s="104"/>
      <c r="D612" s="104"/>
    </row>
    <row r="613" spans="3:4" x14ac:dyDescent="0.25">
      <c r="C613" s="104"/>
      <c r="D613" s="104"/>
    </row>
    <row r="614" spans="3:4" x14ac:dyDescent="0.25">
      <c r="C614" s="104"/>
      <c r="D614" s="104"/>
    </row>
    <row r="615" spans="3:4" x14ac:dyDescent="0.25">
      <c r="C615" s="104"/>
      <c r="D615" s="104"/>
    </row>
    <row r="616" spans="3:4" x14ac:dyDescent="0.25">
      <c r="C616" s="104"/>
      <c r="D616" s="104"/>
    </row>
    <row r="617" spans="3:4" x14ac:dyDescent="0.25">
      <c r="C617" s="104"/>
      <c r="D617" s="104"/>
    </row>
    <row r="618" spans="3:4" x14ac:dyDescent="0.25">
      <c r="C618" s="104"/>
      <c r="D618" s="104"/>
    </row>
    <row r="619" spans="3:4" x14ac:dyDescent="0.25">
      <c r="C619" s="104"/>
      <c r="D619" s="104"/>
    </row>
    <row r="620" spans="3:4" x14ac:dyDescent="0.25">
      <c r="C620" s="104"/>
      <c r="D620" s="104"/>
    </row>
    <row r="621" spans="3:4" x14ac:dyDescent="0.25">
      <c r="C621" s="104"/>
      <c r="D621" s="104"/>
    </row>
    <row r="622" spans="3:4" x14ac:dyDescent="0.25">
      <c r="C622" s="104"/>
      <c r="D622" s="104"/>
    </row>
    <row r="623" spans="3:4" x14ac:dyDescent="0.25">
      <c r="C623" s="104"/>
      <c r="D623" s="104"/>
    </row>
    <row r="624" spans="3:4" x14ac:dyDescent="0.25">
      <c r="C624" s="104"/>
      <c r="D624" s="104"/>
    </row>
    <row r="625" spans="3:4" x14ac:dyDescent="0.25">
      <c r="C625" s="104"/>
      <c r="D625" s="104"/>
    </row>
    <row r="626" spans="3:4" x14ac:dyDescent="0.25">
      <c r="C626" s="104"/>
      <c r="D626" s="104"/>
    </row>
    <row r="627" spans="3:4" x14ac:dyDescent="0.25">
      <c r="C627" s="104"/>
      <c r="D627" s="104"/>
    </row>
    <row r="628" spans="3:4" x14ac:dyDescent="0.25">
      <c r="C628" s="104"/>
      <c r="D628" s="104"/>
    </row>
    <row r="629" spans="3:4" x14ac:dyDescent="0.25">
      <c r="C629" s="104"/>
      <c r="D629" s="104"/>
    </row>
    <row r="630" spans="3:4" x14ac:dyDescent="0.25">
      <c r="C630" s="104"/>
      <c r="D630" s="104"/>
    </row>
    <row r="631" spans="3:4" x14ac:dyDescent="0.25">
      <c r="C631" s="104"/>
      <c r="D631" s="104"/>
    </row>
    <row r="632" spans="3:4" x14ac:dyDescent="0.25">
      <c r="C632" s="104"/>
      <c r="D632" s="104"/>
    </row>
    <row r="633" spans="3:4" x14ac:dyDescent="0.25">
      <c r="C633" s="104"/>
      <c r="D633" s="104"/>
    </row>
    <row r="634" spans="3:4" x14ac:dyDescent="0.25">
      <c r="C634" s="104"/>
      <c r="D634" s="104"/>
    </row>
    <row r="635" spans="3:4" x14ac:dyDescent="0.25">
      <c r="C635" s="104"/>
      <c r="D635" s="104"/>
    </row>
    <row r="636" spans="3:4" x14ac:dyDescent="0.25">
      <c r="C636" s="104"/>
      <c r="D636" s="104"/>
    </row>
    <row r="637" spans="3:4" x14ac:dyDescent="0.25">
      <c r="C637" s="104"/>
      <c r="D637" s="104"/>
    </row>
    <row r="638" spans="3:4" x14ac:dyDescent="0.25">
      <c r="C638" s="104"/>
      <c r="D638" s="104"/>
    </row>
    <row r="639" spans="3:4" x14ac:dyDescent="0.25">
      <c r="C639" s="104"/>
      <c r="D639" s="104"/>
    </row>
    <row r="640" spans="3:4" x14ac:dyDescent="0.25">
      <c r="C640" s="104"/>
      <c r="D640" s="104"/>
    </row>
    <row r="641" spans="3:4" x14ac:dyDescent="0.25">
      <c r="C641" s="104"/>
      <c r="D641" s="104"/>
    </row>
    <row r="642" spans="3:4" x14ac:dyDescent="0.25">
      <c r="C642" s="104"/>
      <c r="D642" s="104"/>
    </row>
    <row r="643" spans="3:4" x14ac:dyDescent="0.25">
      <c r="C643" s="104"/>
      <c r="D643" s="104"/>
    </row>
    <row r="644" spans="3:4" x14ac:dyDescent="0.25">
      <c r="C644" s="104"/>
      <c r="D644" s="104"/>
    </row>
    <row r="645" spans="3:4" x14ac:dyDescent="0.25">
      <c r="C645" s="104"/>
      <c r="D645" s="104"/>
    </row>
    <row r="646" spans="3:4" x14ac:dyDescent="0.25">
      <c r="C646" s="104"/>
      <c r="D646" s="104"/>
    </row>
    <row r="647" spans="3:4" x14ac:dyDescent="0.25">
      <c r="C647" s="104"/>
      <c r="D647" s="104"/>
    </row>
    <row r="648" spans="3:4" x14ac:dyDescent="0.25">
      <c r="C648" s="104"/>
      <c r="D648" s="104"/>
    </row>
    <row r="649" spans="3:4" x14ac:dyDescent="0.25">
      <c r="C649" s="104"/>
      <c r="D649" s="104"/>
    </row>
    <row r="650" spans="3:4" x14ac:dyDescent="0.25">
      <c r="C650" s="104"/>
      <c r="D650" s="104"/>
    </row>
    <row r="651" spans="3:4" x14ac:dyDescent="0.25">
      <c r="C651" s="104"/>
      <c r="D651" s="104"/>
    </row>
    <row r="652" spans="3:4" x14ac:dyDescent="0.25">
      <c r="C652" s="104"/>
      <c r="D652" s="104"/>
    </row>
    <row r="653" spans="3:4" x14ac:dyDescent="0.25">
      <c r="C653" s="104"/>
      <c r="D653" s="104"/>
    </row>
    <row r="654" spans="3:4" x14ac:dyDescent="0.25">
      <c r="C654" s="104"/>
      <c r="D654" s="104"/>
    </row>
    <row r="655" spans="3:4" x14ac:dyDescent="0.25">
      <c r="C655" s="104"/>
      <c r="D655" s="104"/>
    </row>
    <row r="656" spans="3:4" x14ac:dyDescent="0.25">
      <c r="C656" s="104"/>
      <c r="D656" s="104"/>
    </row>
    <row r="657" spans="3:4" x14ac:dyDescent="0.25">
      <c r="C657" s="104"/>
      <c r="D657" s="104"/>
    </row>
    <row r="658" spans="3:4" x14ac:dyDescent="0.25">
      <c r="C658" s="104"/>
      <c r="D658" s="104"/>
    </row>
    <row r="659" spans="3:4" x14ac:dyDescent="0.25">
      <c r="C659" s="104"/>
      <c r="D659" s="104"/>
    </row>
    <row r="660" spans="3:4" x14ac:dyDescent="0.25">
      <c r="C660" s="104"/>
      <c r="D660" s="104"/>
    </row>
    <row r="661" spans="3:4" x14ac:dyDescent="0.25">
      <c r="C661" s="104"/>
      <c r="D661" s="104"/>
    </row>
    <row r="662" spans="3:4" x14ac:dyDescent="0.25">
      <c r="C662" s="104"/>
      <c r="D662" s="104"/>
    </row>
    <row r="663" spans="3:4" x14ac:dyDescent="0.25">
      <c r="C663" s="104"/>
      <c r="D663" s="104"/>
    </row>
    <row r="664" spans="3:4" x14ac:dyDescent="0.25">
      <c r="C664" s="104"/>
      <c r="D664" s="104"/>
    </row>
    <row r="665" spans="3:4" x14ac:dyDescent="0.25">
      <c r="C665" s="104"/>
      <c r="D665" s="104"/>
    </row>
    <row r="666" spans="3:4" x14ac:dyDescent="0.25">
      <c r="C666" s="104"/>
      <c r="D666" s="104"/>
    </row>
    <row r="667" spans="3:4" x14ac:dyDescent="0.25">
      <c r="C667" s="104"/>
      <c r="D667" s="104"/>
    </row>
    <row r="668" spans="3:4" x14ac:dyDescent="0.25">
      <c r="C668" s="104"/>
      <c r="D668" s="104"/>
    </row>
    <row r="669" spans="3:4" x14ac:dyDescent="0.25">
      <c r="C669" s="104"/>
      <c r="D669" s="104"/>
    </row>
    <row r="670" spans="3:4" x14ac:dyDescent="0.25">
      <c r="C670" s="104"/>
      <c r="D670" s="104"/>
    </row>
    <row r="671" spans="3:4" x14ac:dyDescent="0.25">
      <c r="C671" s="104"/>
      <c r="D671" s="104"/>
    </row>
    <row r="672" spans="3:4" x14ac:dyDescent="0.25">
      <c r="C672" s="104"/>
      <c r="D672" s="104"/>
    </row>
    <row r="673" spans="3:4" x14ac:dyDescent="0.25">
      <c r="C673" s="104"/>
      <c r="D673" s="104"/>
    </row>
    <row r="674" spans="3:4" x14ac:dyDescent="0.25">
      <c r="C674" s="104"/>
      <c r="D674" s="104"/>
    </row>
    <row r="675" spans="3:4" x14ac:dyDescent="0.25">
      <c r="C675" s="104"/>
      <c r="D675" s="104"/>
    </row>
    <row r="676" spans="3:4" x14ac:dyDescent="0.25">
      <c r="C676" s="104"/>
      <c r="D676" s="104"/>
    </row>
    <row r="677" spans="3:4" x14ac:dyDescent="0.25">
      <c r="C677" s="104"/>
      <c r="D677" s="104"/>
    </row>
    <row r="678" spans="3:4" x14ac:dyDescent="0.25">
      <c r="C678" s="104"/>
      <c r="D678" s="104"/>
    </row>
    <row r="679" spans="3:4" x14ac:dyDescent="0.25">
      <c r="C679" s="104"/>
      <c r="D679" s="104"/>
    </row>
    <row r="680" spans="3:4" x14ac:dyDescent="0.25">
      <c r="C680" s="104"/>
      <c r="D680" s="104"/>
    </row>
    <row r="681" spans="3:4" x14ac:dyDescent="0.25">
      <c r="C681" s="104"/>
      <c r="D681" s="104"/>
    </row>
    <row r="682" spans="3:4" x14ac:dyDescent="0.25">
      <c r="C682" s="104"/>
      <c r="D682" s="104"/>
    </row>
    <row r="683" spans="3:4" x14ac:dyDescent="0.25">
      <c r="C683" s="104"/>
      <c r="D683" s="104"/>
    </row>
    <row r="684" spans="3:4" x14ac:dyDescent="0.25">
      <c r="C684" s="104"/>
      <c r="D684" s="104"/>
    </row>
    <row r="685" spans="3:4" x14ac:dyDescent="0.25">
      <c r="C685" s="104"/>
      <c r="D685" s="104"/>
    </row>
    <row r="686" spans="3:4" x14ac:dyDescent="0.25">
      <c r="C686" s="104"/>
      <c r="D686" s="104"/>
    </row>
    <row r="687" spans="3:4" x14ac:dyDescent="0.25">
      <c r="C687" s="104"/>
      <c r="D687" s="104"/>
    </row>
    <row r="688" spans="3:4" x14ac:dyDescent="0.25">
      <c r="C688" s="104"/>
      <c r="D688" s="104"/>
    </row>
    <row r="689" spans="3:4" x14ac:dyDescent="0.25">
      <c r="C689" s="104"/>
      <c r="D689" s="104"/>
    </row>
    <row r="690" spans="3:4" x14ac:dyDescent="0.25">
      <c r="C690" s="104"/>
      <c r="D690" s="104"/>
    </row>
    <row r="691" spans="3:4" x14ac:dyDescent="0.25">
      <c r="C691" s="104"/>
      <c r="D691" s="104"/>
    </row>
    <row r="692" spans="3:4" x14ac:dyDescent="0.25">
      <c r="C692" s="104"/>
      <c r="D692" s="104"/>
    </row>
    <row r="693" spans="3:4" x14ac:dyDescent="0.25">
      <c r="C693" s="104"/>
      <c r="D693" s="104"/>
    </row>
    <row r="694" spans="3:4" x14ac:dyDescent="0.25">
      <c r="C694" s="104"/>
      <c r="D694" s="104"/>
    </row>
    <row r="695" spans="3:4" x14ac:dyDescent="0.25">
      <c r="C695" s="104"/>
      <c r="D695" s="104"/>
    </row>
    <row r="696" spans="3:4" x14ac:dyDescent="0.25">
      <c r="C696" s="104"/>
      <c r="D696" s="104"/>
    </row>
    <row r="697" spans="3:4" x14ac:dyDescent="0.25">
      <c r="C697" s="104"/>
      <c r="D697" s="104"/>
    </row>
    <row r="698" spans="3:4" x14ac:dyDescent="0.25">
      <c r="C698" s="104"/>
      <c r="D698" s="104"/>
    </row>
    <row r="699" spans="3:4" x14ac:dyDescent="0.25">
      <c r="C699" s="104"/>
      <c r="D699" s="104"/>
    </row>
    <row r="700" spans="3:4" x14ac:dyDescent="0.25">
      <c r="C700" s="104"/>
      <c r="D700" s="104"/>
    </row>
    <row r="701" spans="3:4" x14ac:dyDescent="0.25">
      <c r="C701" s="104"/>
      <c r="D701" s="104"/>
    </row>
    <row r="702" spans="3:4" x14ac:dyDescent="0.25">
      <c r="C702" s="104"/>
      <c r="D702" s="104"/>
    </row>
    <row r="703" spans="3:4" x14ac:dyDescent="0.25">
      <c r="C703" s="104"/>
      <c r="D703" s="104"/>
    </row>
    <row r="704" spans="3:4" x14ac:dyDescent="0.25">
      <c r="C704" s="104"/>
      <c r="D704" s="104"/>
    </row>
    <row r="705" spans="3:4" x14ac:dyDescent="0.25">
      <c r="C705" s="104"/>
      <c r="D705" s="104"/>
    </row>
    <row r="706" spans="3:4" x14ac:dyDescent="0.25">
      <c r="C706" s="104"/>
      <c r="D706" s="104"/>
    </row>
    <row r="707" spans="3:4" x14ac:dyDescent="0.25">
      <c r="C707" s="104"/>
      <c r="D707" s="104"/>
    </row>
    <row r="708" spans="3:4" x14ac:dyDescent="0.25">
      <c r="C708" s="104"/>
      <c r="D708" s="104"/>
    </row>
    <row r="709" spans="3:4" x14ac:dyDescent="0.25">
      <c r="C709" s="104"/>
      <c r="D709" s="104"/>
    </row>
    <row r="710" spans="3:4" x14ac:dyDescent="0.25">
      <c r="C710" s="104"/>
      <c r="D710" s="104"/>
    </row>
    <row r="711" spans="3:4" x14ac:dyDescent="0.25">
      <c r="C711" s="104"/>
      <c r="D711" s="104"/>
    </row>
    <row r="712" spans="3:4" x14ac:dyDescent="0.25">
      <c r="C712" s="104"/>
      <c r="D712" s="104"/>
    </row>
    <row r="713" spans="3:4" x14ac:dyDescent="0.25">
      <c r="C713" s="104"/>
      <c r="D713" s="104"/>
    </row>
    <row r="714" spans="3:4" x14ac:dyDescent="0.25">
      <c r="C714" s="104"/>
      <c r="D714" s="104"/>
    </row>
    <row r="715" spans="3:4" x14ac:dyDescent="0.25">
      <c r="C715" s="104"/>
      <c r="D715" s="104"/>
    </row>
    <row r="716" spans="3:4" x14ac:dyDescent="0.25">
      <c r="C716" s="104"/>
      <c r="D716" s="104"/>
    </row>
    <row r="717" spans="3:4" x14ac:dyDescent="0.25">
      <c r="C717" s="104"/>
      <c r="D717" s="104"/>
    </row>
    <row r="718" spans="3:4" x14ac:dyDescent="0.25">
      <c r="C718" s="104"/>
      <c r="D718" s="104"/>
    </row>
    <row r="719" spans="3:4" x14ac:dyDescent="0.25">
      <c r="C719" s="104"/>
      <c r="D719" s="104"/>
    </row>
    <row r="720" spans="3:4" x14ac:dyDescent="0.25">
      <c r="C720" s="104"/>
      <c r="D720" s="104"/>
    </row>
    <row r="721" spans="3:4" x14ac:dyDescent="0.25">
      <c r="C721" s="104"/>
      <c r="D721" s="104"/>
    </row>
    <row r="722" spans="3:4" x14ac:dyDescent="0.25">
      <c r="C722" s="104"/>
      <c r="D722" s="104"/>
    </row>
    <row r="723" spans="3:4" x14ac:dyDescent="0.25">
      <c r="C723" s="104"/>
      <c r="D723" s="104"/>
    </row>
    <row r="724" spans="3:4" x14ac:dyDescent="0.25">
      <c r="C724" s="104"/>
      <c r="D724" s="104"/>
    </row>
    <row r="725" spans="3:4" x14ac:dyDescent="0.25">
      <c r="C725" s="104"/>
      <c r="D725" s="104"/>
    </row>
    <row r="726" spans="3:4" x14ac:dyDescent="0.25">
      <c r="C726" s="104"/>
      <c r="D726" s="104"/>
    </row>
    <row r="727" spans="3:4" x14ac:dyDescent="0.25">
      <c r="C727" s="104"/>
      <c r="D727" s="104"/>
    </row>
    <row r="728" spans="3:4" x14ac:dyDescent="0.25">
      <c r="C728" s="104"/>
      <c r="D728" s="104"/>
    </row>
    <row r="729" spans="3:4" x14ac:dyDescent="0.25">
      <c r="C729" s="104"/>
      <c r="D729" s="104"/>
    </row>
    <row r="730" spans="3:4" x14ac:dyDescent="0.25">
      <c r="C730" s="104"/>
      <c r="D730" s="104"/>
    </row>
    <row r="731" spans="3:4" x14ac:dyDescent="0.25">
      <c r="C731" s="104"/>
      <c r="D731" s="104"/>
    </row>
    <row r="732" spans="3:4" x14ac:dyDescent="0.25">
      <c r="C732" s="104"/>
      <c r="D732" s="104"/>
    </row>
    <row r="733" spans="3:4" x14ac:dyDescent="0.25">
      <c r="C733" s="104"/>
      <c r="D733" s="104"/>
    </row>
    <row r="734" spans="3:4" x14ac:dyDescent="0.25">
      <c r="C734" s="104"/>
      <c r="D734" s="104"/>
    </row>
    <row r="735" spans="3:4" x14ac:dyDescent="0.25">
      <c r="C735" s="104"/>
      <c r="D735" s="104"/>
    </row>
    <row r="736" spans="3:4" x14ac:dyDescent="0.25">
      <c r="C736" s="104"/>
      <c r="D736" s="104"/>
    </row>
    <row r="737" spans="3:4" x14ac:dyDescent="0.25">
      <c r="C737" s="104"/>
      <c r="D737" s="104"/>
    </row>
    <row r="738" spans="3:4" x14ac:dyDescent="0.25">
      <c r="C738" s="104"/>
      <c r="D738" s="104"/>
    </row>
    <row r="739" spans="3:4" x14ac:dyDescent="0.25">
      <c r="C739" s="104"/>
      <c r="D739" s="104"/>
    </row>
    <row r="740" spans="3:4" x14ac:dyDescent="0.25">
      <c r="C740" s="104"/>
      <c r="D740" s="104"/>
    </row>
    <row r="741" spans="3:4" x14ac:dyDescent="0.25">
      <c r="C741" s="104"/>
      <c r="D741" s="104"/>
    </row>
    <row r="742" spans="3:4" x14ac:dyDescent="0.25">
      <c r="C742" s="104"/>
      <c r="D742" s="104"/>
    </row>
    <row r="743" spans="3:4" x14ac:dyDescent="0.25">
      <c r="C743" s="104"/>
      <c r="D743" s="104"/>
    </row>
    <row r="744" spans="3:4" x14ac:dyDescent="0.25">
      <c r="C744" s="104"/>
      <c r="D744" s="104"/>
    </row>
    <row r="745" spans="3:4" x14ac:dyDescent="0.25">
      <c r="C745" s="104"/>
      <c r="D745" s="104"/>
    </row>
    <row r="746" spans="3:4" x14ac:dyDescent="0.25">
      <c r="C746" s="104"/>
      <c r="D746" s="104"/>
    </row>
    <row r="747" spans="3:4" x14ac:dyDescent="0.25">
      <c r="C747" s="104"/>
      <c r="D747" s="104"/>
    </row>
    <row r="748" spans="3:4" x14ac:dyDescent="0.25">
      <c r="C748" s="104"/>
      <c r="D748" s="104"/>
    </row>
    <row r="749" spans="3:4" x14ac:dyDescent="0.25">
      <c r="C749" s="104"/>
      <c r="D749" s="104"/>
    </row>
  </sheetData>
  <sortState xmlns:xlrd2="http://schemas.microsoft.com/office/spreadsheetml/2017/richdata2" ref="A2:J256">
    <sortCondition ref="A2:A256"/>
  </sortState>
  <pageMargins left="0.7" right="0.7" top="0.75" bottom="0.75" header="0.3" footer="0.3"/>
  <pageSetup paperSize="9" orientation="portrait" r:id="rId1"/>
  <headerFooter>
    <oddFooter>&amp;L&amp;"Arial Tur"&amp;11&amp;K000000&amp;"Tahoma,Regular"
&amp;8&amp;K58A121Sınıflandırma / Classification: &amp;"Tahoma,Bold"Halka Açık / Public&amp;"Microsoft Sans Serif,Regular"&amp;8&amp;K000000
 _x000D_&amp;1#&amp;"Calibri"&amp;10&amp;K008000Sınıflandırma / Classification: Hizmet İçi /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FFB6-3934-4589-8CEF-F71CC70F654C}">
  <sheetPr codeName="Sayfa1">
    <tabColor theme="0" tint="-0.14999847407452621"/>
    <pageSetUpPr fitToPage="1"/>
  </sheetPr>
  <dimension ref="A1:W63"/>
  <sheetViews>
    <sheetView topLeftCell="A7" workbookViewId="0">
      <selection activeCell="P18" sqref="P18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customWidth="1"/>
    <col min="6" max="6" width="5.1796875" style="2" customWidth="1"/>
    <col min="7" max="7" width="8.26953125" style="8" customWidth="1"/>
    <col min="8" max="8" width="11.1796875" style="15" customWidth="1"/>
    <col min="9" max="9" width="8.1796875" style="8" customWidth="1"/>
    <col min="10" max="10" width="6.81640625" style="66" customWidth="1"/>
    <col min="11" max="11" width="10.26953125" style="2" customWidth="1"/>
    <col min="12" max="13" width="7" style="2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v>46174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Pazartesi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8900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76</v>
      </c>
      <c r="C5" s="91" t="e">
        <f>IF(ISBLANK(B5),"",VLOOKUP(B5,SÜRELER!$A:$B,2,FALSE))</f>
        <v>#N/A</v>
      </c>
      <c r="D5" s="80">
        <v>442</v>
      </c>
      <c r="E5" s="92" t="e">
        <f>IF(ISBLANK($B5),"0",VLOOKUP($B5,SÜRELER!$A:$C,3,FALSE))*(D5-F5)</f>
        <v>#N/A</v>
      </c>
      <c r="F5" s="81">
        <v>36</v>
      </c>
      <c r="G5" s="93" t="e">
        <f>VLOOKUP(B5,'R.H.'!A$3:C$3974,3,FALSE)*D5/100</f>
        <v>#N/A</v>
      </c>
      <c r="H5" s="82">
        <f>F5/D5</f>
        <v>8.1447963800904979E-2</v>
      </c>
      <c r="I5" s="87" t="e">
        <f>VLOOKUP(B5,'R.H.'!A$3:C$3974,3,FALSE)/100</f>
        <v>#N/A</v>
      </c>
      <c r="J5" s="83">
        <v>1</v>
      </c>
      <c r="K5" s="92" t="e">
        <f>E5/J5</f>
        <v>#N/A</v>
      </c>
      <c r="L5" s="84">
        <v>370</v>
      </c>
      <c r="M5" s="84"/>
      <c r="N5" s="94" t="e">
        <f>K5/L5</f>
        <v>#N/A</v>
      </c>
      <c r="O5" s="88" t="e">
        <f t="shared" ref="O5:O44" si="0">K5/(L5-M5)</f>
        <v>#N/A</v>
      </c>
      <c r="P5" s="119"/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75</v>
      </c>
      <c r="C6" s="91" t="e">
        <f>IF(ISBLANK(B6),"",VLOOKUP(B6,SÜRELER!$A:$B,2,FALSE))</f>
        <v>#N/A</v>
      </c>
      <c r="D6" s="80">
        <v>190</v>
      </c>
      <c r="E6" s="92" t="e">
        <f>IF(ISBLANK($B6),"0",VLOOKUP($B6,SÜRELER!$A:$C,3,FALSE))*(D6-F6)</f>
        <v>#N/A</v>
      </c>
      <c r="F6" s="81">
        <v>8</v>
      </c>
      <c r="G6" s="93" t="e">
        <f>VLOOKUP(B6,'R.H.'!A$3:C$3974,3,FALSE)*D6/100</f>
        <v>#N/A</v>
      </c>
      <c r="H6" s="82">
        <f t="shared" ref="H6:H44" si="1">F6/D6</f>
        <v>4.2105263157894736E-2</v>
      </c>
      <c r="I6" s="87" t="e">
        <f>VLOOKUP(B6,'R.H.'!A$3:C$3974,3,FALSE)/100</f>
        <v>#N/A</v>
      </c>
      <c r="J6" s="83">
        <v>1</v>
      </c>
      <c r="K6" s="92" t="e">
        <f t="shared" ref="K6:K44" si="2">E6/J6</f>
        <v>#N/A</v>
      </c>
      <c r="L6" s="84">
        <v>170</v>
      </c>
      <c r="M6" s="84"/>
      <c r="N6" s="94" t="e">
        <f t="shared" ref="N6:N44" si="3">K6/L6</f>
        <v>#N/A</v>
      </c>
      <c r="O6" s="88" t="e">
        <f t="shared" si="0"/>
        <v>#N/A</v>
      </c>
      <c r="P6" s="164" t="s">
        <v>3370</v>
      </c>
      <c r="Q6" s="5"/>
      <c r="R6" s="5"/>
    </row>
    <row r="7" spans="1:23" s="4" customFormat="1" ht="16.5" customHeight="1" x14ac:dyDescent="0.25">
      <c r="A7" s="90">
        <v>3</v>
      </c>
      <c r="B7" s="86">
        <v>89</v>
      </c>
      <c r="C7" s="91" t="e">
        <f>IF(ISBLANK(B7),"",VLOOKUP(B7,SÜRELER!$A:$B,2,FALSE))</f>
        <v>#N/A</v>
      </c>
      <c r="D7" s="80">
        <v>292</v>
      </c>
      <c r="E7" s="92" t="e">
        <f>IF(ISBLANK($B7),"0",VLOOKUP($B7,SÜRELER!$A:$C,3,FALSE))*(D7-F7)</f>
        <v>#N/A</v>
      </c>
      <c r="F7" s="81">
        <v>4</v>
      </c>
      <c r="G7" s="93" t="e">
        <f>VLOOKUP(B7,'R.H.'!A$3:C$3974,3,FALSE)*D7/100</f>
        <v>#N/A</v>
      </c>
      <c r="H7" s="82">
        <f t="shared" si="1"/>
        <v>1.3698630136986301E-2</v>
      </c>
      <c r="I7" s="87" t="e">
        <f>VLOOKUP(B7,'R.H.'!A$3:C$3974,3,FALSE)/100</f>
        <v>#N/A</v>
      </c>
      <c r="J7" s="83">
        <v>1</v>
      </c>
      <c r="K7" s="92" t="e">
        <f t="shared" si="2"/>
        <v>#N/A</v>
      </c>
      <c r="L7" s="84">
        <v>200</v>
      </c>
      <c r="M7" s="84"/>
      <c r="N7" s="94" t="e">
        <f t="shared" si="3"/>
        <v>#N/A</v>
      </c>
      <c r="O7" s="88" t="e">
        <f t="shared" si="0"/>
        <v>#N/A</v>
      </c>
      <c r="P7" s="193" t="s">
        <v>3371</v>
      </c>
      <c r="Q7" s="5"/>
      <c r="R7" s="5"/>
    </row>
    <row r="8" spans="1:23" s="4" customFormat="1" ht="16.5" customHeight="1" x14ac:dyDescent="0.25">
      <c r="A8" s="85">
        <v>4</v>
      </c>
      <c r="B8" s="86">
        <v>90</v>
      </c>
      <c r="C8" s="91" t="e">
        <f>IF(ISBLANK(B8),"",VLOOKUP(B8,SÜRELER!$A:$B,2,FALSE))</f>
        <v>#N/A</v>
      </c>
      <c r="D8" s="80">
        <v>292</v>
      </c>
      <c r="E8" s="92" t="e">
        <f>IF(ISBLANK($B8),"0",VLOOKUP($B8,SÜRELER!$A:$C,3,FALSE))*(D8-F8)</f>
        <v>#N/A</v>
      </c>
      <c r="F8" s="81">
        <v>4</v>
      </c>
      <c r="G8" s="93" t="e">
        <f>VLOOKUP(B8,'R.H.'!A$3:C$3974,3,FALSE)*D8/100</f>
        <v>#N/A</v>
      </c>
      <c r="H8" s="82">
        <f t="shared" si="1"/>
        <v>1.3698630136986301E-2</v>
      </c>
      <c r="I8" s="87" t="e">
        <f>VLOOKUP(B8,'R.H.'!A$3:C$3974,3,FALSE)/100</f>
        <v>#N/A</v>
      </c>
      <c r="J8" s="83">
        <v>1</v>
      </c>
      <c r="K8" s="92" t="e">
        <f t="shared" si="2"/>
        <v>#N/A</v>
      </c>
      <c r="L8" s="84">
        <v>200</v>
      </c>
      <c r="M8" s="84"/>
      <c r="N8" s="94" t="e">
        <f t="shared" si="3"/>
        <v>#N/A</v>
      </c>
      <c r="O8" s="88" t="e">
        <f t="shared" si="0"/>
        <v>#N/A</v>
      </c>
      <c r="P8" s="194"/>
      <c r="Q8" s="5"/>
      <c r="R8" s="5"/>
    </row>
    <row r="9" spans="1:23" s="4" customFormat="1" ht="16.5" x14ac:dyDescent="0.25">
      <c r="A9" s="90">
        <v>5</v>
      </c>
      <c r="B9" s="86">
        <v>200</v>
      </c>
      <c r="C9" s="91" t="e">
        <f>IF(ISBLANK(B9),"",VLOOKUP(B9,SÜRELER!$A:$B,2,FALSE))</f>
        <v>#N/A</v>
      </c>
      <c r="D9" s="80">
        <f>740+761</f>
        <v>1501</v>
      </c>
      <c r="E9" s="92" t="e">
        <f>IF(ISBLANK($B9),"0",VLOOKUP($B9,SÜRELER!$A:$C,3,FALSE))*(D9-F9)</f>
        <v>#N/A</v>
      </c>
      <c r="F9" s="81">
        <v>5</v>
      </c>
      <c r="G9" s="93" t="e">
        <f>VLOOKUP(B9,'R.H.'!A$3:C$3974,3,FALSE)*D9/100</f>
        <v>#N/A</v>
      </c>
      <c r="H9" s="82">
        <f t="shared" si="1"/>
        <v>3.3311125916055963E-3</v>
      </c>
      <c r="I9" s="87" t="e">
        <f>VLOOKUP(B9,'R.H.'!A$3:C$3974,3,FALSE)/100</f>
        <v>#N/A</v>
      </c>
      <c r="J9" s="83">
        <v>1</v>
      </c>
      <c r="K9" s="92" t="e">
        <f t="shared" si="2"/>
        <v>#N/A</v>
      </c>
      <c r="L9" s="84">
        <v>800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2077</v>
      </c>
      <c r="C10" s="91" t="e">
        <f>IF(ISBLANK(B10),"",VLOOKUP(B10,SÜRELER!$A:$B,2,FALSE))</f>
        <v>#N/A</v>
      </c>
      <c r="D10" s="80">
        <v>200</v>
      </c>
      <c r="E10" s="92" t="e">
        <f>IF(ISBLANK($B10),"0",VLOOKUP($B10,SÜRELER!$A:$C,3,FALSE))*(D10-F10)</f>
        <v>#N/A</v>
      </c>
      <c r="F10" s="81">
        <v>0</v>
      </c>
      <c r="G10" s="93" t="e">
        <f>VLOOKUP(B10,'R.H.'!A$3:C$3974,3,FALSE)*D10/100</f>
        <v>#N/A</v>
      </c>
      <c r="H10" s="82">
        <f t="shared" si="1"/>
        <v>0</v>
      </c>
      <c r="I10" s="87" t="e">
        <f>VLOOKUP(B10,'R.H.'!A$3:C$3974,3,FALSE)/100</f>
        <v>#N/A</v>
      </c>
      <c r="J10" s="83">
        <v>1</v>
      </c>
      <c r="K10" s="92" t="e">
        <f t="shared" si="2"/>
        <v>#N/A</v>
      </c>
      <c r="L10" s="84">
        <v>205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1339</v>
      </c>
      <c r="C11" s="91" t="e">
        <f>IF(ISBLANK(B11),"",VLOOKUP(B11,SÜRELER!$A:$B,2,FALSE))</f>
        <v>#N/A</v>
      </c>
      <c r="D11" s="80">
        <v>50</v>
      </c>
      <c r="E11" s="92" t="e">
        <f>IF(ISBLANK($B11),"0",VLOOKUP($B11,SÜRELER!$A:$C,3,FALSE))*(D11-F11)</f>
        <v>#N/A</v>
      </c>
      <c r="F11" s="81">
        <v>0</v>
      </c>
      <c r="G11" s="93" t="e">
        <f>VLOOKUP(B11,'R.H.'!A$3:C$3974,3,FALSE)*D11/100</f>
        <v>#N/A</v>
      </c>
      <c r="H11" s="82">
        <f t="shared" si="1"/>
        <v>0</v>
      </c>
      <c r="I11" s="87" t="e">
        <f>VLOOKUP(B11,'R.H.'!A$3:C$3974,3,FALSE)/100</f>
        <v>#N/A</v>
      </c>
      <c r="J11" s="83">
        <v>1</v>
      </c>
      <c r="K11" s="92" t="e">
        <f t="shared" si="2"/>
        <v>#N/A</v>
      </c>
      <c r="L11" s="84">
        <v>52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248</v>
      </c>
      <c r="C12" s="91" t="e">
        <f>IF(ISBLANK(B12),"",VLOOKUP(B12,SÜRELER!$A:$B,2,FALSE))</f>
        <v>#N/A</v>
      </c>
      <c r="D12" s="80">
        <f>99+495</f>
        <v>594</v>
      </c>
      <c r="E12" s="92" t="e">
        <f>IF(ISBLANK($B12),"0",VLOOKUP($B12,SÜRELER!$A:$C,3,FALSE))*(D12-F12)</f>
        <v>#N/A</v>
      </c>
      <c r="F12" s="81">
        <v>0</v>
      </c>
      <c r="G12" s="93" t="e">
        <f>VLOOKUP(B12,'R.H.'!A$3:C$3974,3,FALSE)*D12/100</f>
        <v>#N/A</v>
      </c>
      <c r="H12" s="82">
        <f t="shared" si="1"/>
        <v>0</v>
      </c>
      <c r="I12" s="87" t="e">
        <f>VLOOKUP(B12,'R.H.'!A$3:C$3974,3,FALSE)/100</f>
        <v>#N/A</v>
      </c>
      <c r="J12" s="83">
        <v>0.5</v>
      </c>
      <c r="K12" s="92" t="e">
        <f t="shared" si="2"/>
        <v>#N/A</v>
      </c>
      <c r="L12" s="84">
        <v>560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249</v>
      </c>
      <c r="C13" s="91" t="e">
        <f>IF(ISBLANK(B13),"",VLOOKUP(B13,SÜRELER!$A:$B,2,FALSE))</f>
        <v>#N/A</v>
      </c>
      <c r="D13" s="80">
        <v>594</v>
      </c>
      <c r="E13" s="92" t="e">
        <f>IF(ISBLANK($B13),"0",VLOOKUP($B13,SÜRELER!$A:$C,3,FALSE))*(D13-F13)</f>
        <v>#N/A</v>
      </c>
      <c r="F13" s="81">
        <v>0</v>
      </c>
      <c r="G13" s="93" t="e">
        <f>VLOOKUP(B13,'R.H.'!A$3:C$3974,3,FALSE)*D13/100</f>
        <v>#N/A</v>
      </c>
      <c r="H13" s="82">
        <f t="shared" si="1"/>
        <v>0</v>
      </c>
      <c r="I13" s="87" t="e">
        <f>VLOOKUP(B13,'R.H.'!A$3:C$3974,3,FALSE)/100</f>
        <v>#N/A</v>
      </c>
      <c r="J13" s="83">
        <v>0.5</v>
      </c>
      <c r="K13" s="92" t="e">
        <f t="shared" si="2"/>
        <v>#N/A</v>
      </c>
      <c r="L13" s="84">
        <v>560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712</v>
      </c>
      <c r="C14" s="91" t="e">
        <f>IF(ISBLANK(B14),"",VLOOKUP(B14,SÜRELER!$A:$B,2,FALSE))</f>
        <v>#N/A</v>
      </c>
      <c r="D14" s="80">
        <f>298+307</f>
        <v>605</v>
      </c>
      <c r="E14" s="92" t="e">
        <f>IF(ISBLANK($B14),"0",VLOOKUP($B14,SÜRELER!$A:$C,3,FALSE))*(D14-F14)</f>
        <v>#N/A</v>
      </c>
      <c r="F14" s="81">
        <v>11</v>
      </c>
      <c r="G14" s="93" t="e">
        <f>VLOOKUP(B14,'R.H.'!A$3:C$3974,3,FALSE)*D14/100</f>
        <v>#N/A</v>
      </c>
      <c r="H14" s="82">
        <f t="shared" si="1"/>
        <v>1.8181818181818181E-2</v>
      </c>
      <c r="I14" s="87" t="e">
        <f>VLOOKUP(B14,'R.H.'!A$3:C$3974,3,FALSE)/100</f>
        <v>#N/A</v>
      </c>
      <c r="J14" s="83">
        <v>0.5</v>
      </c>
      <c r="K14" s="92" t="e">
        <f t="shared" si="2"/>
        <v>#N/A</v>
      </c>
      <c r="L14" s="84">
        <v>800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712</v>
      </c>
      <c r="C15" s="91" t="e">
        <f>IF(ISBLANK(B15),"",VLOOKUP(B15,SÜRELER!$A:$B,2,FALSE))</f>
        <v>#N/A</v>
      </c>
      <c r="D15" s="80">
        <v>605</v>
      </c>
      <c r="E15" s="92" t="e">
        <f>IF(ISBLANK($B15),"0",VLOOKUP($B15,SÜRELER!$A:$C,3,FALSE))*(D15-F15)</f>
        <v>#N/A</v>
      </c>
      <c r="F15" s="81">
        <v>11</v>
      </c>
      <c r="G15" s="93" t="e">
        <f>VLOOKUP(B15,'R.H.'!A$3:C$3974,3,FALSE)*D15/100</f>
        <v>#N/A</v>
      </c>
      <c r="H15" s="82">
        <f t="shared" si="1"/>
        <v>1.8181818181818181E-2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800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472</v>
      </c>
      <c r="C16" s="91" t="e">
        <f>IF(ISBLANK(B16),"",VLOOKUP(B16,SÜRELER!$A:$B,2,FALSE))</f>
        <v>#N/A</v>
      </c>
      <c r="D16" s="80">
        <v>168</v>
      </c>
      <c r="E16" s="92" t="e">
        <f>IF(ISBLANK($B16),"0",VLOOKUP($B16,SÜRELER!$A:$C,3,FALSE))*(D16-F16)</f>
        <v>#N/A</v>
      </c>
      <c r="F16" s="81">
        <v>0</v>
      </c>
      <c r="G16" s="93" t="e">
        <f>VLOOKUP(B16,'R.H.'!A$3:C$3974,3,FALSE)*D16/100</f>
        <v>#N/A</v>
      </c>
      <c r="H16" s="82">
        <f t="shared" si="1"/>
        <v>0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130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473</v>
      </c>
      <c r="C17" s="91" t="e">
        <f>IF(ISBLANK(B17),"",VLOOKUP(B17,SÜRELER!$A:$B,2,FALSE))</f>
        <v>#N/A</v>
      </c>
      <c r="D17" s="80">
        <v>168</v>
      </c>
      <c r="E17" s="92" t="e">
        <f>IF(ISBLANK($B17),"0",VLOOKUP($B17,SÜRELER!$A:$C,3,FALSE))*(D17-F17)</f>
        <v>#N/A</v>
      </c>
      <c r="F17" s="81">
        <v>0</v>
      </c>
      <c r="G17" s="93" t="e">
        <f>VLOOKUP(B17,'R.H.'!A$3:C$3974,3,FALSE)*D17/100</f>
        <v>#N/A</v>
      </c>
      <c r="H17" s="82">
        <f t="shared" si="1"/>
        <v>0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130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710</v>
      </c>
      <c r="C18" s="91" t="e">
        <f>IF(ISBLANK(B18),"",VLOOKUP(B18,SÜRELER!$A:$B,2,FALSE))</f>
        <v>#N/A</v>
      </c>
      <c r="D18" s="80">
        <f>169+339</f>
        <v>508</v>
      </c>
      <c r="E18" s="92" t="e">
        <f>IF(ISBLANK($B18),"0",VLOOKUP($B18,SÜRELER!$A:$C,3,FALSE))*(D18-F18)</f>
        <v>#N/A</v>
      </c>
      <c r="F18" s="81">
        <v>4</v>
      </c>
      <c r="G18" s="93" t="e">
        <f>VLOOKUP(B18,'R.H.'!A$3:C$3974,3,FALSE)*D18/100</f>
        <v>#N/A</v>
      </c>
      <c r="H18" s="82">
        <f t="shared" si="1"/>
        <v>7.874015748031496E-3</v>
      </c>
      <c r="I18" s="87" t="e">
        <f>VLOOKUP(B18,'R.H.'!A$3:C$3974,3,FALSE)/100</f>
        <v>#N/A</v>
      </c>
      <c r="J18" s="83">
        <v>0.5</v>
      </c>
      <c r="K18" s="92" t="e">
        <f t="shared" si="2"/>
        <v>#N/A</v>
      </c>
      <c r="L18" s="84">
        <v>550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711</v>
      </c>
      <c r="C19" s="91" t="e">
        <f>IF(ISBLANK(B19),"",VLOOKUP(B19,SÜRELER!$A:$B,2,FALSE))</f>
        <v>#N/A</v>
      </c>
      <c r="D19" s="80">
        <v>508</v>
      </c>
      <c r="E19" s="92" t="e">
        <f>IF(ISBLANK($B19),"0",VLOOKUP($B19,SÜRELER!$A:$C,3,FALSE))*(D19-F19)</f>
        <v>#N/A</v>
      </c>
      <c r="F19" s="81">
        <v>4</v>
      </c>
      <c r="G19" s="93" t="e">
        <f>VLOOKUP(B19,'R.H.'!A$3:C$3974,3,FALSE)*D19/100</f>
        <v>#N/A</v>
      </c>
      <c r="H19" s="82">
        <f t="shared" si="1"/>
        <v>7.874015748031496E-3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550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2100</v>
      </c>
      <c r="C20" s="91" t="e">
        <f>IF(ISBLANK(B20),"",VLOOKUP(B20,SÜRELER!$A:$B,2,FALSE))</f>
        <v>#N/A</v>
      </c>
      <c r="D20" s="80">
        <f>46+232</f>
        <v>278</v>
      </c>
      <c r="E20" s="92" t="e">
        <f>IF(ISBLANK($B20),"0",VLOOKUP($B20,SÜRELER!$A:$C,3,FALSE))*(D20-F20)</f>
        <v>#N/A</v>
      </c>
      <c r="F20" s="81">
        <v>8</v>
      </c>
      <c r="G20" s="93" t="e">
        <f>VLOOKUP(B20,'R.H.'!A$3:C$3974,3,FALSE)*D20/100</f>
        <v>#N/A</v>
      </c>
      <c r="H20" s="82">
        <f t="shared" si="1"/>
        <v>2.8776978417266189E-2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330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2101</v>
      </c>
      <c r="C21" s="91" t="e">
        <f>IF(ISBLANK(B21),"",VLOOKUP(B21,SÜRELER!$A:$B,2,FALSE))</f>
        <v>#N/A</v>
      </c>
      <c r="D21" s="80">
        <v>278</v>
      </c>
      <c r="E21" s="92" t="e">
        <f>IF(ISBLANK($B21),"0",VLOOKUP($B21,SÜRELER!$A:$C,3,FALSE))*(D21-F21)</f>
        <v>#N/A</v>
      </c>
      <c r="F21" s="81">
        <v>8</v>
      </c>
      <c r="G21" s="93" t="e">
        <f>VLOOKUP(B21,'R.H.'!A$3:C$3974,3,FALSE)*D21/100</f>
        <v>#N/A</v>
      </c>
      <c r="H21" s="82">
        <f t="shared" si="1"/>
        <v>2.8776978417266189E-2</v>
      </c>
      <c r="I21" s="87" t="e">
        <f>VLOOKUP(B21,'R.H.'!A$3:C$3974,3,FALSE)/100</f>
        <v>#N/A</v>
      </c>
      <c r="J21" s="83">
        <v>0.5</v>
      </c>
      <c r="K21" s="92" t="e">
        <f t="shared" si="2"/>
        <v>#N/A</v>
      </c>
      <c r="L21" s="84">
        <v>330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1131</v>
      </c>
      <c r="C22" s="91" t="e">
        <f>IF(ISBLANK(B22),"",VLOOKUP(B22,SÜRELER!$A:$B,2,FALSE))</f>
        <v>#N/A</v>
      </c>
      <c r="D22" s="80">
        <v>827</v>
      </c>
      <c r="E22" s="92" t="e">
        <f>IF(ISBLANK($B22),"0",VLOOKUP($B22,SÜRELER!$A:$C,3,FALSE))*(D22-F22)</f>
        <v>#N/A</v>
      </c>
      <c r="F22" s="81">
        <v>8</v>
      </c>
      <c r="G22" s="93" t="e">
        <f>VLOOKUP(B22,'R.H.'!A$3:C$3974,3,FALSE)*D22/100</f>
        <v>#N/A</v>
      </c>
      <c r="H22" s="82">
        <f t="shared" si="1"/>
        <v>9.673518742442563E-3</v>
      </c>
      <c r="I22" s="87" t="e">
        <f>VLOOKUP(B22,'R.H.'!A$3:C$3974,3,FALSE)/100</f>
        <v>#N/A</v>
      </c>
      <c r="J22" s="83">
        <v>0.5</v>
      </c>
      <c r="K22" s="92" t="e">
        <f t="shared" si="2"/>
        <v>#N/A</v>
      </c>
      <c r="L22" s="84">
        <v>545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9110</v>
      </c>
      <c r="C23" s="91" t="e">
        <f>IF(ISBLANK(B23),"",VLOOKUP(B23,SÜRELER!$A:$B,2,FALSE))</f>
        <v>#N/A</v>
      </c>
      <c r="D23" s="80">
        <v>400</v>
      </c>
      <c r="E23" s="92" t="e">
        <f>IF(ISBLANK($B23),"0",VLOOKUP($B23,SÜRELER!$A:$C,3,FALSE))*(D23-F23)</f>
        <v>#N/A</v>
      </c>
      <c r="F23" s="81">
        <v>0</v>
      </c>
      <c r="G23" s="93" t="e">
        <f>VLOOKUP(B23,'R.H.'!A$3:C$3974,3,FALSE)*D23/100</f>
        <v>#N/A</v>
      </c>
      <c r="H23" s="82">
        <f t="shared" si="1"/>
        <v>0</v>
      </c>
      <c r="I23" s="87" t="e">
        <f>VLOOKUP(B23,'R.H.'!A$3:C$3974,3,FALSE)/100</f>
        <v>#N/A</v>
      </c>
      <c r="J23" s="83">
        <v>0.5</v>
      </c>
      <c r="K23" s="92" t="e">
        <f t="shared" si="2"/>
        <v>#N/A</v>
      </c>
      <c r="L23" s="84">
        <v>330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9120</v>
      </c>
      <c r="C24" s="91" t="e">
        <f>IF(ISBLANK(B24),"",VLOOKUP(B24,SÜRELER!$A:$B,2,FALSE))</f>
        <v>#N/A</v>
      </c>
      <c r="D24" s="80">
        <v>400</v>
      </c>
      <c r="E24" s="92" t="e">
        <f>IF(ISBLANK($B24),"0",VLOOKUP($B24,SÜRELER!$A:$C,3,FALSE))*(D24-F24)</f>
        <v>#N/A</v>
      </c>
      <c r="F24" s="81">
        <v>0</v>
      </c>
      <c r="G24" s="93" t="e">
        <f>VLOOKUP(B24,'R.H.'!A$3:C$3974,3,FALSE)*D24/100</f>
        <v>#N/A</v>
      </c>
      <c r="H24" s="82">
        <f t="shared" si="1"/>
        <v>0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330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/>
      <c r="C25" s="91" t="str">
        <f>IF(ISBLANK(B25),"",VLOOKUP(B25,SÜRELER!$A:$B,2,FALSE))</f>
        <v/>
      </c>
      <c r="D25" s="80"/>
      <c r="E25" s="92">
        <f>IF(ISBLANK($B25),"0",VLOOKUP($B25,SÜRELER!$A:$C,3,FALSE))*(D25-F25)</f>
        <v>0</v>
      </c>
      <c r="F25" s="81"/>
      <c r="G25" s="93" t="e">
        <f>VLOOKUP(B25,'R.H.'!A$3:C$3974,3,FALSE)*D25/100</f>
        <v>#N/A</v>
      </c>
      <c r="H25" s="82" t="e">
        <f t="shared" si="1"/>
        <v>#DIV/0!</v>
      </c>
      <c r="I25" s="87" t="e">
        <f>VLOOKUP(B25,'R.H.'!A$3:C$3974,3,FALSE)/100</f>
        <v>#N/A</v>
      </c>
      <c r="J25" s="83"/>
      <c r="K25" s="92" t="e">
        <f t="shared" si="2"/>
        <v>#DIV/0!</v>
      </c>
      <c r="L25" s="84"/>
      <c r="M25" s="84"/>
      <c r="N25" s="94" t="e">
        <f t="shared" si="3"/>
        <v>#DIV/0!</v>
      </c>
      <c r="O25" s="88" t="e">
        <f t="shared" si="0"/>
        <v>#DIV/0!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/>
      <c r="C26" s="91" t="str">
        <f>IF(ISBLANK(B26),"",VLOOKUP(B26,SÜRELER!$A:$B,2,FALSE))</f>
        <v/>
      </c>
      <c r="D26" s="80"/>
      <c r="E26" s="92">
        <f>IF(ISBLANK($B26),"0",VLOOKUP($B26,SÜRELER!$A:$C,3,FALSE))*(D26-F26)</f>
        <v>0</v>
      </c>
      <c r="F26" s="81"/>
      <c r="G26" s="93" t="e">
        <f>VLOOKUP(B26,'R.H.'!A$3:C$3974,3,FALSE)*D26/100</f>
        <v>#N/A</v>
      </c>
      <c r="H26" s="82" t="e">
        <f t="shared" si="1"/>
        <v>#DIV/0!</v>
      </c>
      <c r="I26" s="87" t="e">
        <f>VLOOKUP(B26,'R.H.'!A$3:C$3974,3,FALSE)/100</f>
        <v>#N/A</v>
      </c>
      <c r="J26" s="83"/>
      <c r="K26" s="92" t="e">
        <f t="shared" si="2"/>
        <v>#DIV/0!</v>
      </c>
      <c r="L26" s="84"/>
      <c r="M26" s="84"/>
      <c r="N26" s="94" t="e">
        <f t="shared" si="3"/>
        <v>#DIV/0!</v>
      </c>
      <c r="O26" s="88" t="e">
        <f t="shared" si="0"/>
        <v>#DIV/0!</v>
      </c>
      <c r="P26" s="119"/>
      <c r="Q26" s="5"/>
      <c r="R26" s="5"/>
    </row>
    <row r="27" spans="1:18" s="4" customFormat="1" ht="16.5" x14ac:dyDescent="0.25">
      <c r="A27" s="90">
        <v>23</v>
      </c>
      <c r="B27" s="86"/>
      <c r="C27" s="91" t="str">
        <f>IF(ISBLANK(B27),"",VLOOKUP(B27,SÜRELER!$A:$B,2,FALSE))</f>
        <v/>
      </c>
      <c r="D27" s="80"/>
      <c r="E27" s="92">
        <f>IF(ISBLANK($B27),"0",VLOOKUP($B27,SÜRELER!$A:$C,3,FALSE))*(D27-F27)</f>
        <v>0</v>
      </c>
      <c r="F27" s="81"/>
      <c r="G27" s="93" t="e">
        <f>VLOOKUP(B27,'R.H.'!A$3:C$3974,3,FALSE)*D27/100</f>
        <v>#N/A</v>
      </c>
      <c r="H27" s="82" t="e">
        <f t="shared" si="1"/>
        <v>#DIV/0!</v>
      </c>
      <c r="I27" s="87" t="e">
        <f>VLOOKUP(B27,'R.H.'!A$3:C$3974,3,FALSE)/100</f>
        <v>#N/A</v>
      </c>
      <c r="J27" s="83"/>
      <c r="K27" s="92" t="e">
        <f t="shared" si="2"/>
        <v>#DIV/0!</v>
      </c>
      <c r="L27" s="84"/>
      <c r="M27" s="84"/>
      <c r="N27" s="94" t="e">
        <f t="shared" si="3"/>
        <v>#DIV/0!</v>
      </c>
      <c r="O27" s="88" t="e">
        <f t="shared" si="0"/>
        <v>#DIV/0!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/>
      <c r="C28" s="91" t="str">
        <f>IF(ISBLANK(B28),"",VLOOKUP(B28,SÜRELER!$A:$B,2,FALSE))</f>
        <v/>
      </c>
      <c r="D28" s="80"/>
      <c r="E28" s="92">
        <f>IF(ISBLANK($B28),"0",VLOOKUP($B28,SÜRELER!$A:$C,3,FALSE))*(D28-F28)</f>
        <v>0</v>
      </c>
      <c r="F28" s="81"/>
      <c r="G28" s="93" t="e">
        <f>VLOOKUP(B28,'R.H.'!A$3:C$3974,3,FALSE)*D28/100</f>
        <v>#N/A</v>
      </c>
      <c r="H28" s="82" t="e">
        <f t="shared" si="1"/>
        <v>#DIV/0!</v>
      </c>
      <c r="I28" s="87" t="e">
        <f>VLOOKUP(B28,'R.H.'!A$3:C$3974,3,FALSE)/100</f>
        <v>#N/A</v>
      </c>
      <c r="J28" s="83"/>
      <c r="K28" s="92" t="e">
        <f t="shared" si="2"/>
        <v>#DIV/0!</v>
      </c>
      <c r="L28" s="84"/>
      <c r="M28" s="84"/>
      <c r="N28" s="94" t="e">
        <f t="shared" si="3"/>
        <v>#DIV/0!</v>
      </c>
      <c r="O28" s="88" t="e">
        <f t="shared" si="0"/>
        <v>#DIV/0!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/>
      <c r="C29" s="91" t="str">
        <f>IF(ISBLANK(B29),"",VLOOKUP(B29,SÜRELER!$A:$B,2,FALSE))</f>
        <v/>
      </c>
      <c r="D29" s="80"/>
      <c r="E29" s="92">
        <f>IF(ISBLANK($B29),"0",VLOOKUP($B29,SÜRELER!$A:$C,3,FALSE))*(D29-F29)</f>
        <v>0</v>
      </c>
      <c r="F29" s="81"/>
      <c r="G29" s="93" t="e">
        <f>VLOOKUP(B29,'R.H.'!A$3:C$3974,3,FALSE)*D29/100</f>
        <v>#N/A</v>
      </c>
      <c r="H29" s="82" t="e">
        <f t="shared" si="1"/>
        <v>#DIV/0!</v>
      </c>
      <c r="I29" s="87" t="e">
        <f>VLOOKUP(B29,'R.H.'!A$3:C$3974,3,FALSE)/100</f>
        <v>#N/A</v>
      </c>
      <c r="J29" s="83"/>
      <c r="K29" s="92" t="e">
        <f t="shared" si="2"/>
        <v>#DIV/0!</v>
      </c>
      <c r="L29" s="84"/>
      <c r="M29" s="84"/>
      <c r="N29" s="94" t="e">
        <f t="shared" si="3"/>
        <v>#DIV/0!</v>
      </c>
      <c r="O29" s="88" t="e">
        <f t="shared" si="0"/>
        <v>#DIV/0!</v>
      </c>
      <c r="P29" s="119"/>
      <c r="Q29" s="5"/>
      <c r="R29" s="5"/>
    </row>
    <row r="30" spans="1:18" s="4" customFormat="1" ht="16.5" x14ac:dyDescent="0.25">
      <c r="A30" s="85">
        <v>26</v>
      </c>
      <c r="B30" s="86"/>
      <c r="C30" s="91" t="str">
        <f>IF(ISBLANK(B30),"",VLOOKUP(B30,SÜRELER!$A:$B,2,FALSE))</f>
        <v/>
      </c>
      <c r="D30" s="80"/>
      <c r="E30" s="92">
        <f>IF(ISBLANK($B30),"0",VLOOKUP($B30,SÜRELER!$A:$C,3,FALSE))*(D30-F30)</f>
        <v>0</v>
      </c>
      <c r="F30" s="81"/>
      <c r="G30" s="93" t="e">
        <f>VLOOKUP(B30,'R.H.'!A$3:C$3974,3,FALSE)*D30/100</f>
        <v>#N/A</v>
      </c>
      <c r="H30" s="82" t="e">
        <f t="shared" si="1"/>
        <v>#DIV/0!</v>
      </c>
      <c r="I30" s="87" t="e">
        <f>VLOOKUP(B30,'R.H.'!A$3:C$3974,3,FALSE)/100</f>
        <v>#N/A</v>
      </c>
      <c r="J30" s="83"/>
      <c r="K30" s="92" t="e">
        <f t="shared" si="2"/>
        <v>#DIV/0!</v>
      </c>
      <c r="L30" s="84"/>
      <c r="M30" s="84"/>
      <c r="N30" s="94" t="e">
        <f t="shared" si="3"/>
        <v>#DIV/0!</v>
      </c>
      <c r="O30" s="88" t="e">
        <f t="shared" si="0"/>
        <v>#DIV/0!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8900</v>
      </c>
      <c r="E45" s="26" t="e">
        <f>SUM(E5:E44)</f>
        <v>#N/A</v>
      </c>
      <c r="F45" s="26">
        <f>SUM(F5:F44)</f>
        <v>111</v>
      </c>
      <c r="G45" s="26"/>
      <c r="H45" s="26"/>
      <c r="I45" s="26"/>
      <c r="J45" s="26"/>
      <c r="K45" s="26"/>
      <c r="L45" s="26">
        <f>SUM(L5:L44)</f>
        <v>7942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1.247191011235955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7.2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5176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>
        <v>300</v>
      </c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4876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300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8900</v>
      </c>
      <c r="F63" s="24">
        <f>F45</f>
        <v>111</v>
      </c>
      <c r="G63" s="23">
        <f>(F63*1000000)/E63</f>
        <v>12471.91011235955</v>
      </c>
      <c r="H63" s="22">
        <f>D59</f>
        <v>300</v>
      </c>
      <c r="I63" s="17" t="e">
        <f>N1</f>
        <v>#N/A</v>
      </c>
    </row>
  </sheetData>
  <mergeCells count="16">
    <mergeCell ref="A1:B1"/>
    <mergeCell ref="H1:H3"/>
    <mergeCell ref="N1:N3"/>
    <mergeCell ref="A2:B3"/>
    <mergeCell ref="C1:D2"/>
    <mergeCell ref="D46:D47"/>
    <mergeCell ref="E46:F47"/>
    <mergeCell ref="E50:N50"/>
    <mergeCell ref="E51:N51"/>
    <mergeCell ref="E53:N53"/>
    <mergeCell ref="P7:P8"/>
    <mergeCell ref="E49:N49"/>
    <mergeCell ref="E55:N55"/>
    <mergeCell ref="E56:N56"/>
    <mergeCell ref="E57:N57"/>
    <mergeCell ref="E54:N54"/>
  </mergeCells>
  <conditionalFormatting sqref="D3">
    <cfRule type="cellIs" dxfId="154" priority="7" stopIfTrue="1" operator="lessThan">
      <formula>0.95</formula>
    </cfRule>
  </conditionalFormatting>
  <conditionalFormatting sqref="F5:F44">
    <cfRule type="cellIs" dxfId="153" priority="1" stopIfTrue="1" operator="greaterThan">
      <formula>$G5</formula>
    </cfRule>
  </conditionalFormatting>
  <conditionalFormatting sqref="H5:H44">
    <cfRule type="cellIs" dxfId="152" priority="2" stopIfTrue="1" operator="greaterThan">
      <formula>$I$5</formula>
    </cfRule>
  </conditionalFormatting>
  <conditionalFormatting sqref="N1:N3">
    <cfRule type="cellIs" dxfId="151" priority="5" stopIfTrue="1" operator="lessThan">
      <formula>0.8</formula>
    </cfRule>
  </conditionalFormatting>
  <conditionalFormatting sqref="N5:O44">
    <cfRule type="cellIs" dxfId="150" priority="4" stopIfTrue="1" operator="lessThan">
      <formula>0.85</formula>
    </cfRule>
  </conditionalFormatting>
  <hyperlinks>
    <hyperlink ref="P1:P3" location="'Ana Sayfa'!A1" display="ANA SAYFA" xr:uid="{4EEE391C-C727-4CC7-83B1-EB2363B09DA1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F66F-3F22-4225-8A47-D118ADCF5E58}">
  <sheetPr codeName="Sayfa2">
    <tabColor theme="0" tint="-0.14999847407452621"/>
    <pageSetUpPr fitToPage="1"/>
  </sheetPr>
  <dimension ref="A1:W63"/>
  <sheetViews>
    <sheetView workbookViewId="0">
      <selection activeCell="H9" sqref="H9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9.81640625" style="2" bestFit="1" customWidth="1"/>
    <col min="5" max="5" width="7.54296875" style="2" customWidth="1"/>
    <col min="6" max="6" width="5.1796875" style="2" customWidth="1"/>
    <col min="7" max="7" width="7.7265625" style="8" customWidth="1"/>
    <col min="8" max="8" width="11.1796875" style="15" customWidth="1"/>
    <col min="9" max="9" width="7.26953125" style="8" customWidth="1"/>
    <col min="10" max="10" width="5" style="66" customWidth="1"/>
    <col min="11" max="11" width="10" style="2" customWidth="1"/>
    <col min="12" max="13" width="7" style="2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v>46205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Perşembe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15480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76</v>
      </c>
      <c r="C5" s="91" t="e">
        <f>IF(ISBLANK(B5),"",VLOOKUP(B5,SÜRELER!$A:$B,2,FALSE))</f>
        <v>#N/A</v>
      </c>
      <c r="D5" s="80">
        <v>406</v>
      </c>
      <c r="E5" s="92" t="e">
        <f>IF(ISBLANK($B5),"0",VLOOKUP($B5,SÜRELER!$A:$C,3,FALSE))*(D5-F5)</f>
        <v>#N/A</v>
      </c>
      <c r="F5" s="81">
        <v>10</v>
      </c>
      <c r="G5" s="93" t="e">
        <f>VLOOKUP(B5,'R.H.'!A$3:C$3974,3,FALSE)*D5/100</f>
        <v>#N/A</v>
      </c>
      <c r="H5" s="82">
        <f>F5/D5</f>
        <v>2.4630541871921183E-2</v>
      </c>
      <c r="I5" s="87" t="e">
        <f>VLOOKUP(B5,'R.H.'!A$3:C$3974,3,FALSE)/100</f>
        <v>#N/A</v>
      </c>
      <c r="J5" s="83">
        <v>1</v>
      </c>
      <c r="K5" s="92" t="e">
        <f>E5/J5</f>
        <v>#N/A</v>
      </c>
      <c r="L5" s="84">
        <v>340</v>
      </c>
      <c r="M5" s="84"/>
      <c r="N5" s="94" t="e">
        <f>K5/L5</f>
        <v>#N/A</v>
      </c>
      <c r="O5" s="88" t="e">
        <f t="shared" ref="O5:O44" si="0">K5/(L5-M5)</f>
        <v>#N/A</v>
      </c>
      <c r="P5" s="173"/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75</v>
      </c>
      <c r="C6" s="91" t="e">
        <f>IF(ISBLANK(B6),"",VLOOKUP(B6,SÜRELER!$A:$B,2,FALSE))</f>
        <v>#N/A</v>
      </c>
      <c r="D6" s="80">
        <v>336</v>
      </c>
      <c r="E6" s="92" t="e">
        <f>IF(ISBLANK($B6),"0",VLOOKUP($B6,SÜRELER!$A:$C,3,FALSE))*(D6-F6)</f>
        <v>#N/A</v>
      </c>
      <c r="F6" s="81">
        <v>6</v>
      </c>
      <c r="G6" s="93" t="e">
        <f>VLOOKUP(B6,'R.H.'!A$3:C$3974,3,FALSE)*D6/100</f>
        <v>#N/A</v>
      </c>
      <c r="H6" s="82">
        <f t="shared" ref="H6:H44" si="1">F6/D6</f>
        <v>1.7857142857142856E-2</v>
      </c>
      <c r="I6" s="87" t="e">
        <f>VLOOKUP(B6,'R.H.'!A$3:C$3974,3,FALSE)/100</f>
        <v>#N/A</v>
      </c>
      <c r="J6" s="83">
        <v>1</v>
      </c>
      <c r="K6" s="92" t="e">
        <f t="shared" ref="K6:K44" si="2">E6/J6</f>
        <v>#N/A</v>
      </c>
      <c r="L6" s="84">
        <v>280</v>
      </c>
      <c r="M6" s="84"/>
      <c r="N6" s="94" t="e">
        <f t="shared" ref="N6:N44" si="3">K6/L6</f>
        <v>#N/A</v>
      </c>
      <c r="O6" s="88" t="e">
        <f t="shared" si="0"/>
        <v>#N/A</v>
      </c>
      <c r="P6" s="174"/>
      <c r="Q6" s="5"/>
      <c r="R6" s="5"/>
    </row>
    <row r="7" spans="1:23" s="4" customFormat="1" ht="16.5" customHeight="1" x14ac:dyDescent="0.25">
      <c r="A7" s="90">
        <v>3</v>
      </c>
      <c r="B7" s="86">
        <v>2076</v>
      </c>
      <c r="C7" s="91" t="e">
        <f>IF(ISBLANK(B7),"",VLOOKUP(B7,SÜRELER!$A:$B,2,FALSE))</f>
        <v>#N/A</v>
      </c>
      <c r="D7" s="80">
        <v>1990</v>
      </c>
      <c r="E7" s="92" t="e">
        <f>IF(ISBLANK($B7),"0",VLOOKUP($B7,SÜRELER!$A:$C,3,FALSE))*(D7-F7)</f>
        <v>#N/A</v>
      </c>
      <c r="F7" s="81">
        <v>5</v>
      </c>
      <c r="G7" s="93" t="e">
        <f>VLOOKUP(B7,'R.H.'!A$3:C$3974,3,FALSE)*D7/100</f>
        <v>#N/A</v>
      </c>
      <c r="H7" s="82">
        <f t="shared" si="1"/>
        <v>2.5125628140703518E-3</v>
      </c>
      <c r="I7" s="87" t="e">
        <f>VLOOKUP(B7,'R.H.'!A$3:C$3974,3,FALSE)/100</f>
        <v>#N/A</v>
      </c>
      <c r="J7" s="83">
        <v>1</v>
      </c>
      <c r="K7" s="92" t="e">
        <f t="shared" si="2"/>
        <v>#N/A</v>
      </c>
      <c r="L7" s="84">
        <v>1180</v>
      </c>
      <c r="M7" s="84"/>
      <c r="N7" s="94" t="e">
        <f t="shared" si="3"/>
        <v>#N/A</v>
      </c>
      <c r="O7" s="88" t="e">
        <f t="shared" si="0"/>
        <v>#N/A</v>
      </c>
      <c r="P7" s="175"/>
      <c r="Q7" s="5"/>
      <c r="R7" s="5"/>
    </row>
    <row r="8" spans="1:23" s="4" customFormat="1" ht="16.5" customHeight="1" x14ac:dyDescent="0.25">
      <c r="A8" s="85">
        <v>4</v>
      </c>
      <c r="B8" s="86">
        <v>248</v>
      </c>
      <c r="C8" s="91" t="e">
        <f>IF(ISBLANK(B8),"",VLOOKUP(B8,SÜRELER!$A:$B,2,FALSE))</f>
        <v>#N/A</v>
      </c>
      <c r="D8" s="80">
        <v>972</v>
      </c>
      <c r="E8" s="92" t="e">
        <f>IF(ISBLANK($B8),"0",VLOOKUP($B8,SÜRELER!$A:$C,3,FALSE))*(D8-F8)</f>
        <v>#N/A</v>
      </c>
      <c r="F8" s="81">
        <v>0</v>
      </c>
      <c r="G8" s="93" t="e">
        <f>VLOOKUP(B8,'R.H.'!A$3:C$3974,3,FALSE)*D8/100</f>
        <v>#N/A</v>
      </c>
      <c r="H8" s="82">
        <f t="shared" si="1"/>
        <v>0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935</v>
      </c>
      <c r="M8" s="84"/>
      <c r="N8" s="94" t="e">
        <f t="shared" si="3"/>
        <v>#N/A</v>
      </c>
      <c r="O8" s="88" t="e">
        <f t="shared" si="0"/>
        <v>#N/A</v>
      </c>
      <c r="P8" s="176"/>
      <c r="Q8" s="5"/>
      <c r="R8" s="5"/>
    </row>
    <row r="9" spans="1:23" s="4" customFormat="1" ht="16.5" x14ac:dyDescent="0.25">
      <c r="A9" s="90">
        <v>5</v>
      </c>
      <c r="B9" s="86">
        <v>249</v>
      </c>
      <c r="C9" s="91" t="e">
        <f>IF(ISBLANK(B9),"",VLOOKUP(B9,SÜRELER!$A:$B,2,FALSE))</f>
        <v>#N/A</v>
      </c>
      <c r="D9" s="80">
        <v>972</v>
      </c>
      <c r="E9" s="92" t="e">
        <f>IF(ISBLANK($B9),"0",VLOOKUP($B9,SÜRELER!$A:$C,3,FALSE))*(D9-F9)</f>
        <v>#N/A</v>
      </c>
      <c r="F9" s="81">
        <v>0</v>
      </c>
      <c r="G9" s="93" t="e">
        <f>VLOOKUP(B9,'R.H.'!A$3:C$3974,3,FALSE)*D9/100</f>
        <v>#N/A</v>
      </c>
      <c r="H9" s="82">
        <f t="shared" si="1"/>
        <v>0</v>
      </c>
      <c r="I9" s="87" t="e">
        <f>VLOOKUP(B9,'R.H.'!A$3:C$3974,3,FALSE)/100</f>
        <v>#N/A</v>
      </c>
      <c r="J9" s="83">
        <v>0.5</v>
      </c>
      <c r="K9" s="92" t="e">
        <f t="shared" si="2"/>
        <v>#N/A</v>
      </c>
      <c r="L9" s="84">
        <v>935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742</v>
      </c>
      <c r="C10" s="91" t="e">
        <f>IF(ISBLANK(B10),"",VLOOKUP(B10,SÜRELER!$A:$B,2,FALSE))</f>
        <v>#N/A</v>
      </c>
      <c r="D10" s="80">
        <f>394+50</f>
        <v>444</v>
      </c>
      <c r="E10" s="92" t="e">
        <f>IF(ISBLANK($B10),"0",VLOOKUP($B10,SÜRELER!$A:$C,3,FALSE))*(D10-F10)</f>
        <v>#N/A</v>
      </c>
      <c r="F10" s="81">
        <v>0</v>
      </c>
      <c r="G10" s="93" t="e">
        <f>VLOOKUP(B10,'R.H.'!A$3:C$3974,3,FALSE)*D10/100</f>
        <v>#N/A</v>
      </c>
      <c r="H10" s="82">
        <f t="shared" si="1"/>
        <v>0</v>
      </c>
      <c r="I10" s="87" t="e">
        <f>VLOOKUP(B10,'R.H.'!A$3:C$3974,3,FALSE)/100</f>
        <v>#N/A</v>
      </c>
      <c r="J10" s="83">
        <v>0.5</v>
      </c>
      <c r="K10" s="92" t="e">
        <f t="shared" si="2"/>
        <v>#N/A</v>
      </c>
      <c r="L10" s="84">
        <v>380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743</v>
      </c>
      <c r="C11" s="91" t="e">
        <f>IF(ISBLANK(B11),"",VLOOKUP(B11,SÜRELER!$A:$B,2,FALSE))</f>
        <v>#N/A</v>
      </c>
      <c r="D11" s="80">
        <v>444</v>
      </c>
      <c r="E11" s="92" t="e">
        <f>IF(ISBLANK($B11),"0",VLOOKUP($B11,SÜRELER!$A:$C,3,FALSE))*(D11-F11)</f>
        <v>#N/A</v>
      </c>
      <c r="F11" s="81">
        <v>0</v>
      </c>
      <c r="G11" s="93" t="e">
        <f>VLOOKUP(B11,'R.H.'!A$3:C$3974,3,FALSE)*D11/100</f>
        <v>#N/A</v>
      </c>
      <c r="H11" s="82">
        <f t="shared" si="1"/>
        <v>0</v>
      </c>
      <c r="I11" s="87" t="e">
        <f>VLOOKUP(B11,'R.H.'!A$3:C$3974,3,FALSE)/100</f>
        <v>#N/A</v>
      </c>
      <c r="J11" s="83">
        <v>0.5</v>
      </c>
      <c r="K11" s="92" t="e">
        <f t="shared" si="2"/>
        <v>#N/A</v>
      </c>
      <c r="L11" s="84">
        <v>380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9110</v>
      </c>
      <c r="C12" s="91" t="e">
        <f>IF(ISBLANK(B12),"",VLOOKUP(B12,SÜRELER!$A:$B,2,FALSE))</f>
        <v>#N/A</v>
      </c>
      <c r="D12" s="80">
        <v>300</v>
      </c>
      <c r="E12" s="92" t="e">
        <f>IF(ISBLANK($B12),"0",VLOOKUP($B12,SÜRELER!$A:$C,3,FALSE))*(D12-F12)</f>
        <v>#N/A</v>
      </c>
      <c r="F12" s="81">
        <v>0</v>
      </c>
      <c r="G12" s="93" t="e">
        <f>VLOOKUP(B12,'R.H.'!A$3:C$3974,3,FALSE)*D12/100</f>
        <v>#N/A</v>
      </c>
      <c r="H12" s="82">
        <f t="shared" si="1"/>
        <v>0</v>
      </c>
      <c r="I12" s="87" t="e">
        <f>VLOOKUP(B12,'R.H.'!A$3:C$3974,3,FALSE)/100</f>
        <v>#N/A</v>
      </c>
      <c r="J12" s="83">
        <v>2</v>
      </c>
      <c r="K12" s="92" t="e">
        <f t="shared" si="2"/>
        <v>#N/A</v>
      </c>
      <c r="L12" s="84">
        <v>80</v>
      </c>
      <c r="M12" s="84"/>
      <c r="N12" s="94" t="e">
        <f t="shared" si="3"/>
        <v>#N/A</v>
      </c>
      <c r="O12" s="88" t="e">
        <f t="shared" si="0"/>
        <v>#N/A</v>
      </c>
      <c r="P12" s="193" t="s">
        <v>3409</v>
      </c>
      <c r="Q12" s="5"/>
      <c r="R12" s="5"/>
    </row>
    <row r="13" spans="1:23" s="4" customFormat="1" ht="16.5" customHeight="1" x14ac:dyDescent="0.25">
      <c r="A13" s="90">
        <v>9</v>
      </c>
      <c r="B13" s="86">
        <v>9120</v>
      </c>
      <c r="C13" s="91" t="e">
        <f>IF(ISBLANK(B13),"",VLOOKUP(B13,SÜRELER!$A:$B,2,FALSE))</f>
        <v>#N/A</v>
      </c>
      <c r="D13" s="80">
        <v>300</v>
      </c>
      <c r="E13" s="92" t="e">
        <f>IF(ISBLANK($B13),"0",VLOOKUP($B13,SÜRELER!$A:$C,3,FALSE))*(D13-F13)</f>
        <v>#N/A</v>
      </c>
      <c r="F13" s="81">
        <v>0</v>
      </c>
      <c r="G13" s="93" t="e">
        <f>VLOOKUP(B13,'R.H.'!A$3:C$3974,3,FALSE)*D13/100</f>
        <v>#N/A</v>
      </c>
      <c r="H13" s="82">
        <f t="shared" si="1"/>
        <v>0</v>
      </c>
      <c r="I13" s="87" t="e">
        <f>VLOOKUP(B13,'R.H.'!A$3:C$3974,3,FALSE)/100</f>
        <v>#N/A</v>
      </c>
      <c r="J13" s="83">
        <v>2</v>
      </c>
      <c r="K13" s="92" t="e">
        <f t="shared" si="2"/>
        <v>#N/A</v>
      </c>
      <c r="L13" s="84">
        <v>80</v>
      </c>
      <c r="M13" s="84"/>
      <c r="N13" s="94" t="e">
        <f t="shared" si="3"/>
        <v>#N/A</v>
      </c>
      <c r="O13" s="88" t="e">
        <f t="shared" si="0"/>
        <v>#N/A</v>
      </c>
      <c r="P13" s="194"/>
      <c r="Q13" s="5"/>
      <c r="R13" s="5"/>
    </row>
    <row r="14" spans="1:23" s="4" customFormat="1" ht="16.75" customHeight="1" x14ac:dyDescent="0.25">
      <c r="A14" s="85">
        <v>10</v>
      </c>
      <c r="B14" s="86">
        <v>1908</v>
      </c>
      <c r="C14" s="91" t="e">
        <f>IF(ISBLANK(B14),"",VLOOKUP(B14,SÜRELER!$A:$B,2,FALSE))</f>
        <v>#N/A</v>
      </c>
      <c r="D14" s="80">
        <v>1024</v>
      </c>
      <c r="E14" s="92" t="e">
        <f>IF(ISBLANK($B14),"0",VLOOKUP($B14,SÜRELER!$A:$C,3,FALSE))*(D14-F14)</f>
        <v>#N/A</v>
      </c>
      <c r="F14" s="81">
        <v>0</v>
      </c>
      <c r="G14" s="93" t="e">
        <f>VLOOKUP(B14,'R.H.'!A$3:C$3974,3,FALSE)*D14/100</f>
        <v>#N/A</v>
      </c>
      <c r="H14" s="82">
        <f t="shared" si="1"/>
        <v>0</v>
      </c>
      <c r="I14" s="87" t="e">
        <f>VLOOKUP(B14,'R.H.'!A$3:C$3974,3,FALSE)/100</f>
        <v>#N/A</v>
      </c>
      <c r="J14" s="83">
        <v>0.5</v>
      </c>
      <c r="K14" s="92" t="e">
        <f t="shared" si="2"/>
        <v>#N/A</v>
      </c>
      <c r="L14" s="84">
        <v>1195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1909</v>
      </c>
      <c r="C15" s="91" t="e">
        <f>IF(ISBLANK(B15),"",VLOOKUP(B15,SÜRELER!$A:$B,2,FALSE))</f>
        <v>#N/A</v>
      </c>
      <c r="D15" s="80">
        <v>1024</v>
      </c>
      <c r="E15" s="92" t="e">
        <f>IF(ISBLANK($B15),"0",VLOOKUP($B15,SÜRELER!$A:$C,3,FALSE))*(D15-F15)</f>
        <v>#N/A</v>
      </c>
      <c r="F15" s="81">
        <v>0</v>
      </c>
      <c r="G15" s="93" t="e">
        <f>VLOOKUP(B15,'R.H.'!A$3:C$3974,3,FALSE)*D15/100</f>
        <v>#N/A</v>
      </c>
      <c r="H15" s="82">
        <f t="shared" si="1"/>
        <v>0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1195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2189</v>
      </c>
      <c r="C16" s="91" t="e">
        <f>IF(ISBLANK(B16),"",VLOOKUP(B16,SÜRELER!$A:$B,2,FALSE))</f>
        <v>#N/A</v>
      </c>
      <c r="D16" s="80">
        <f>325+96</f>
        <v>421</v>
      </c>
      <c r="E16" s="92" t="e">
        <f>IF(ISBLANK($B16),"0",VLOOKUP($B16,SÜRELER!$A:$C,3,FALSE))*(D16-F16)</f>
        <v>#N/A</v>
      </c>
      <c r="F16" s="81">
        <v>12</v>
      </c>
      <c r="G16" s="93" t="e">
        <f>VLOOKUP(B16,'R.H.'!A$3:C$3974,3,FALSE)*D16/100</f>
        <v>#N/A</v>
      </c>
      <c r="H16" s="82">
        <f t="shared" si="1"/>
        <v>2.8503562945368172E-2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250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2190</v>
      </c>
      <c r="C17" s="91" t="e">
        <f>IF(ISBLANK(B17),"",VLOOKUP(B17,SÜRELER!$A:$B,2,FALSE))</f>
        <v>#N/A</v>
      </c>
      <c r="D17" s="80">
        <v>421</v>
      </c>
      <c r="E17" s="92" t="e">
        <f>IF(ISBLANK($B17),"0",VLOOKUP($B17,SÜRELER!$A:$C,3,FALSE))*(D17-F17)</f>
        <v>#N/A</v>
      </c>
      <c r="F17" s="81">
        <v>12</v>
      </c>
      <c r="G17" s="93" t="e">
        <f>VLOOKUP(B17,'R.H.'!A$3:C$3974,3,FALSE)*D17/100</f>
        <v>#N/A</v>
      </c>
      <c r="H17" s="82">
        <f t="shared" si="1"/>
        <v>2.8503562945368172E-2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250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2191</v>
      </c>
      <c r="C18" s="91" t="e">
        <f>IF(ISBLANK(B18),"",VLOOKUP(B18,SÜRELER!$A:$B,2,FALSE))</f>
        <v>#N/A</v>
      </c>
      <c r="D18" s="80">
        <v>421</v>
      </c>
      <c r="E18" s="92" t="e">
        <f>IF(ISBLANK($B18),"0",VLOOKUP($B18,SÜRELER!$A:$C,3,FALSE))*(D18-F18)</f>
        <v>#N/A</v>
      </c>
      <c r="F18" s="81">
        <v>12</v>
      </c>
      <c r="G18" s="93" t="e">
        <f>VLOOKUP(B18,'R.H.'!A$3:C$3974,3,FALSE)*D18/100</f>
        <v>#N/A</v>
      </c>
      <c r="H18" s="82">
        <f t="shared" si="1"/>
        <v>2.8503562945368172E-2</v>
      </c>
      <c r="I18" s="87" t="e">
        <f>VLOOKUP(B18,'R.H.'!A$3:C$3974,3,FALSE)/100</f>
        <v>#N/A</v>
      </c>
      <c r="J18" s="83">
        <v>0.5</v>
      </c>
      <c r="K18" s="92" t="e">
        <f t="shared" si="2"/>
        <v>#N/A</v>
      </c>
      <c r="L18" s="84">
        <v>250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2192</v>
      </c>
      <c r="C19" s="91" t="e">
        <f>IF(ISBLANK(B19),"",VLOOKUP(B19,SÜRELER!$A:$B,2,FALSE))</f>
        <v>#N/A</v>
      </c>
      <c r="D19" s="80">
        <v>421</v>
      </c>
      <c r="E19" s="92" t="e">
        <f>IF(ISBLANK($B19),"0",VLOOKUP($B19,SÜRELER!$A:$C,3,FALSE))*(D19-F19)</f>
        <v>#N/A</v>
      </c>
      <c r="F19" s="81">
        <v>12</v>
      </c>
      <c r="G19" s="93" t="e">
        <f>VLOOKUP(B19,'R.H.'!A$3:C$3974,3,FALSE)*D19/100</f>
        <v>#N/A</v>
      </c>
      <c r="H19" s="82">
        <f t="shared" si="1"/>
        <v>2.8503562945368172E-2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250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2080</v>
      </c>
      <c r="C20" s="91" t="e">
        <f>IF(ISBLANK(B20),"",VLOOKUP(B20,SÜRELER!$A:$B,2,FALSE))</f>
        <v>#N/A</v>
      </c>
      <c r="D20" s="80">
        <f>984+420</f>
        <v>1404</v>
      </c>
      <c r="E20" s="92" t="e">
        <f>IF(ISBLANK($B20),"0",VLOOKUP($B20,SÜRELER!$A:$C,3,FALSE))*(D20-F20)</f>
        <v>#N/A</v>
      </c>
      <c r="F20" s="81">
        <v>4</v>
      </c>
      <c r="G20" s="93" t="e">
        <f>VLOOKUP(B20,'R.H.'!A$3:C$3974,3,FALSE)*D20/100</f>
        <v>#N/A</v>
      </c>
      <c r="H20" s="82">
        <f t="shared" si="1"/>
        <v>2.8490028490028491E-3</v>
      </c>
      <c r="I20" s="87" t="e">
        <f>VLOOKUP(B20,'R.H.'!A$3:C$3974,3,FALSE)/100</f>
        <v>#N/A</v>
      </c>
      <c r="J20" s="83">
        <v>1</v>
      </c>
      <c r="K20" s="92" t="e">
        <f t="shared" si="2"/>
        <v>#N/A</v>
      </c>
      <c r="L20" s="84">
        <v>1060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2078</v>
      </c>
      <c r="C21" s="91" t="e">
        <f>IF(ISBLANK(B21),"",VLOOKUP(B21,SÜRELER!$A:$B,2,FALSE))</f>
        <v>#N/A</v>
      </c>
      <c r="D21" s="80">
        <v>800</v>
      </c>
      <c r="E21" s="92" t="e">
        <f>IF(ISBLANK($B21),"0",VLOOKUP($B21,SÜRELER!$A:$C,3,FALSE))*(D21-F21)</f>
        <v>#N/A</v>
      </c>
      <c r="F21" s="81">
        <v>0</v>
      </c>
      <c r="G21" s="93" t="e">
        <f>VLOOKUP(B21,'R.H.'!A$3:C$3974,3,FALSE)*D21/100</f>
        <v>#N/A</v>
      </c>
      <c r="H21" s="82">
        <f t="shared" si="1"/>
        <v>0</v>
      </c>
      <c r="I21" s="87" t="e">
        <f>VLOOKUP(B21,'R.H.'!A$3:C$3974,3,FALSE)/100</f>
        <v>#N/A</v>
      </c>
      <c r="J21" s="83">
        <v>0.5</v>
      </c>
      <c r="K21" s="92" t="e">
        <f t="shared" si="2"/>
        <v>#N/A</v>
      </c>
      <c r="L21" s="84">
        <v>1610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683</v>
      </c>
      <c r="C22" s="91" t="e">
        <f>IF(ISBLANK(B22),"",VLOOKUP(B22,SÜRELER!$A:$B,2,FALSE))</f>
        <v>#N/A</v>
      </c>
      <c r="D22" s="80">
        <f>110+250</f>
        <v>360</v>
      </c>
      <c r="E22" s="92" t="e">
        <f>IF(ISBLANK($B22),"0",VLOOKUP($B22,SÜRELER!$A:$C,3,FALSE))*(D22-F22)</f>
        <v>#N/A</v>
      </c>
      <c r="F22" s="81">
        <v>8</v>
      </c>
      <c r="G22" s="93" t="e">
        <f>VLOOKUP(B22,'R.H.'!A$3:C$3974,3,FALSE)*D22/100</f>
        <v>#N/A</v>
      </c>
      <c r="H22" s="82">
        <f t="shared" si="1"/>
        <v>2.2222222222222223E-2</v>
      </c>
      <c r="I22" s="87" t="e">
        <f>VLOOKUP(B22,'R.H.'!A$3:C$3974,3,FALSE)/100</f>
        <v>#N/A</v>
      </c>
      <c r="J22" s="83">
        <v>0.5</v>
      </c>
      <c r="K22" s="92" t="e">
        <f t="shared" si="2"/>
        <v>#N/A</v>
      </c>
      <c r="L22" s="84">
        <v>710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2070</v>
      </c>
      <c r="C23" s="91" t="e">
        <f>IF(ISBLANK(B23),"",VLOOKUP(B23,SÜRELER!$A:$B,2,FALSE))</f>
        <v>#N/A</v>
      </c>
      <c r="D23" s="80">
        <f>442+278</f>
        <v>720</v>
      </c>
      <c r="E23" s="92" t="e">
        <f>IF(ISBLANK($B23),"0",VLOOKUP($B23,SÜRELER!$A:$C,3,FALSE))*(D23-F23)</f>
        <v>#N/A</v>
      </c>
      <c r="F23" s="81">
        <v>0</v>
      </c>
      <c r="G23" s="93" t="e">
        <f>VLOOKUP(B23,'R.H.'!A$3:C$3974,3,FALSE)*D23/100</f>
        <v>#N/A</v>
      </c>
      <c r="H23" s="82">
        <f t="shared" si="1"/>
        <v>0</v>
      </c>
      <c r="I23" s="87" t="e">
        <f>VLOOKUP(B23,'R.H.'!A$3:C$3974,3,FALSE)/100</f>
        <v>#N/A</v>
      </c>
      <c r="J23" s="83">
        <v>0.5</v>
      </c>
      <c r="K23" s="92" t="e">
        <f t="shared" si="2"/>
        <v>#N/A</v>
      </c>
      <c r="L23" s="84">
        <v>700</v>
      </c>
      <c r="M23" s="84"/>
      <c r="N23" s="94" t="e">
        <f t="shared" si="3"/>
        <v>#N/A</v>
      </c>
      <c r="O23" s="88" t="e">
        <f t="shared" si="0"/>
        <v>#N/A</v>
      </c>
      <c r="P23" s="193" t="s">
        <v>3410</v>
      </c>
      <c r="Q23" s="5"/>
      <c r="R23" s="5"/>
    </row>
    <row r="24" spans="1:18" s="4" customFormat="1" ht="16.75" customHeight="1" x14ac:dyDescent="0.25">
      <c r="A24" s="85">
        <v>20</v>
      </c>
      <c r="B24" s="86">
        <v>2071</v>
      </c>
      <c r="C24" s="91" t="e">
        <f>IF(ISBLANK(B24),"",VLOOKUP(B24,SÜRELER!$A:$B,2,FALSE))</f>
        <v>#N/A</v>
      </c>
      <c r="D24" s="80">
        <v>720</v>
      </c>
      <c r="E24" s="92" t="e">
        <f>IF(ISBLANK($B24),"0",VLOOKUP($B24,SÜRELER!$A:$C,3,FALSE))*(D24-F24)</f>
        <v>#N/A</v>
      </c>
      <c r="F24" s="81">
        <v>0</v>
      </c>
      <c r="G24" s="93" t="e">
        <f>VLOOKUP(B24,'R.H.'!A$3:C$3974,3,FALSE)*D24/100</f>
        <v>#N/A</v>
      </c>
      <c r="H24" s="82">
        <f t="shared" si="1"/>
        <v>0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700</v>
      </c>
      <c r="M24" s="84"/>
      <c r="N24" s="94" t="e">
        <f t="shared" si="3"/>
        <v>#N/A</v>
      </c>
      <c r="O24" s="88" t="e">
        <f t="shared" si="0"/>
        <v>#N/A</v>
      </c>
      <c r="P24" s="194"/>
      <c r="Q24" s="5"/>
      <c r="R24" s="5"/>
    </row>
    <row r="25" spans="1:18" s="4" customFormat="1" ht="16.75" customHeight="1" x14ac:dyDescent="0.25">
      <c r="A25" s="90">
        <v>21</v>
      </c>
      <c r="B25" s="86">
        <v>2102</v>
      </c>
      <c r="C25" s="91" t="e">
        <f>IF(ISBLANK(B25),"",VLOOKUP(B25,SÜRELER!$A:$B,2,FALSE))</f>
        <v>#N/A</v>
      </c>
      <c r="D25" s="80">
        <f>248+50</f>
        <v>298</v>
      </c>
      <c r="E25" s="92" t="e">
        <f>IF(ISBLANK($B25),"0",VLOOKUP($B25,SÜRELER!$A:$C,3,FALSE))*(D25-F25)</f>
        <v>#N/A</v>
      </c>
      <c r="F25" s="81">
        <v>10</v>
      </c>
      <c r="G25" s="93" t="e">
        <f>VLOOKUP(B25,'R.H.'!A$3:C$3974,3,FALSE)*D25/100</f>
        <v>#N/A</v>
      </c>
      <c r="H25" s="82">
        <f t="shared" si="1"/>
        <v>3.3557046979865772E-2</v>
      </c>
      <c r="I25" s="87" t="e">
        <f>VLOOKUP(B25,'R.H.'!A$3:C$3974,3,FALSE)/100</f>
        <v>#N/A</v>
      </c>
      <c r="J25" s="83">
        <v>0.5</v>
      </c>
      <c r="K25" s="92" t="e">
        <f t="shared" si="2"/>
        <v>#N/A</v>
      </c>
      <c r="L25" s="84">
        <v>580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2103</v>
      </c>
      <c r="C26" s="91" t="e">
        <f>IF(ISBLANK(B26),"",VLOOKUP(B26,SÜRELER!$A:$B,2,FALSE))</f>
        <v>#N/A</v>
      </c>
      <c r="D26" s="80">
        <v>298</v>
      </c>
      <c r="E26" s="92" t="e">
        <f>IF(ISBLANK($B26),"0",VLOOKUP($B26,SÜRELER!$A:$C,3,FALSE))*(D26-F26)</f>
        <v>#N/A</v>
      </c>
      <c r="F26" s="81">
        <v>10</v>
      </c>
      <c r="G26" s="93" t="e">
        <f>VLOOKUP(B26,'R.H.'!A$3:C$3974,3,FALSE)*D26/100</f>
        <v>#N/A</v>
      </c>
      <c r="H26" s="82">
        <f t="shared" si="1"/>
        <v>3.3557046979865772E-2</v>
      </c>
      <c r="I26" s="87" t="e">
        <f>VLOOKUP(B26,'R.H.'!A$3:C$3974,3,FALSE)/100</f>
        <v>#N/A</v>
      </c>
      <c r="J26" s="83">
        <v>0.5</v>
      </c>
      <c r="K26" s="92" t="e">
        <f t="shared" si="2"/>
        <v>#N/A</v>
      </c>
      <c r="L26" s="84">
        <v>580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1112</v>
      </c>
      <c r="C27" s="91" t="e">
        <f>IF(ISBLANK(B27),"",VLOOKUP(B27,SÜRELER!$A:$B,2,FALSE))</f>
        <v>#N/A</v>
      </c>
      <c r="D27" s="80">
        <v>400</v>
      </c>
      <c r="E27" s="92" t="e">
        <f>IF(ISBLANK($B27),"0",VLOOKUP($B27,SÜRELER!$A:$C,3,FALSE))*(D27-F27)</f>
        <v>#N/A</v>
      </c>
      <c r="F27" s="81">
        <v>0</v>
      </c>
      <c r="G27" s="93" t="e">
        <f>VLOOKUP(B27,'R.H.'!A$3:C$3974,3,FALSE)*D27/100</f>
        <v>#N/A</v>
      </c>
      <c r="H27" s="82">
        <f t="shared" si="1"/>
        <v>0</v>
      </c>
      <c r="I27" s="87" t="e">
        <f>VLOOKUP(B27,'R.H.'!A$3:C$3974,3,FALSE)/100</f>
        <v>#N/A</v>
      </c>
      <c r="J27" s="83">
        <v>1</v>
      </c>
      <c r="K27" s="92" t="e">
        <f t="shared" si="2"/>
        <v>#N/A</v>
      </c>
      <c r="L27" s="84">
        <v>136</v>
      </c>
      <c r="M27" s="84"/>
      <c r="N27" s="94" t="e">
        <f t="shared" si="3"/>
        <v>#N/A</v>
      </c>
      <c r="O27" s="88" t="e">
        <f t="shared" si="0"/>
        <v>#N/A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>
        <v>1830</v>
      </c>
      <c r="C28" s="91" t="e">
        <f>IF(ISBLANK(B28),"",VLOOKUP(B28,SÜRELER!$A:$B,2,FALSE))</f>
        <v>#N/A</v>
      </c>
      <c r="D28" s="80">
        <v>584</v>
      </c>
      <c r="E28" s="92" t="e">
        <f>IF(ISBLANK($B28),"0",VLOOKUP($B28,SÜRELER!$A:$C,3,FALSE))*(D28-F28)</f>
        <v>#N/A</v>
      </c>
      <c r="F28" s="81">
        <v>10</v>
      </c>
      <c r="G28" s="93" t="e">
        <f>VLOOKUP(B28,'R.H.'!A$3:C$3974,3,FALSE)*D28/100</f>
        <v>#N/A</v>
      </c>
      <c r="H28" s="82">
        <f t="shared" si="1"/>
        <v>1.7123287671232876E-2</v>
      </c>
      <c r="I28" s="87" t="e">
        <f>VLOOKUP(B28,'R.H.'!A$3:C$3974,3,FALSE)/100</f>
        <v>#N/A</v>
      </c>
      <c r="J28" s="83">
        <v>1</v>
      </c>
      <c r="K28" s="92" t="e">
        <f t="shared" si="2"/>
        <v>#N/A</v>
      </c>
      <c r="L28" s="84">
        <v>148</v>
      </c>
      <c r="M28" s="84"/>
      <c r="N28" s="94" t="e">
        <f t="shared" si="3"/>
        <v>#N/A</v>
      </c>
      <c r="O28" s="88" t="e">
        <f t="shared" si="0"/>
        <v>#N/A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/>
      <c r="C29" s="91" t="str">
        <f>IF(ISBLANK(B29),"",VLOOKUP(B29,SÜRELER!$A:$B,2,FALSE))</f>
        <v/>
      </c>
      <c r="D29" s="80"/>
      <c r="E29" s="92">
        <f>IF(ISBLANK($B29),"0",VLOOKUP($B29,SÜRELER!$A:$C,3,FALSE))*(D29-F29)</f>
        <v>0</v>
      </c>
      <c r="F29" s="81"/>
      <c r="G29" s="93" t="e">
        <f>VLOOKUP(B29,'R.H.'!A$3:C$3974,3,FALSE)*D29/100</f>
        <v>#N/A</v>
      </c>
      <c r="H29" s="82" t="e">
        <f t="shared" si="1"/>
        <v>#DIV/0!</v>
      </c>
      <c r="I29" s="87" t="e">
        <f>VLOOKUP(B29,'R.H.'!A$3:C$3974,3,FALSE)/100</f>
        <v>#N/A</v>
      </c>
      <c r="J29" s="83"/>
      <c r="K29" s="92" t="e">
        <f t="shared" si="2"/>
        <v>#DIV/0!</v>
      </c>
      <c r="L29" s="84"/>
      <c r="M29" s="84"/>
      <c r="N29" s="94" t="e">
        <f t="shared" si="3"/>
        <v>#DIV/0!</v>
      </c>
      <c r="O29" s="88" t="e">
        <f t="shared" si="0"/>
        <v>#DIV/0!</v>
      </c>
      <c r="P29" s="119"/>
      <c r="Q29" s="5"/>
      <c r="R29" s="5"/>
    </row>
    <row r="30" spans="1:18" s="4" customFormat="1" ht="16.5" x14ac:dyDescent="0.25">
      <c r="A30" s="85">
        <v>26</v>
      </c>
      <c r="B30" s="86"/>
      <c r="C30" s="91" t="str">
        <f>IF(ISBLANK(B30),"",VLOOKUP(B30,SÜRELER!$A:$B,2,FALSE))</f>
        <v/>
      </c>
      <c r="D30" s="80"/>
      <c r="E30" s="92">
        <f>IF(ISBLANK($B30),"0",VLOOKUP($B30,SÜRELER!$A:$C,3,FALSE))*(D30-F30)</f>
        <v>0</v>
      </c>
      <c r="F30" s="81"/>
      <c r="G30" s="93" t="e">
        <f>VLOOKUP(B30,'R.H.'!A$3:C$3974,3,FALSE)*D30/100</f>
        <v>#N/A</v>
      </c>
      <c r="H30" s="82" t="e">
        <f t="shared" si="1"/>
        <v>#DIV/0!</v>
      </c>
      <c r="I30" s="87" t="e">
        <f>VLOOKUP(B30,'R.H.'!A$3:C$3974,3,FALSE)/100</f>
        <v>#N/A</v>
      </c>
      <c r="J30" s="83"/>
      <c r="K30" s="92" t="e">
        <f t="shared" si="2"/>
        <v>#DIV/0!</v>
      </c>
      <c r="L30" s="84"/>
      <c r="M30" s="84"/>
      <c r="N30" s="94" t="e">
        <f t="shared" si="3"/>
        <v>#DIV/0!</v>
      </c>
      <c r="O30" s="88" t="e">
        <f t="shared" si="0"/>
        <v>#DIV/0!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15480</v>
      </c>
      <c r="E45" s="26" t="e">
        <f>SUM(E5:E44)</f>
        <v>#N/A</v>
      </c>
      <c r="F45" s="26">
        <f>SUM(F5:F44)</f>
        <v>111</v>
      </c>
      <c r="G45" s="26"/>
      <c r="H45" s="26"/>
      <c r="I45" s="26"/>
      <c r="J45" s="26"/>
      <c r="K45" s="26"/>
      <c r="L45" s="26">
        <f>SUM(L5:L44)</f>
        <v>14204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0.71705426356589141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16.5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9175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>
        <v>180</v>
      </c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8995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180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15480</v>
      </c>
      <c r="F63" s="24">
        <f>F45</f>
        <v>111</v>
      </c>
      <c r="G63" s="23">
        <f>(F63*1000000)/E63</f>
        <v>7170.5426356589151</v>
      </c>
      <c r="H63" s="22">
        <f>D59</f>
        <v>180</v>
      </c>
      <c r="I63" s="17" t="e">
        <f>N1</f>
        <v>#N/A</v>
      </c>
    </row>
  </sheetData>
  <mergeCells count="19">
    <mergeCell ref="P5:P6"/>
    <mergeCell ref="P7:P8"/>
    <mergeCell ref="N1:N3"/>
    <mergeCell ref="A2:B3"/>
    <mergeCell ref="E56:N56"/>
    <mergeCell ref="D46:D47"/>
    <mergeCell ref="E46:F47"/>
    <mergeCell ref="A1:B1"/>
    <mergeCell ref="C1:D2"/>
    <mergeCell ref="H1:H3"/>
    <mergeCell ref="P12:P13"/>
    <mergeCell ref="P23:P24"/>
    <mergeCell ref="E57:N57"/>
    <mergeCell ref="E49:N49"/>
    <mergeCell ref="E50:N50"/>
    <mergeCell ref="E51:N51"/>
    <mergeCell ref="E53:N53"/>
    <mergeCell ref="E54:N54"/>
    <mergeCell ref="E55:N55"/>
  </mergeCells>
  <conditionalFormatting sqref="D3">
    <cfRule type="cellIs" dxfId="149" priority="5" stopIfTrue="1" operator="lessThan">
      <formula>0.95</formula>
    </cfRule>
  </conditionalFormatting>
  <conditionalFormatting sqref="F5:F44">
    <cfRule type="cellIs" dxfId="148" priority="1" stopIfTrue="1" operator="greaterThan">
      <formula>$G5</formula>
    </cfRule>
  </conditionalFormatting>
  <conditionalFormatting sqref="H5:H44">
    <cfRule type="cellIs" dxfId="147" priority="2" stopIfTrue="1" operator="greaterThan">
      <formula>$I$5</formula>
    </cfRule>
  </conditionalFormatting>
  <conditionalFormatting sqref="N1:N3">
    <cfRule type="cellIs" dxfId="146" priority="4" stopIfTrue="1" operator="lessThan">
      <formula>0.8</formula>
    </cfRule>
  </conditionalFormatting>
  <conditionalFormatting sqref="N5:O44">
    <cfRule type="cellIs" dxfId="145" priority="3" stopIfTrue="1" operator="lessThan">
      <formula>0.85</formula>
    </cfRule>
  </conditionalFormatting>
  <hyperlinks>
    <hyperlink ref="P1:P3" location="'Ana Sayfa'!A1" display="ANA SAYFA" xr:uid="{7E3829AB-AD7A-4F61-8D36-7218B1BCDE9B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4848-D351-4EEC-AD3B-11337FE0354C}">
  <sheetPr codeName="Sayfa3">
    <tabColor theme="0" tint="-0.14999847407452621"/>
    <pageSetUpPr fitToPage="1"/>
  </sheetPr>
  <dimension ref="A1:W63"/>
  <sheetViews>
    <sheetView workbookViewId="0">
      <selection activeCell="I1" sqref="I1:M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'2'!A1+1</f>
        <v>46206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Cuma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31629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2076</v>
      </c>
      <c r="C5" s="91" t="e">
        <f>IF(ISBLANK(B5),"",VLOOKUP(B5,SÜRELER!$A:$B,2,FALSE))</f>
        <v>#N/A</v>
      </c>
      <c r="D5" s="80">
        <v>646</v>
      </c>
      <c r="E5" s="92" t="e">
        <f>IF(ISBLANK($B5),"0",VLOOKUP($B5,SÜRELER!$A:$C,3,FALSE))*(D5-F5)</f>
        <v>#N/A</v>
      </c>
      <c r="F5" s="81">
        <v>6</v>
      </c>
      <c r="G5" s="93" t="e">
        <f>VLOOKUP(B5,'R.H.'!A$3:C$3974,3,FALSE)*D5/100</f>
        <v>#N/A</v>
      </c>
      <c r="H5" s="82">
        <f>F5/D5</f>
        <v>9.2879256965944269E-3</v>
      </c>
      <c r="I5" s="87" t="e">
        <f>VLOOKUP(B5,'R.H.'!A$3:C$3974,3,FALSE)/100</f>
        <v>#N/A</v>
      </c>
      <c r="J5" s="83">
        <v>1</v>
      </c>
      <c r="K5" s="92" t="e">
        <f>E5/J5</f>
        <v>#N/A</v>
      </c>
      <c r="L5" s="84">
        <v>380</v>
      </c>
      <c r="M5" s="84"/>
      <c r="N5" s="94" t="e">
        <f>K5/L5</f>
        <v>#N/A</v>
      </c>
      <c r="O5" s="88" t="e">
        <f t="shared" ref="O5:O44" si="0">K5/(L5-M5)</f>
        <v>#N/A</v>
      </c>
      <c r="P5" s="193" t="s">
        <v>3411</v>
      </c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311</v>
      </c>
      <c r="C6" s="91" t="e">
        <f>IF(ISBLANK(B6),"",VLOOKUP(B6,SÜRELER!$A:$B,2,FALSE))</f>
        <v>#N/A</v>
      </c>
      <c r="D6" s="80">
        <v>108</v>
      </c>
      <c r="E6" s="92" t="e">
        <f>IF(ISBLANK($B6),"0",VLOOKUP($B6,SÜRELER!$A:$C,3,FALSE))*(D6-F6)</f>
        <v>#N/A</v>
      </c>
      <c r="F6" s="81">
        <v>0</v>
      </c>
      <c r="G6" s="93" t="e">
        <f>VLOOKUP(B6,'R.H.'!A$3:C$3974,3,FALSE)*D6/100</f>
        <v>#N/A</v>
      </c>
      <c r="H6" s="82">
        <f t="shared" ref="H6:H44" si="1">F6/D6</f>
        <v>0</v>
      </c>
      <c r="I6" s="87" t="e">
        <f>VLOOKUP(B6,'R.H.'!A$3:C$3974,3,FALSE)/100</f>
        <v>#N/A</v>
      </c>
      <c r="J6" s="83">
        <v>1</v>
      </c>
      <c r="K6" s="92" t="e">
        <f t="shared" ref="K6:K44" si="2">E6/J6</f>
        <v>#N/A</v>
      </c>
      <c r="L6" s="84">
        <v>80</v>
      </c>
      <c r="M6" s="84"/>
      <c r="N6" s="94" t="e">
        <f t="shared" ref="N6:N44" si="3">K6/L6</f>
        <v>#N/A</v>
      </c>
      <c r="O6" s="88" t="e">
        <f t="shared" si="0"/>
        <v>#N/A</v>
      </c>
      <c r="P6" s="194"/>
      <c r="Q6" s="5"/>
      <c r="R6" s="5"/>
    </row>
    <row r="7" spans="1:23" s="4" customFormat="1" ht="16.5" customHeight="1" x14ac:dyDescent="0.25">
      <c r="A7" s="90">
        <v>3</v>
      </c>
      <c r="B7" s="86">
        <v>683</v>
      </c>
      <c r="C7" s="91" t="e">
        <f>IF(ISBLANK(B7),"",VLOOKUP(B7,SÜRELER!$A:$B,2,FALSE))</f>
        <v>#N/A</v>
      </c>
      <c r="D7" s="80">
        <v>455</v>
      </c>
      <c r="E7" s="92" t="e">
        <f>IF(ISBLANK($B7),"0",VLOOKUP($B7,SÜRELER!$A:$C,3,FALSE))*(D7-F7)</f>
        <v>#N/A</v>
      </c>
      <c r="F7" s="81">
        <v>10</v>
      </c>
      <c r="G7" s="93" t="e">
        <f>VLOOKUP(B7,'R.H.'!A$3:C$3974,3,FALSE)*D7/100</f>
        <v>#N/A</v>
      </c>
      <c r="H7" s="82">
        <f t="shared" si="1"/>
        <v>2.197802197802198E-2</v>
      </c>
      <c r="I7" s="87" t="e">
        <f>VLOOKUP(B7,'R.H.'!A$3:C$3974,3,FALSE)/100</f>
        <v>#N/A</v>
      </c>
      <c r="J7" s="83">
        <v>1</v>
      </c>
      <c r="K7" s="92" t="e">
        <f t="shared" si="2"/>
        <v>#N/A</v>
      </c>
      <c r="L7" s="84">
        <v>850</v>
      </c>
      <c r="M7" s="84"/>
      <c r="N7" s="94" t="e">
        <f t="shared" si="3"/>
        <v>#N/A</v>
      </c>
      <c r="O7" s="88" t="e">
        <f t="shared" si="0"/>
        <v>#N/A</v>
      </c>
      <c r="P7" s="166" t="s">
        <v>3412</v>
      </c>
      <c r="Q7" s="5"/>
      <c r="R7" s="5"/>
    </row>
    <row r="8" spans="1:23" s="4" customFormat="1" ht="16.5" customHeight="1" x14ac:dyDescent="0.25">
      <c r="A8" s="85">
        <v>4</v>
      </c>
      <c r="B8" s="86">
        <v>1934</v>
      </c>
      <c r="C8" s="91" t="e">
        <f>IF(ISBLANK(B8),"",VLOOKUP(B8,SÜRELER!$A:$B,2,FALSE))</f>
        <v>#N/A</v>
      </c>
      <c r="D8" s="80">
        <v>330</v>
      </c>
      <c r="E8" s="92" t="e">
        <f>IF(ISBLANK($B8),"0",VLOOKUP($B8,SÜRELER!$A:$C,3,FALSE))*(D8-F8)</f>
        <v>#N/A</v>
      </c>
      <c r="F8" s="81">
        <v>5</v>
      </c>
      <c r="G8" s="93" t="e">
        <f>VLOOKUP(B8,'R.H.'!A$3:C$3974,3,FALSE)*D8/100</f>
        <v>#N/A</v>
      </c>
      <c r="H8" s="82">
        <f t="shared" si="1"/>
        <v>1.5151515151515152E-2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3290</v>
      </c>
      <c r="M8" s="84"/>
      <c r="N8" s="94" t="e">
        <f t="shared" si="3"/>
        <v>#N/A</v>
      </c>
      <c r="O8" s="88" t="e">
        <f t="shared" si="0"/>
        <v>#N/A</v>
      </c>
      <c r="P8" s="119"/>
      <c r="Q8" s="5"/>
      <c r="R8" s="5"/>
    </row>
    <row r="9" spans="1:23" s="4" customFormat="1" ht="16.5" x14ac:dyDescent="0.25">
      <c r="A9" s="90">
        <v>5</v>
      </c>
      <c r="B9" s="86">
        <v>1935</v>
      </c>
      <c r="C9" s="91" t="e">
        <f>IF(ISBLANK(B9),"",VLOOKUP(B9,SÜRELER!$A:$B,2,FALSE))</f>
        <v>#N/A</v>
      </c>
      <c r="D9" s="80">
        <v>330</v>
      </c>
      <c r="E9" s="92" t="e">
        <f>IF(ISBLANK($B9),"0",VLOOKUP($B9,SÜRELER!$A:$C,3,FALSE))*(D9-F9)</f>
        <v>#N/A</v>
      </c>
      <c r="F9" s="81">
        <v>5</v>
      </c>
      <c r="G9" s="93" t="e">
        <f>VLOOKUP(B9,'R.H.'!A$3:C$3974,3,FALSE)*D9/100</f>
        <v>#N/A</v>
      </c>
      <c r="H9" s="82">
        <f t="shared" si="1"/>
        <v>1.5151515151515152E-2</v>
      </c>
      <c r="I9" s="87" t="e">
        <f>VLOOKUP(B9,'R.H.'!A$3:C$3974,3,FALSE)/100</f>
        <v>#N/A</v>
      </c>
      <c r="J9" s="83">
        <v>0.5</v>
      </c>
      <c r="K9" s="92" t="e">
        <f t="shared" si="2"/>
        <v>#N/A</v>
      </c>
      <c r="L9" s="84">
        <v>3290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95</v>
      </c>
      <c r="C10" s="91" t="e">
        <f>IF(ISBLANK(B10),"",VLOOKUP(B10,SÜRELER!$A:$B,2,FALSE))</f>
        <v>#N/A</v>
      </c>
      <c r="D10" s="80">
        <f>290+119+149</f>
        <v>558</v>
      </c>
      <c r="E10" s="92" t="e">
        <f>IF(ISBLANK($B10),"0",VLOOKUP($B10,SÜRELER!$A:$C,3,FALSE))*(D10-F10)</f>
        <v>#N/A</v>
      </c>
      <c r="F10" s="81">
        <v>66</v>
      </c>
      <c r="G10" s="93" t="e">
        <f>VLOOKUP(B10,'R.H.'!A$3:C$3974,3,FALSE)*D10/100</f>
        <v>#N/A</v>
      </c>
      <c r="H10" s="82">
        <f t="shared" si="1"/>
        <v>0.11827956989247312</v>
      </c>
      <c r="I10" s="87" t="e">
        <f>VLOOKUP(B10,'R.H.'!A$3:C$3974,3,FALSE)/100</f>
        <v>#N/A</v>
      </c>
      <c r="J10" s="83">
        <v>1</v>
      </c>
      <c r="K10" s="92" t="e">
        <f t="shared" si="2"/>
        <v>#N/A</v>
      </c>
      <c r="L10" s="84">
        <v>600</v>
      </c>
      <c r="M10" s="84"/>
      <c r="N10" s="94" t="e">
        <f t="shared" si="3"/>
        <v>#N/A</v>
      </c>
      <c r="O10" s="88" t="e">
        <f t="shared" si="0"/>
        <v>#N/A</v>
      </c>
      <c r="P10" s="193" t="s">
        <v>3413</v>
      </c>
      <c r="Q10" s="5"/>
      <c r="R10" s="5"/>
    </row>
    <row r="11" spans="1:23" s="4" customFormat="1" ht="16.75" customHeight="1" x14ac:dyDescent="0.25">
      <c r="A11" s="90">
        <v>7</v>
      </c>
      <c r="B11" s="86">
        <v>81</v>
      </c>
      <c r="C11" s="91" t="e">
        <f>IF(ISBLANK(B11),"",VLOOKUP(B11,SÜRELER!$A:$B,2,FALSE))</f>
        <v>#N/A</v>
      </c>
      <c r="D11" s="80">
        <f>318+346</f>
        <v>664</v>
      </c>
      <c r="E11" s="92" t="e">
        <f>IF(ISBLANK($B11),"0",VLOOKUP($B11,SÜRELER!$A:$C,3,FALSE))*(D11-F11)</f>
        <v>#N/A</v>
      </c>
      <c r="F11" s="81">
        <v>18</v>
      </c>
      <c r="G11" s="93" t="e">
        <f>VLOOKUP(B11,'R.H.'!A$3:C$3974,3,FALSE)*D11/100</f>
        <v>#N/A</v>
      </c>
      <c r="H11" s="82">
        <f t="shared" si="1"/>
        <v>2.710843373493976E-2</v>
      </c>
      <c r="I11" s="87" t="e">
        <f>VLOOKUP(B11,'R.H.'!A$3:C$3974,3,FALSE)/100</f>
        <v>#N/A</v>
      </c>
      <c r="J11" s="83">
        <v>0.5</v>
      </c>
      <c r="K11" s="92" t="e">
        <f t="shared" si="2"/>
        <v>#N/A</v>
      </c>
      <c r="L11" s="84">
        <v>1085</v>
      </c>
      <c r="M11" s="84"/>
      <c r="N11" s="94" t="e">
        <f t="shared" si="3"/>
        <v>#N/A</v>
      </c>
      <c r="O11" s="88" t="e">
        <f t="shared" si="0"/>
        <v>#N/A</v>
      </c>
      <c r="P11" s="194"/>
      <c r="Q11" s="5"/>
      <c r="R11" s="5"/>
    </row>
    <row r="12" spans="1:23" s="4" customFormat="1" ht="16.5" x14ac:dyDescent="0.25">
      <c r="A12" s="85">
        <v>8</v>
      </c>
      <c r="B12" s="86">
        <v>82</v>
      </c>
      <c r="C12" s="91" t="e">
        <f>IF(ISBLANK(B12),"",VLOOKUP(B12,SÜRELER!$A:$B,2,FALSE))</f>
        <v>#N/A</v>
      </c>
      <c r="D12" s="80">
        <v>664</v>
      </c>
      <c r="E12" s="92" t="e">
        <f>IF(ISBLANK($B12),"0",VLOOKUP($B12,SÜRELER!$A:$C,3,FALSE))*(D12-F12)</f>
        <v>#N/A</v>
      </c>
      <c r="F12" s="81">
        <v>18</v>
      </c>
      <c r="G12" s="93" t="e">
        <f>VLOOKUP(B12,'R.H.'!A$3:C$3974,3,FALSE)*D12/100</f>
        <v>#N/A</v>
      </c>
      <c r="H12" s="82">
        <f t="shared" si="1"/>
        <v>2.710843373493976E-2</v>
      </c>
      <c r="I12" s="87" t="e">
        <f>VLOOKUP(B12,'R.H.'!A$3:C$3974,3,FALSE)/100</f>
        <v>#N/A</v>
      </c>
      <c r="J12" s="83">
        <v>0.5</v>
      </c>
      <c r="K12" s="92" t="e">
        <f t="shared" si="2"/>
        <v>#N/A</v>
      </c>
      <c r="L12" s="84">
        <v>1085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880</v>
      </c>
      <c r="C13" s="91" t="e">
        <f>IF(ISBLANK(B13),"",VLOOKUP(B13,SÜRELER!$A:$B,2,FALSE))</f>
        <v>#N/A</v>
      </c>
      <c r="D13" s="80">
        <f>231+126+110</f>
        <v>467</v>
      </c>
      <c r="E13" s="92" t="e">
        <f>IF(ISBLANK($B13),"0",VLOOKUP($B13,SÜRELER!$A:$C,3,FALSE))*(D13-F13)</f>
        <v>#N/A</v>
      </c>
      <c r="F13" s="81">
        <v>25</v>
      </c>
      <c r="G13" s="93" t="e">
        <f>VLOOKUP(B13,'R.H.'!A$3:C$3974,3,FALSE)*D13/100</f>
        <v>#N/A</v>
      </c>
      <c r="H13" s="82">
        <f t="shared" si="1"/>
        <v>5.353319057815846E-2</v>
      </c>
      <c r="I13" s="87" t="e">
        <f>VLOOKUP(B13,'R.H.'!A$3:C$3974,3,FALSE)/100</f>
        <v>#N/A</v>
      </c>
      <c r="J13" s="83">
        <v>0.5</v>
      </c>
      <c r="K13" s="92" t="e">
        <f t="shared" si="2"/>
        <v>#N/A</v>
      </c>
      <c r="L13" s="84">
        <v>335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881</v>
      </c>
      <c r="C14" s="91" t="e">
        <f>IF(ISBLANK(B14),"",VLOOKUP(B14,SÜRELER!$A:$B,2,FALSE))</f>
        <v>#N/A</v>
      </c>
      <c r="D14" s="80">
        <f>236+231</f>
        <v>467</v>
      </c>
      <c r="E14" s="92" t="e">
        <f>IF(ISBLANK($B14),"0",VLOOKUP($B14,SÜRELER!$A:$C,3,FALSE))*(D14-F14)</f>
        <v>#N/A</v>
      </c>
      <c r="F14" s="81">
        <v>25</v>
      </c>
      <c r="G14" s="93" t="e">
        <f>VLOOKUP(B14,'R.H.'!A$3:C$3974,3,FALSE)*D14/100</f>
        <v>#N/A</v>
      </c>
      <c r="H14" s="82">
        <f t="shared" si="1"/>
        <v>5.353319057815846E-2</v>
      </c>
      <c r="I14" s="87" t="e">
        <f>VLOOKUP(B14,'R.H.'!A$3:C$3974,3,FALSE)/100</f>
        <v>#N/A</v>
      </c>
      <c r="J14" s="83">
        <v>0.5</v>
      </c>
      <c r="K14" s="92" t="e">
        <f t="shared" si="2"/>
        <v>#N/A</v>
      </c>
      <c r="L14" s="84">
        <v>335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1591</v>
      </c>
      <c r="C15" s="91" t="e">
        <f>IF(ISBLANK(B15),"",VLOOKUP(B15,SÜRELER!$A:$B,2,FALSE))</f>
        <v>#N/A</v>
      </c>
      <c r="D15" s="80">
        <f>318+412</f>
        <v>730</v>
      </c>
      <c r="E15" s="92" t="e">
        <f>IF(ISBLANK($B15),"0",VLOOKUP($B15,SÜRELER!$A:$C,3,FALSE))*(D15-F15)</f>
        <v>#N/A</v>
      </c>
      <c r="F15" s="81">
        <v>0</v>
      </c>
      <c r="G15" s="93" t="e">
        <f>VLOOKUP(B15,'R.H.'!A$3:C$3974,3,FALSE)*D15/100</f>
        <v>#N/A</v>
      </c>
      <c r="H15" s="82">
        <f t="shared" si="1"/>
        <v>0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550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1592</v>
      </c>
      <c r="C16" s="91" t="e">
        <f>IF(ISBLANK(B16),"",VLOOKUP(B16,SÜRELER!$A:$B,2,FALSE))</f>
        <v>#N/A</v>
      </c>
      <c r="D16" s="80">
        <v>730</v>
      </c>
      <c r="E16" s="92" t="e">
        <f>IF(ISBLANK($B16),"0",VLOOKUP($B16,SÜRELER!$A:$C,3,FALSE))*(D16-F16)</f>
        <v>#N/A</v>
      </c>
      <c r="F16" s="81">
        <v>0</v>
      </c>
      <c r="G16" s="93" t="e">
        <f>VLOOKUP(B16,'R.H.'!A$3:C$3974,3,FALSE)*D16/100</f>
        <v>#N/A</v>
      </c>
      <c r="H16" s="82">
        <f t="shared" si="1"/>
        <v>0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550</v>
      </c>
      <c r="M16" s="84"/>
      <c r="N16" s="94" t="e">
        <f t="shared" si="3"/>
        <v>#N/A</v>
      </c>
      <c r="O16" s="88" t="e">
        <f t="shared" si="0"/>
        <v>#N/A</v>
      </c>
      <c r="P16" s="195"/>
      <c r="Q16" s="5"/>
      <c r="R16" s="5"/>
    </row>
    <row r="17" spans="1:18" s="4" customFormat="1" ht="16.75" customHeight="1" x14ac:dyDescent="0.25">
      <c r="A17" s="90">
        <v>13</v>
      </c>
      <c r="B17" s="86">
        <v>1320</v>
      </c>
      <c r="C17" s="91" t="e">
        <f>IF(ISBLANK(B17),"",VLOOKUP(B17,SÜRELER!$A:$B,2,FALSE))</f>
        <v>#N/A</v>
      </c>
      <c r="D17" s="80">
        <f>589+745</f>
        <v>1334</v>
      </c>
      <c r="E17" s="92" t="e">
        <f>IF(ISBLANK($B17),"0",VLOOKUP($B17,SÜRELER!$A:$C,3,FALSE))*(D17-F17)</f>
        <v>#N/A</v>
      </c>
      <c r="F17" s="81">
        <v>8</v>
      </c>
      <c r="G17" s="93" t="e">
        <f>VLOOKUP(B17,'R.H.'!A$3:C$3974,3,FALSE)*D17/100</f>
        <v>#N/A</v>
      </c>
      <c r="H17" s="82">
        <f t="shared" si="1"/>
        <v>5.9970014992503746E-3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950</v>
      </c>
      <c r="M17" s="84"/>
      <c r="N17" s="94" t="e">
        <f t="shared" si="3"/>
        <v>#N/A</v>
      </c>
      <c r="O17" s="88" t="e">
        <f t="shared" si="0"/>
        <v>#N/A</v>
      </c>
      <c r="P17" s="196"/>
      <c r="Q17" s="5"/>
      <c r="R17" s="5"/>
    </row>
    <row r="18" spans="1:18" s="4" customFormat="1" ht="16.5" x14ac:dyDescent="0.25">
      <c r="A18" s="85">
        <v>14</v>
      </c>
      <c r="B18" s="86">
        <v>1321</v>
      </c>
      <c r="C18" s="91" t="e">
        <f>IF(ISBLANK(B18),"",VLOOKUP(B18,SÜRELER!$A:$B,2,FALSE))</f>
        <v>#N/A</v>
      </c>
      <c r="D18" s="80">
        <v>1334</v>
      </c>
      <c r="E18" s="92" t="e">
        <f>IF(ISBLANK($B18),"0",VLOOKUP($B18,SÜRELER!$A:$C,3,FALSE))*(D18-F18)</f>
        <v>#N/A</v>
      </c>
      <c r="F18" s="81">
        <v>8</v>
      </c>
      <c r="G18" s="93" t="e">
        <f>VLOOKUP(B18,'R.H.'!A$3:C$3974,3,FALSE)*D18/100</f>
        <v>#N/A</v>
      </c>
      <c r="H18" s="82">
        <f t="shared" si="1"/>
        <v>5.9970014992503746E-3</v>
      </c>
      <c r="I18" s="87" t="e">
        <f>VLOOKUP(B18,'R.H.'!A$3:C$3974,3,FALSE)/100</f>
        <v>#N/A</v>
      </c>
      <c r="J18" s="83">
        <v>0.5</v>
      </c>
      <c r="K18" s="92" t="e">
        <f t="shared" si="2"/>
        <v>#N/A</v>
      </c>
      <c r="L18" s="84">
        <v>950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2078</v>
      </c>
      <c r="C19" s="91" t="e">
        <f>IF(ISBLANK(B19),"",VLOOKUP(B19,SÜRELER!$A:$B,2,FALSE))</f>
        <v>#N/A</v>
      </c>
      <c r="D19" s="80">
        <f>1504+258</f>
        <v>1762</v>
      </c>
      <c r="E19" s="92" t="e">
        <f>IF(ISBLANK($B19),"0",VLOOKUP($B19,SÜRELER!$A:$C,3,FALSE))*(D19-F19)</f>
        <v>#N/A</v>
      </c>
      <c r="F19" s="81">
        <v>4</v>
      </c>
      <c r="G19" s="93" t="e">
        <f>VLOOKUP(B19,'R.H.'!A$3:C$3974,3,FALSE)*D19/100</f>
        <v>#N/A</v>
      </c>
      <c r="H19" s="82">
        <f t="shared" si="1"/>
        <v>2.2701475595913734E-3</v>
      </c>
      <c r="I19" s="87" t="e">
        <f>VLOOKUP(B19,'R.H.'!A$3:C$3974,3,FALSE)/100</f>
        <v>#N/A</v>
      </c>
      <c r="J19" s="83">
        <v>1</v>
      </c>
      <c r="K19" s="92" t="e">
        <f t="shared" si="2"/>
        <v>#N/A</v>
      </c>
      <c r="L19" s="84">
        <v>1780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2080</v>
      </c>
      <c r="C20" s="91" t="e">
        <f>IF(ISBLANK(B20),"",VLOOKUP(B20,SÜRELER!$A:$B,2,FALSE))</f>
        <v>#N/A</v>
      </c>
      <c r="D20" s="80">
        <f>2960+994</f>
        <v>3954</v>
      </c>
      <c r="E20" s="92" t="e">
        <f>IF(ISBLANK($B20),"0",VLOOKUP($B20,SÜRELER!$A:$C,3,FALSE))*(D20-F20)</f>
        <v>#N/A</v>
      </c>
      <c r="F20" s="81">
        <v>34</v>
      </c>
      <c r="G20" s="93" t="e">
        <f>VLOOKUP(B20,'R.H.'!A$3:C$3974,3,FALSE)*D20/100</f>
        <v>#N/A</v>
      </c>
      <c r="H20" s="82">
        <f t="shared" si="1"/>
        <v>8.5988872028325749E-3</v>
      </c>
      <c r="I20" s="87" t="e">
        <f>VLOOKUP(B20,'R.H.'!A$3:C$3974,3,FALSE)/100</f>
        <v>#N/A</v>
      </c>
      <c r="J20" s="83">
        <v>1</v>
      </c>
      <c r="K20" s="92" t="e">
        <f t="shared" si="2"/>
        <v>#N/A</v>
      </c>
      <c r="L20" s="84">
        <v>3000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1908</v>
      </c>
      <c r="C21" s="91" t="e">
        <f>IF(ISBLANK(B21),"",VLOOKUP(B21,SÜRELER!$A:$B,2,FALSE))</f>
        <v>#N/A</v>
      </c>
      <c r="D21" s="80">
        <f>1572+360</f>
        <v>1932</v>
      </c>
      <c r="E21" s="92" t="e">
        <f>IF(ISBLANK($B21),"0",VLOOKUP($B21,SÜRELER!$A:$C,3,FALSE))*(D21-F21)</f>
        <v>#N/A</v>
      </c>
      <c r="F21" s="81">
        <v>0</v>
      </c>
      <c r="G21" s="93" t="e">
        <f>VLOOKUP(B21,'R.H.'!A$3:C$3974,3,FALSE)*D21/100</f>
        <v>#N/A</v>
      </c>
      <c r="H21" s="82">
        <f t="shared" si="1"/>
        <v>0</v>
      </c>
      <c r="I21" s="87" t="e">
        <f>VLOOKUP(B21,'R.H.'!A$3:C$3974,3,FALSE)/100</f>
        <v>#N/A</v>
      </c>
      <c r="J21" s="83">
        <v>0.5</v>
      </c>
      <c r="K21" s="92" t="e">
        <f t="shared" si="2"/>
        <v>#N/A</v>
      </c>
      <c r="L21" s="84">
        <v>2270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1909</v>
      </c>
      <c r="C22" s="91" t="e">
        <f>IF(ISBLANK(B22),"",VLOOKUP(B22,SÜRELER!$A:$B,2,FALSE))</f>
        <v>#N/A</v>
      </c>
      <c r="D22" s="80">
        <v>1932</v>
      </c>
      <c r="E22" s="92" t="e">
        <f>IF(ISBLANK($B22),"0",VLOOKUP($B22,SÜRELER!$A:$C,3,FALSE))*(D22-F22)</f>
        <v>#N/A</v>
      </c>
      <c r="F22" s="81">
        <v>0</v>
      </c>
      <c r="G22" s="93" t="e">
        <f>VLOOKUP(B22,'R.H.'!A$3:C$3974,3,FALSE)*D22/100</f>
        <v>#N/A</v>
      </c>
      <c r="H22" s="82">
        <f t="shared" si="1"/>
        <v>0</v>
      </c>
      <c r="I22" s="87" t="e">
        <f>VLOOKUP(B22,'R.H.'!A$3:C$3974,3,FALSE)/100</f>
        <v>#N/A</v>
      </c>
      <c r="J22" s="83">
        <v>0.5</v>
      </c>
      <c r="K22" s="92" t="e">
        <f t="shared" si="2"/>
        <v>#N/A</v>
      </c>
      <c r="L22" s="84">
        <v>2270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1453</v>
      </c>
      <c r="C23" s="91" t="e">
        <f>IF(ISBLANK(B23),"",VLOOKUP(B23,SÜRELER!$A:$B,2,FALSE))</f>
        <v>#N/A</v>
      </c>
      <c r="D23" s="80">
        <f>886+222</f>
        <v>1108</v>
      </c>
      <c r="E23" s="92" t="e">
        <f>IF(ISBLANK($B23),"0",VLOOKUP($B23,SÜRELER!$A:$C,3,FALSE))*(D23-F23)</f>
        <v>#N/A</v>
      </c>
      <c r="F23" s="81">
        <v>33</v>
      </c>
      <c r="G23" s="93" t="e">
        <f>VLOOKUP(B23,'R.H.'!A$3:C$3974,3,FALSE)*D23/100</f>
        <v>#N/A</v>
      </c>
      <c r="H23" s="82">
        <f t="shared" si="1"/>
        <v>2.9783393501805054E-2</v>
      </c>
      <c r="I23" s="87" t="e">
        <f>VLOOKUP(B23,'R.H.'!A$3:C$3974,3,FALSE)/100</f>
        <v>#N/A</v>
      </c>
      <c r="J23" s="83">
        <v>0.5</v>
      </c>
      <c r="K23" s="92" t="e">
        <f t="shared" si="2"/>
        <v>#N/A</v>
      </c>
      <c r="L23" s="84">
        <v>5000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1454</v>
      </c>
      <c r="C24" s="91" t="e">
        <f>IF(ISBLANK(B24),"",VLOOKUP(B24,SÜRELER!$A:$B,2,FALSE))</f>
        <v>#N/A</v>
      </c>
      <c r="D24" s="80">
        <v>1108</v>
      </c>
      <c r="E24" s="92" t="e">
        <f>IF(ISBLANK($B24),"0",VLOOKUP($B24,SÜRELER!$A:$C,3,FALSE))*(D24-F24)</f>
        <v>#N/A</v>
      </c>
      <c r="F24" s="81">
        <v>33</v>
      </c>
      <c r="G24" s="93" t="e">
        <f>VLOOKUP(B24,'R.H.'!A$3:C$3974,3,FALSE)*D24/100</f>
        <v>#N/A</v>
      </c>
      <c r="H24" s="82">
        <f t="shared" si="1"/>
        <v>2.9783393501805054E-2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5000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287</v>
      </c>
      <c r="C25" s="91" t="e">
        <f>IF(ISBLANK(B25),"",VLOOKUP(B25,SÜRELER!$A:$B,2,FALSE))</f>
        <v>#N/A</v>
      </c>
      <c r="D25" s="80">
        <f>360+664</f>
        <v>1024</v>
      </c>
      <c r="E25" s="92" t="e">
        <f>IF(ISBLANK($B25),"0",VLOOKUP($B25,SÜRELER!$A:$C,3,FALSE))*(D25-F25)</f>
        <v>#N/A</v>
      </c>
      <c r="F25" s="81">
        <v>0</v>
      </c>
      <c r="G25" s="93" t="e">
        <f>VLOOKUP(B25,'R.H.'!A$3:C$3974,3,FALSE)*D25/100</f>
        <v>#N/A</v>
      </c>
      <c r="H25" s="82">
        <f t="shared" si="1"/>
        <v>0</v>
      </c>
      <c r="I25" s="87" t="e">
        <f>VLOOKUP(B25,'R.H.'!A$3:C$3974,3,FALSE)/100</f>
        <v>#N/A</v>
      </c>
      <c r="J25" s="83">
        <v>0.5</v>
      </c>
      <c r="K25" s="92" t="e">
        <f t="shared" si="2"/>
        <v>#N/A</v>
      </c>
      <c r="L25" s="84">
        <v>870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288</v>
      </c>
      <c r="C26" s="91" t="e">
        <f>IF(ISBLANK(B26),"",VLOOKUP(B26,SÜRELER!$A:$B,2,FALSE))</f>
        <v>#N/A</v>
      </c>
      <c r="D26" s="80">
        <v>1024</v>
      </c>
      <c r="E26" s="92" t="e">
        <f>IF(ISBLANK($B26),"0",VLOOKUP($B26,SÜRELER!$A:$C,3,FALSE))*(D26-F26)</f>
        <v>#N/A</v>
      </c>
      <c r="F26" s="81">
        <v>0</v>
      </c>
      <c r="G26" s="93" t="e">
        <f>VLOOKUP(B26,'R.H.'!A$3:C$3974,3,FALSE)*D26/100</f>
        <v>#N/A</v>
      </c>
      <c r="H26" s="82">
        <f t="shared" si="1"/>
        <v>0</v>
      </c>
      <c r="I26" s="87" t="e">
        <f>VLOOKUP(B26,'R.H.'!A$3:C$3974,3,FALSE)/100</f>
        <v>#N/A</v>
      </c>
      <c r="J26" s="83">
        <v>0.5</v>
      </c>
      <c r="K26" s="92" t="e">
        <f t="shared" si="2"/>
        <v>#N/A</v>
      </c>
      <c r="L26" s="84">
        <v>870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1330</v>
      </c>
      <c r="C27" s="91" t="e">
        <f>IF(ISBLANK(B27),"",VLOOKUP(B27,SÜRELER!$A:$B,2,FALSE))</f>
        <v>#N/A</v>
      </c>
      <c r="D27" s="80">
        <f>806+778</f>
        <v>1584</v>
      </c>
      <c r="E27" s="92" t="e">
        <f>IF(ISBLANK($B27),"0",VLOOKUP($B27,SÜRELER!$A:$C,3,FALSE))*(D27-F27)</f>
        <v>#N/A</v>
      </c>
      <c r="F27" s="81">
        <v>6</v>
      </c>
      <c r="G27" s="93" t="e">
        <f>VLOOKUP(B27,'R.H.'!A$3:C$3974,3,FALSE)*D27/100</f>
        <v>#N/A</v>
      </c>
      <c r="H27" s="82">
        <f t="shared" si="1"/>
        <v>3.787878787878788E-3</v>
      </c>
      <c r="I27" s="87" t="e">
        <f>VLOOKUP(B27,'R.H.'!A$3:C$3974,3,FALSE)/100</f>
        <v>#N/A</v>
      </c>
      <c r="J27" s="83">
        <v>0.5</v>
      </c>
      <c r="K27" s="92" t="e">
        <f t="shared" si="2"/>
        <v>#N/A</v>
      </c>
      <c r="L27" s="84">
        <v>670</v>
      </c>
      <c r="M27" s="84"/>
      <c r="N27" s="94" t="e">
        <f t="shared" si="3"/>
        <v>#N/A</v>
      </c>
      <c r="O27" s="88" t="e">
        <f t="shared" si="0"/>
        <v>#N/A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>
        <v>1331</v>
      </c>
      <c r="C28" s="91" t="e">
        <f>IF(ISBLANK(B28),"",VLOOKUP(B28,SÜRELER!$A:$B,2,FALSE))</f>
        <v>#N/A</v>
      </c>
      <c r="D28" s="80">
        <v>1584</v>
      </c>
      <c r="E28" s="92" t="e">
        <f>IF(ISBLANK($B28),"0",VLOOKUP($B28,SÜRELER!$A:$C,3,FALSE))*(D28-F28)</f>
        <v>#N/A</v>
      </c>
      <c r="F28" s="81">
        <v>6</v>
      </c>
      <c r="G28" s="93" t="e">
        <f>VLOOKUP(B28,'R.H.'!A$3:C$3974,3,FALSE)*D28/100</f>
        <v>#N/A</v>
      </c>
      <c r="H28" s="82">
        <f t="shared" si="1"/>
        <v>3.787878787878788E-3</v>
      </c>
      <c r="I28" s="87" t="e">
        <f>VLOOKUP(B28,'R.H.'!A$3:C$3974,3,FALSE)/100</f>
        <v>#N/A</v>
      </c>
      <c r="J28" s="83">
        <v>0.5</v>
      </c>
      <c r="K28" s="92" t="e">
        <f t="shared" si="2"/>
        <v>#N/A</v>
      </c>
      <c r="L28" s="84">
        <v>670</v>
      </c>
      <c r="M28" s="84"/>
      <c r="N28" s="94" t="e">
        <f t="shared" si="3"/>
        <v>#N/A</v>
      </c>
      <c r="O28" s="88" t="e">
        <f t="shared" si="0"/>
        <v>#N/A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>
        <v>742</v>
      </c>
      <c r="C29" s="91" t="e">
        <f>IF(ISBLANK(B29),"",VLOOKUP(B29,SÜRELER!$A:$B,2,FALSE))</f>
        <v>#N/A</v>
      </c>
      <c r="D29" s="80">
        <f>1072+648</f>
        <v>1720</v>
      </c>
      <c r="E29" s="92" t="e">
        <f>IF(ISBLANK($B29),"0",VLOOKUP($B29,SÜRELER!$A:$C,3,FALSE))*(D29-F29)</f>
        <v>#N/A</v>
      </c>
      <c r="F29" s="81">
        <v>4</v>
      </c>
      <c r="G29" s="93" t="e">
        <f>VLOOKUP(B29,'R.H.'!A$3:C$3974,3,FALSE)*D29/100</f>
        <v>#N/A</v>
      </c>
      <c r="H29" s="82">
        <f t="shared" si="1"/>
        <v>2.3255813953488372E-3</v>
      </c>
      <c r="I29" s="87" t="e">
        <f>VLOOKUP(B29,'R.H.'!A$3:C$3974,3,FALSE)/100</f>
        <v>#N/A</v>
      </c>
      <c r="J29" s="83">
        <v>0.5</v>
      </c>
      <c r="K29" s="92" t="e">
        <f t="shared" si="2"/>
        <v>#N/A</v>
      </c>
      <c r="L29" s="84">
        <v>1460</v>
      </c>
      <c r="M29" s="84"/>
      <c r="N29" s="94" t="e">
        <f t="shared" si="3"/>
        <v>#N/A</v>
      </c>
      <c r="O29" s="88" t="e">
        <f t="shared" si="0"/>
        <v>#N/A</v>
      </c>
      <c r="P29" s="119"/>
      <c r="Q29" s="5"/>
      <c r="R29" s="5"/>
    </row>
    <row r="30" spans="1:18" s="4" customFormat="1" ht="16.5" x14ac:dyDescent="0.25">
      <c r="A30" s="85">
        <v>26</v>
      </c>
      <c r="B30" s="86">
        <v>743</v>
      </c>
      <c r="C30" s="91" t="e">
        <f>IF(ISBLANK(B30),"",VLOOKUP(B30,SÜRELER!$A:$B,2,FALSE))</f>
        <v>#N/A</v>
      </c>
      <c r="D30" s="80">
        <v>1720</v>
      </c>
      <c r="E30" s="92" t="e">
        <f>IF(ISBLANK($B30),"0",VLOOKUP($B30,SÜRELER!$A:$C,3,FALSE))*(D30-F30)</f>
        <v>#N/A</v>
      </c>
      <c r="F30" s="81">
        <v>4</v>
      </c>
      <c r="G30" s="93" t="e">
        <f>VLOOKUP(B30,'R.H.'!A$3:C$3974,3,FALSE)*D30/100</f>
        <v>#N/A</v>
      </c>
      <c r="H30" s="82">
        <f t="shared" si="1"/>
        <v>2.3255813953488372E-3</v>
      </c>
      <c r="I30" s="87" t="e">
        <f>VLOOKUP(B30,'R.H.'!A$3:C$3974,3,FALSE)/100</f>
        <v>#N/A</v>
      </c>
      <c r="J30" s="83">
        <v>0.5</v>
      </c>
      <c r="K30" s="92" t="e">
        <f t="shared" si="2"/>
        <v>#N/A</v>
      </c>
      <c r="L30" s="84">
        <v>1460</v>
      </c>
      <c r="M30" s="84"/>
      <c r="N30" s="94" t="e">
        <f t="shared" si="3"/>
        <v>#N/A</v>
      </c>
      <c r="O30" s="88" t="e">
        <f t="shared" si="0"/>
        <v>#N/A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>
        <v>1112</v>
      </c>
      <c r="C31" s="91" t="e">
        <f>IF(ISBLANK(B31),"",VLOOKUP(B31,SÜRELER!$A:$B,2,FALSE))</f>
        <v>#N/A</v>
      </c>
      <c r="D31" s="80">
        <f>2030+330</f>
        <v>2360</v>
      </c>
      <c r="E31" s="92" t="e">
        <f>IF(ISBLANK($B31),"0",VLOOKUP($B31,SÜRELER!$A:$C,3,FALSE))*(D31-F31)</f>
        <v>#N/A</v>
      </c>
      <c r="F31" s="81">
        <v>0</v>
      </c>
      <c r="G31" s="93" t="e">
        <f>VLOOKUP(B31,'R.H.'!A$3:C$3974,3,FALSE)*D31/100</f>
        <v>#N/A</v>
      </c>
      <c r="H31" s="82">
        <f t="shared" si="1"/>
        <v>0</v>
      </c>
      <c r="I31" s="87" t="e">
        <f>VLOOKUP(B31,'R.H.'!A$3:C$3974,3,FALSE)/100</f>
        <v>#N/A</v>
      </c>
      <c r="J31" s="83">
        <v>1</v>
      </c>
      <c r="K31" s="92" t="e">
        <f t="shared" si="2"/>
        <v>#N/A</v>
      </c>
      <c r="L31" s="84">
        <v>800</v>
      </c>
      <c r="M31" s="84"/>
      <c r="N31" s="94" t="e">
        <f t="shared" si="3"/>
        <v>#N/A</v>
      </c>
      <c r="O31" s="88" t="e">
        <f t="shared" si="0"/>
        <v>#N/A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>
        <v>6</v>
      </c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>
        <v>0.5</v>
      </c>
      <c r="K44" s="92">
        <f t="shared" si="2"/>
        <v>0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31629</v>
      </c>
      <c r="E45" s="26" t="e">
        <f>SUM(E5:E44)</f>
        <v>#N/A</v>
      </c>
      <c r="F45" s="26">
        <f>SUM(F5:F44)</f>
        <v>324</v>
      </c>
      <c r="G45" s="26"/>
      <c r="H45" s="26"/>
      <c r="I45" s="26"/>
      <c r="J45" s="26"/>
      <c r="K45" s="26"/>
      <c r="L45" s="26">
        <f>SUM(L5:L44)</f>
        <v>40450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1.0243763634639098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53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24670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>
        <v>180</v>
      </c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24490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180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31629</v>
      </c>
      <c r="F63" s="24">
        <f>F45</f>
        <v>324</v>
      </c>
      <c r="G63" s="23">
        <f>(F63*1000000)/E63</f>
        <v>10243.763634639097</v>
      </c>
      <c r="H63" s="22">
        <f>D59</f>
        <v>180</v>
      </c>
      <c r="I63" s="17" t="e">
        <f>N1</f>
        <v>#N/A</v>
      </c>
    </row>
  </sheetData>
  <mergeCells count="18">
    <mergeCell ref="N1:N3"/>
    <mergeCell ref="A2:B3"/>
    <mergeCell ref="E56:N56"/>
    <mergeCell ref="D46:D47"/>
    <mergeCell ref="E46:F47"/>
    <mergeCell ref="A1:B1"/>
    <mergeCell ref="C1:D2"/>
    <mergeCell ref="H1:H3"/>
    <mergeCell ref="P10:P11"/>
    <mergeCell ref="P5:P6"/>
    <mergeCell ref="P16:P17"/>
    <mergeCell ref="E57:N57"/>
    <mergeCell ref="E49:N49"/>
    <mergeCell ref="E50:N50"/>
    <mergeCell ref="E51:N51"/>
    <mergeCell ref="E53:N53"/>
    <mergeCell ref="E54:N54"/>
    <mergeCell ref="E55:N55"/>
  </mergeCells>
  <conditionalFormatting sqref="D3">
    <cfRule type="cellIs" dxfId="144" priority="5" stopIfTrue="1" operator="lessThan">
      <formula>0.95</formula>
    </cfRule>
  </conditionalFormatting>
  <conditionalFormatting sqref="F5:F44">
    <cfRule type="cellIs" dxfId="143" priority="1" stopIfTrue="1" operator="greaterThan">
      <formula>$G5</formula>
    </cfRule>
  </conditionalFormatting>
  <conditionalFormatting sqref="H5:H44">
    <cfRule type="cellIs" dxfId="142" priority="2" stopIfTrue="1" operator="greaterThan">
      <formula>$I$5</formula>
    </cfRule>
  </conditionalFormatting>
  <conditionalFormatting sqref="N1:N3">
    <cfRule type="cellIs" dxfId="141" priority="4" stopIfTrue="1" operator="lessThan">
      <formula>0.8</formula>
    </cfRule>
  </conditionalFormatting>
  <conditionalFormatting sqref="N5:O44">
    <cfRule type="cellIs" dxfId="140" priority="3" stopIfTrue="1" operator="lessThan">
      <formula>0.85</formula>
    </cfRule>
  </conditionalFormatting>
  <hyperlinks>
    <hyperlink ref="P1:P3" location="'Ana Sayfa'!A1" display="ANA SAYFA" xr:uid="{C990635C-8C30-4A07-B7CC-6061A4615361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1BBD-FE68-48A1-A4CB-089638CD4ACF}">
  <sheetPr codeName="Sayfa4">
    <tabColor theme="0" tint="-0.14999847407452621"/>
    <pageSetUpPr fitToPage="1"/>
  </sheetPr>
  <dimension ref="A1:W63"/>
  <sheetViews>
    <sheetView workbookViewId="0">
      <selection activeCell="I1" sqref="I1:M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'3'!A1+1</f>
        <v>46207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Cumartesi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10196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2060</v>
      </c>
      <c r="C5" s="91" t="e">
        <f>IF(ISBLANK(B5),"",VLOOKUP(B5,SÜRELER!$A:$B,2,FALSE))</f>
        <v>#N/A</v>
      </c>
      <c r="D5" s="80">
        <v>212</v>
      </c>
      <c r="E5" s="92" t="e">
        <f>IF(ISBLANK($B5),"0",VLOOKUP($B5,SÜRELER!$A:$C,3,FALSE))*(D5-F5)</f>
        <v>#N/A</v>
      </c>
      <c r="F5" s="81">
        <v>0</v>
      </c>
      <c r="G5" s="93" t="e">
        <f>VLOOKUP(B5,'R.H.'!A$3:C$3974,3,FALSE)*D5/100</f>
        <v>#N/A</v>
      </c>
      <c r="H5" s="82">
        <f>F5/D5</f>
        <v>0</v>
      </c>
      <c r="I5" s="87" t="e">
        <f>VLOOKUP(B5,'R.H.'!A$3:C$3974,3,FALSE)/100</f>
        <v>#N/A</v>
      </c>
      <c r="J5" s="83">
        <v>0.5</v>
      </c>
      <c r="K5" s="92" t="e">
        <f>E5/J5</f>
        <v>#N/A</v>
      </c>
      <c r="L5" s="84">
        <v>350</v>
      </c>
      <c r="M5" s="84"/>
      <c r="N5" s="94" t="e">
        <f>K5/L5</f>
        <v>#N/A</v>
      </c>
      <c r="O5" s="88" t="e">
        <f t="shared" ref="O5:O44" si="0">K5/(L5-M5)</f>
        <v>#N/A</v>
      </c>
      <c r="P5" s="193" t="s">
        <v>3372</v>
      </c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2061</v>
      </c>
      <c r="C6" s="91" t="e">
        <f>IF(ISBLANK(B6),"",VLOOKUP(B6,SÜRELER!$A:$B,2,FALSE))</f>
        <v>#N/A</v>
      </c>
      <c r="D6" s="80">
        <v>212</v>
      </c>
      <c r="E6" s="92" t="e">
        <f>IF(ISBLANK($B6),"0",VLOOKUP($B6,SÜRELER!$A:$C,3,FALSE))*(D6-F6)</f>
        <v>#N/A</v>
      </c>
      <c r="F6" s="81">
        <v>20</v>
      </c>
      <c r="G6" s="93" t="e">
        <f>VLOOKUP(B6,'R.H.'!A$3:C$3974,3,FALSE)*D6/100</f>
        <v>#N/A</v>
      </c>
      <c r="H6" s="82">
        <f t="shared" ref="H6:H44" si="1">F6/D6</f>
        <v>9.4339622641509441E-2</v>
      </c>
      <c r="I6" s="87" t="e">
        <f>VLOOKUP(B6,'R.H.'!A$3:C$3974,3,FALSE)/100</f>
        <v>#N/A</v>
      </c>
      <c r="J6" s="83">
        <v>0.5</v>
      </c>
      <c r="K6" s="92" t="e">
        <f t="shared" ref="K6:K44" si="2">E6/J6</f>
        <v>#N/A</v>
      </c>
      <c r="L6" s="84">
        <v>330</v>
      </c>
      <c r="M6" s="84"/>
      <c r="N6" s="94" t="e">
        <f t="shared" ref="N6:N44" si="3">K6/L6</f>
        <v>#N/A</v>
      </c>
      <c r="O6" s="88" t="e">
        <f t="shared" si="0"/>
        <v>#N/A</v>
      </c>
      <c r="P6" s="194"/>
      <c r="Q6" s="5"/>
      <c r="R6" s="5"/>
    </row>
    <row r="7" spans="1:23" s="4" customFormat="1" ht="16.5" customHeight="1" x14ac:dyDescent="0.25">
      <c r="A7" s="90">
        <v>3</v>
      </c>
      <c r="B7" s="86">
        <v>714</v>
      </c>
      <c r="C7" s="91" t="e">
        <f>IF(ISBLANK(B7),"",VLOOKUP(B7,SÜRELER!$A:$B,2,FALSE))</f>
        <v>#N/A</v>
      </c>
      <c r="D7" s="80">
        <f>656+173</f>
        <v>829</v>
      </c>
      <c r="E7" s="92" t="e">
        <f>IF(ISBLANK($B7),"0",VLOOKUP($B7,SÜRELER!$A:$C,3,FALSE))*(D7-F7)</f>
        <v>#N/A</v>
      </c>
      <c r="F7" s="81">
        <v>9</v>
      </c>
      <c r="G7" s="93" t="e">
        <f>VLOOKUP(B7,'R.H.'!A$3:C$3974,3,FALSE)*D7/100</f>
        <v>#N/A</v>
      </c>
      <c r="H7" s="82">
        <f t="shared" si="1"/>
        <v>1.0856453558504222E-2</v>
      </c>
      <c r="I7" s="87" t="e">
        <f>VLOOKUP(B7,'R.H.'!A$3:C$3974,3,FALSE)/100</f>
        <v>#N/A</v>
      </c>
      <c r="J7" s="83">
        <v>0.5</v>
      </c>
      <c r="K7" s="92" t="e">
        <f t="shared" si="2"/>
        <v>#N/A</v>
      </c>
      <c r="L7" s="84">
        <v>840</v>
      </c>
      <c r="M7" s="84"/>
      <c r="N7" s="94" t="e">
        <f t="shared" si="3"/>
        <v>#N/A</v>
      </c>
      <c r="O7" s="88" t="e">
        <f t="shared" si="0"/>
        <v>#N/A</v>
      </c>
      <c r="P7" s="119"/>
      <c r="Q7" s="5"/>
      <c r="R7" s="5"/>
    </row>
    <row r="8" spans="1:23" s="4" customFormat="1" ht="16.5" customHeight="1" x14ac:dyDescent="0.25">
      <c r="A8" s="85">
        <v>4</v>
      </c>
      <c r="B8" s="86">
        <v>715</v>
      </c>
      <c r="C8" s="91" t="e">
        <f>IF(ISBLANK(B8),"",VLOOKUP(B8,SÜRELER!$A:$B,2,FALSE))</f>
        <v>#N/A</v>
      </c>
      <c r="D8" s="80">
        <v>829</v>
      </c>
      <c r="E8" s="92" t="e">
        <f>IF(ISBLANK($B8),"0",VLOOKUP($B8,SÜRELER!$A:$C,3,FALSE))*(D8-F8)</f>
        <v>#N/A</v>
      </c>
      <c r="F8" s="81">
        <v>9</v>
      </c>
      <c r="G8" s="93" t="e">
        <f>VLOOKUP(B8,'R.H.'!A$3:C$3974,3,FALSE)*D8/100</f>
        <v>#N/A</v>
      </c>
      <c r="H8" s="82">
        <f t="shared" si="1"/>
        <v>1.0856453558504222E-2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840</v>
      </c>
      <c r="M8" s="84"/>
      <c r="N8" s="94" t="e">
        <f t="shared" si="3"/>
        <v>#N/A</v>
      </c>
      <c r="O8" s="88" t="e">
        <f t="shared" si="0"/>
        <v>#N/A</v>
      </c>
      <c r="P8" s="119"/>
      <c r="Q8" s="5"/>
      <c r="R8" s="5"/>
    </row>
    <row r="9" spans="1:23" s="4" customFormat="1" ht="16.5" x14ac:dyDescent="0.25">
      <c r="A9" s="90">
        <v>5</v>
      </c>
      <c r="B9" s="86">
        <v>2102</v>
      </c>
      <c r="C9" s="91" t="e">
        <f>IF(ISBLANK(B9),"",VLOOKUP(B9,SÜRELER!$A:$B,2,FALSE))</f>
        <v>#N/A</v>
      </c>
      <c r="D9" s="80">
        <f>276+104</f>
        <v>380</v>
      </c>
      <c r="E9" s="92" t="e">
        <f>IF(ISBLANK($B9),"0",VLOOKUP($B9,SÜRELER!$A:$C,3,FALSE))*(D9-F9)</f>
        <v>#N/A</v>
      </c>
      <c r="F9" s="81">
        <v>28</v>
      </c>
      <c r="G9" s="93" t="e">
        <f>VLOOKUP(B9,'R.H.'!A$3:C$3974,3,FALSE)*D9/100</f>
        <v>#N/A</v>
      </c>
      <c r="H9" s="82">
        <f t="shared" si="1"/>
        <v>7.3684210526315783E-2</v>
      </c>
      <c r="I9" s="87" t="e">
        <f>VLOOKUP(B9,'R.H.'!A$3:C$3974,3,FALSE)/100</f>
        <v>#N/A</v>
      </c>
      <c r="J9" s="83">
        <v>0.17</v>
      </c>
      <c r="K9" s="92" t="e">
        <f t="shared" si="2"/>
        <v>#N/A</v>
      </c>
      <c r="L9" s="84">
        <v>2095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2103</v>
      </c>
      <c r="C10" s="91" t="e">
        <f>IF(ISBLANK(B10),"",VLOOKUP(B10,SÜRELER!$A:$B,2,FALSE))</f>
        <v>#N/A</v>
      </c>
      <c r="D10" s="80">
        <v>380</v>
      </c>
      <c r="E10" s="92" t="e">
        <f>IF(ISBLANK($B10),"0",VLOOKUP($B10,SÜRELER!$A:$C,3,FALSE))*(D10-F10)</f>
        <v>#N/A</v>
      </c>
      <c r="F10" s="81">
        <v>28</v>
      </c>
      <c r="G10" s="93" t="e">
        <f>VLOOKUP(B10,'R.H.'!A$3:C$3974,3,FALSE)*D10/100</f>
        <v>#N/A</v>
      </c>
      <c r="H10" s="82">
        <f t="shared" si="1"/>
        <v>7.3684210526315783E-2</v>
      </c>
      <c r="I10" s="87" t="e">
        <f>VLOOKUP(B10,'R.H.'!A$3:C$3974,3,FALSE)/100</f>
        <v>#N/A</v>
      </c>
      <c r="J10" s="83">
        <v>0.17</v>
      </c>
      <c r="K10" s="92" t="e">
        <f t="shared" si="2"/>
        <v>#N/A</v>
      </c>
      <c r="L10" s="84">
        <v>2095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2070</v>
      </c>
      <c r="C11" s="91" t="e">
        <f>IF(ISBLANK(B11),"",VLOOKUP(B11,SÜRELER!$A:$B,2,FALSE))</f>
        <v>#N/A</v>
      </c>
      <c r="D11" s="80">
        <f>532+200</f>
        <v>732</v>
      </c>
      <c r="E11" s="92" t="e">
        <f>IF(ISBLANK($B11),"0",VLOOKUP($B11,SÜRELER!$A:$C,3,FALSE))*(D11-F11)</f>
        <v>#N/A</v>
      </c>
      <c r="F11" s="81">
        <v>10</v>
      </c>
      <c r="G11" s="93" t="e">
        <f>VLOOKUP(B11,'R.H.'!A$3:C$3974,3,FALSE)*D11/100</f>
        <v>#N/A</v>
      </c>
      <c r="H11" s="82">
        <f t="shared" si="1"/>
        <v>1.3661202185792349E-2</v>
      </c>
      <c r="I11" s="87" t="e">
        <f>VLOOKUP(B11,'R.H.'!A$3:C$3974,3,FALSE)/100</f>
        <v>#N/A</v>
      </c>
      <c r="J11" s="83">
        <v>0.17</v>
      </c>
      <c r="K11" s="92" t="e">
        <f t="shared" si="2"/>
        <v>#N/A</v>
      </c>
      <c r="L11" s="84">
        <v>2000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2071</v>
      </c>
      <c r="C12" s="91" t="e">
        <f>IF(ISBLANK(B12),"",VLOOKUP(B12,SÜRELER!$A:$B,2,FALSE))</f>
        <v>#N/A</v>
      </c>
      <c r="D12" s="80">
        <v>732</v>
      </c>
      <c r="E12" s="92" t="e">
        <f>IF(ISBLANK($B12),"0",VLOOKUP($B12,SÜRELER!$A:$C,3,FALSE))*(D12-F12)</f>
        <v>#N/A</v>
      </c>
      <c r="F12" s="81">
        <v>10</v>
      </c>
      <c r="G12" s="93" t="e">
        <f>VLOOKUP(B12,'R.H.'!A$3:C$3974,3,FALSE)*D12/100</f>
        <v>#N/A</v>
      </c>
      <c r="H12" s="82">
        <f t="shared" si="1"/>
        <v>1.3661202185792349E-2</v>
      </c>
      <c r="I12" s="87" t="e">
        <f>VLOOKUP(B12,'R.H.'!A$3:C$3974,3,FALSE)/100</f>
        <v>#N/A</v>
      </c>
      <c r="J12" s="83">
        <v>0.17</v>
      </c>
      <c r="K12" s="92" t="e">
        <f t="shared" si="2"/>
        <v>#N/A</v>
      </c>
      <c r="L12" s="84">
        <v>2000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1320</v>
      </c>
      <c r="C13" s="91" t="e">
        <f>IF(ISBLANK(B13),"",VLOOKUP(B13,SÜRELER!$A:$B,2,FALSE))</f>
        <v>#N/A</v>
      </c>
      <c r="D13" s="80">
        <v>474</v>
      </c>
      <c r="E13" s="92" t="e">
        <f>IF(ISBLANK($B13),"0",VLOOKUP($B13,SÜRELER!$A:$C,3,FALSE))*(D13-F13)</f>
        <v>#N/A</v>
      </c>
      <c r="F13" s="81">
        <v>8</v>
      </c>
      <c r="G13" s="93" t="e">
        <f>VLOOKUP(B13,'R.H.'!A$3:C$3974,3,FALSE)*D13/100</f>
        <v>#N/A</v>
      </c>
      <c r="H13" s="82">
        <f t="shared" si="1"/>
        <v>1.6877637130801686E-2</v>
      </c>
      <c r="I13" s="87" t="e">
        <f>VLOOKUP(B13,'R.H.'!A$3:C$3974,3,FALSE)/100</f>
        <v>#N/A</v>
      </c>
      <c r="J13" s="83">
        <v>0.5</v>
      </c>
      <c r="K13" s="92" t="e">
        <f t="shared" si="2"/>
        <v>#N/A</v>
      </c>
      <c r="L13" s="84">
        <v>330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1321</v>
      </c>
      <c r="C14" s="91" t="e">
        <f>IF(ISBLANK(B14),"",VLOOKUP(B14,SÜRELER!$A:$B,2,FALSE))</f>
        <v>#N/A</v>
      </c>
      <c r="D14" s="80">
        <v>474</v>
      </c>
      <c r="E14" s="92" t="e">
        <f>IF(ISBLANK($B14),"0",VLOOKUP($B14,SÜRELER!$A:$C,3,FALSE))*(D14-F14)</f>
        <v>#N/A</v>
      </c>
      <c r="F14" s="81">
        <v>8</v>
      </c>
      <c r="G14" s="93" t="e">
        <f>VLOOKUP(B14,'R.H.'!A$3:C$3974,3,FALSE)*D14/100</f>
        <v>#N/A</v>
      </c>
      <c r="H14" s="82">
        <f t="shared" si="1"/>
        <v>1.6877637130801686E-2</v>
      </c>
      <c r="I14" s="87" t="e">
        <f>VLOOKUP(B14,'R.H.'!A$3:C$3974,3,FALSE)/100</f>
        <v>#N/A</v>
      </c>
      <c r="J14" s="83">
        <v>0.5</v>
      </c>
      <c r="K14" s="92" t="e">
        <f t="shared" si="2"/>
        <v>#N/A</v>
      </c>
      <c r="L14" s="84">
        <v>330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customHeight="1" x14ac:dyDescent="0.25">
      <c r="A15" s="90">
        <v>11</v>
      </c>
      <c r="B15" s="86">
        <v>98</v>
      </c>
      <c r="C15" s="91" t="e">
        <f>IF(ISBLANK(B15),"",VLOOKUP(B15,SÜRELER!$A:$B,2,FALSE))</f>
        <v>#N/A</v>
      </c>
      <c r="D15" s="80">
        <v>406</v>
      </c>
      <c r="E15" s="92" t="e">
        <f>IF(ISBLANK($B15),"0",VLOOKUP($B15,SÜRELER!$A:$C,3,FALSE))*(D15-F15)</f>
        <v>#N/A</v>
      </c>
      <c r="F15" s="81">
        <v>15</v>
      </c>
      <c r="G15" s="93" t="e">
        <f>VLOOKUP(B15,'R.H.'!A$3:C$3974,3,FALSE)*D15/100</f>
        <v>#N/A</v>
      </c>
      <c r="H15" s="82">
        <f t="shared" si="1"/>
        <v>3.6945812807881777E-2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680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99</v>
      </c>
      <c r="C16" s="91" t="e">
        <f>IF(ISBLANK(B16),"",VLOOKUP(B16,SÜRELER!$A:$B,2,FALSE))</f>
        <v>#N/A</v>
      </c>
      <c r="D16" s="80">
        <v>406</v>
      </c>
      <c r="E16" s="92" t="e">
        <f>IF(ISBLANK($B16),"0",VLOOKUP($B16,SÜRELER!$A:$C,3,FALSE))*(D16-F16)</f>
        <v>#N/A</v>
      </c>
      <c r="F16" s="81">
        <v>15</v>
      </c>
      <c r="G16" s="93" t="e">
        <f>VLOOKUP(B16,'R.H.'!A$3:C$3974,3,FALSE)*D16/100</f>
        <v>#N/A</v>
      </c>
      <c r="H16" s="82">
        <f t="shared" si="1"/>
        <v>3.6945812807881777E-2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680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472</v>
      </c>
      <c r="C17" s="91" t="e">
        <f>IF(ISBLANK(B17),"",VLOOKUP(B17,SÜRELER!$A:$B,2,FALSE))</f>
        <v>#N/A</v>
      </c>
      <c r="D17" s="80">
        <f>268+464</f>
        <v>732</v>
      </c>
      <c r="E17" s="92" t="e">
        <f>IF(ISBLANK($B17),"0",VLOOKUP($B17,SÜRELER!$A:$C,3,FALSE))*(D17-F17)</f>
        <v>#N/A</v>
      </c>
      <c r="F17" s="81">
        <v>0</v>
      </c>
      <c r="G17" s="93" t="e">
        <f>VLOOKUP(B17,'R.H.'!A$3:C$3974,3,FALSE)*D17/100</f>
        <v>#N/A</v>
      </c>
      <c r="H17" s="82">
        <f t="shared" si="1"/>
        <v>0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560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473</v>
      </c>
      <c r="C18" s="91" t="e">
        <f>IF(ISBLANK(B18),"",VLOOKUP(B18,SÜRELER!$A:$B,2,FALSE))</f>
        <v>#N/A</v>
      </c>
      <c r="D18" s="80">
        <v>732</v>
      </c>
      <c r="E18" s="92" t="e">
        <f>IF(ISBLANK($B18),"0",VLOOKUP($B18,SÜRELER!$A:$C,3,FALSE))*(D18-F18)</f>
        <v>#N/A</v>
      </c>
      <c r="F18" s="81">
        <v>0</v>
      </c>
      <c r="G18" s="93" t="e">
        <f>VLOOKUP(B18,'R.H.'!A$3:C$3974,3,FALSE)*D18/100</f>
        <v>#N/A</v>
      </c>
      <c r="H18" s="82">
        <f t="shared" si="1"/>
        <v>0</v>
      </c>
      <c r="I18" s="87" t="e">
        <f>VLOOKUP(B18,'R.H.'!A$3:C$3974,3,FALSE)/100</f>
        <v>#N/A</v>
      </c>
      <c r="J18" s="83">
        <v>0.5</v>
      </c>
      <c r="K18" s="92" t="e">
        <f t="shared" si="2"/>
        <v>#N/A</v>
      </c>
      <c r="L18" s="84">
        <v>560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542</v>
      </c>
      <c r="C19" s="91" t="e">
        <f>IF(ISBLANK(B19),"",VLOOKUP(B19,SÜRELER!$A:$B,2,FALSE))</f>
        <v>#N/A</v>
      </c>
      <c r="D19" s="80">
        <v>38</v>
      </c>
      <c r="E19" s="92" t="e">
        <f>IF(ISBLANK($B19),"0",VLOOKUP($B19,SÜRELER!$A:$C,3,FALSE))*(D19-F19)</f>
        <v>#N/A</v>
      </c>
      <c r="F19" s="81">
        <v>2</v>
      </c>
      <c r="G19" s="93" t="e">
        <f>VLOOKUP(B19,'R.H.'!A$3:C$3974,3,FALSE)*D19/100</f>
        <v>#N/A</v>
      </c>
      <c r="H19" s="82">
        <f t="shared" si="1"/>
        <v>5.2631578947368418E-2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60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543</v>
      </c>
      <c r="C20" s="91" t="e">
        <f>IF(ISBLANK(B20),"",VLOOKUP(B20,SÜRELER!$A:$B,2,FALSE))</f>
        <v>#N/A</v>
      </c>
      <c r="D20" s="80">
        <v>38</v>
      </c>
      <c r="E20" s="92" t="e">
        <f>IF(ISBLANK($B20),"0",VLOOKUP($B20,SÜRELER!$A:$C,3,FALSE))*(D20-F20)</f>
        <v>#N/A</v>
      </c>
      <c r="F20" s="81">
        <v>2</v>
      </c>
      <c r="G20" s="93" t="e">
        <f>VLOOKUP(B20,'R.H.'!A$3:C$3974,3,FALSE)*D20/100</f>
        <v>#N/A</v>
      </c>
      <c r="H20" s="82">
        <f t="shared" si="1"/>
        <v>5.2631578947368418E-2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60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122</v>
      </c>
      <c r="C21" s="91" t="e">
        <f>IF(ISBLANK(B21),"",VLOOKUP(B21,SÜRELER!$A:$B,2,FALSE))</f>
        <v>#N/A</v>
      </c>
      <c r="D21" s="80">
        <f>160+193</f>
        <v>353</v>
      </c>
      <c r="E21" s="92" t="e">
        <f>IF(ISBLANK($B21),"0",VLOOKUP($B21,SÜRELER!$A:$C,3,FALSE))*(D21-F21)</f>
        <v>#N/A</v>
      </c>
      <c r="F21" s="81">
        <v>0</v>
      </c>
      <c r="G21" s="93" t="e">
        <f>VLOOKUP(B21,'R.H.'!A$3:C$3974,3,FALSE)*D21/100</f>
        <v>#N/A</v>
      </c>
      <c r="H21" s="82">
        <f t="shared" si="1"/>
        <v>0</v>
      </c>
      <c r="I21" s="87" t="e">
        <f>VLOOKUP(B21,'R.H.'!A$3:C$3974,3,FALSE)/100</f>
        <v>#N/A</v>
      </c>
      <c r="J21" s="83">
        <v>0.5</v>
      </c>
      <c r="K21" s="92" t="e">
        <f t="shared" si="2"/>
        <v>#N/A</v>
      </c>
      <c r="L21" s="84">
        <v>995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123</v>
      </c>
      <c r="C22" s="91" t="e">
        <f>IF(ISBLANK(B22),"",VLOOKUP(B22,SÜRELER!$A:$B,2,FALSE))</f>
        <v>#N/A</v>
      </c>
      <c r="D22" s="80">
        <v>353</v>
      </c>
      <c r="E22" s="92" t="e">
        <f>IF(ISBLANK($B22),"0",VLOOKUP($B22,SÜRELER!$A:$C,3,FALSE))*(D22-F22)</f>
        <v>#N/A</v>
      </c>
      <c r="F22" s="81">
        <v>0</v>
      </c>
      <c r="G22" s="93" t="e">
        <f>VLOOKUP(B22,'R.H.'!A$3:C$3974,3,FALSE)*D22/100</f>
        <v>#N/A</v>
      </c>
      <c r="H22" s="82">
        <f t="shared" si="1"/>
        <v>0</v>
      </c>
      <c r="I22" s="87" t="e">
        <f>VLOOKUP(B22,'R.H.'!A$3:C$3974,3,FALSE)/100</f>
        <v>#N/A</v>
      </c>
      <c r="J22" s="83">
        <v>0.5</v>
      </c>
      <c r="K22" s="92" t="e">
        <f t="shared" si="2"/>
        <v>#N/A</v>
      </c>
      <c r="L22" s="84">
        <v>995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1744</v>
      </c>
      <c r="C23" s="91" t="e">
        <f>IF(ISBLANK(B23),"",VLOOKUP(B23,SÜRELER!$A:$B,2,FALSE))</f>
        <v>#N/A</v>
      </c>
      <c r="D23" s="80">
        <f>437+255</f>
        <v>692</v>
      </c>
      <c r="E23" s="92" t="e">
        <f>IF(ISBLANK($B23),"0",VLOOKUP($B23,SÜRELER!$A:$C,3,FALSE))*(D23-F23)</f>
        <v>#N/A</v>
      </c>
      <c r="F23" s="81">
        <v>12</v>
      </c>
      <c r="G23" s="93" t="e">
        <f>VLOOKUP(B23,'R.H.'!A$3:C$3974,3,FALSE)*D23/100</f>
        <v>#N/A</v>
      </c>
      <c r="H23" s="82">
        <f t="shared" si="1"/>
        <v>1.7341040462427744E-2</v>
      </c>
      <c r="I23" s="87" t="e">
        <f>VLOOKUP(B23,'R.H.'!A$3:C$3974,3,FALSE)/100</f>
        <v>#N/A</v>
      </c>
      <c r="J23" s="83">
        <v>0.5</v>
      </c>
      <c r="K23" s="92" t="e">
        <f t="shared" si="2"/>
        <v>#N/A</v>
      </c>
      <c r="L23" s="84">
        <v>920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1745</v>
      </c>
      <c r="C24" s="91" t="e">
        <f>IF(ISBLANK(B24),"",VLOOKUP(B24,SÜRELER!$A:$B,2,FALSE))</f>
        <v>#N/A</v>
      </c>
      <c r="D24" s="80">
        <v>692</v>
      </c>
      <c r="E24" s="92" t="e">
        <f>IF(ISBLANK($B24),"0",VLOOKUP($B24,SÜRELER!$A:$C,3,FALSE))*(D24-F24)</f>
        <v>#N/A</v>
      </c>
      <c r="F24" s="81">
        <v>12</v>
      </c>
      <c r="G24" s="93" t="e">
        <f>VLOOKUP(B24,'R.H.'!A$3:C$3974,3,FALSE)*D24/100</f>
        <v>#N/A</v>
      </c>
      <c r="H24" s="82">
        <f t="shared" si="1"/>
        <v>1.7341040462427744E-2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920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2077</v>
      </c>
      <c r="C25" s="91" t="e">
        <f>IF(ISBLANK(B25),"",VLOOKUP(B25,SÜRELER!$A:$B,2,FALSE))</f>
        <v>#N/A</v>
      </c>
      <c r="D25" s="80">
        <v>500</v>
      </c>
      <c r="E25" s="92" t="e">
        <f>IF(ISBLANK($B25),"0",VLOOKUP($B25,SÜRELER!$A:$C,3,FALSE))*(D25-F25)</f>
        <v>#N/A</v>
      </c>
      <c r="F25" s="81">
        <v>2</v>
      </c>
      <c r="G25" s="93" t="e">
        <f>VLOOKUP(B25,'R.H.'!A$3:C$3974,3,FALSE)*D25/100</f>
        <v>#N/A</v>
      </c>
      <c r="H25" s="82">
        <f t="shared" si="1"/>
        <v>4.0000000000000001E-3</v>
      </c>
      <c r="I25" s="87" t="e">
        <f>VLOOKUP(B25,'R.H.'!A$3:C$3974,3,FALSE)/100</f>
        <v>#N/A</v>
      </c>
      <c r="J25" s="83">
        <v>1</v>
      </c>
      <c r="K25" s="92" t="e">
        <f t="shared" si="2"/>
        <v>#N/A</v>
      </c>
      <c r="L25" s="84">
        <v>505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/>
      <c r="C26" s="91" t="str">
        <f>IF(ISBLANK(B26),"",VLOOKUP(B26,SÜRELER!$A:$B,2,FALSE))</f>
        <v/>
      </c>
      <c r="D26" s="80"/>
      <c r="E26" s="92">
        <f>IF(ISBLANK($B26),"0",VLOOKUP($B26,SÜRELER!$A:$C,3,FALSE))*(D26-F26)</f>
        <v>0</v>
      </c>
      <c r="F26" s="81"/>
      <c r="G26" s="93" t="e">
        <f>VLOOKUP(B26,'R.H.'!A$3:C$3974,3,FALSE)*D26/100</f>
        <v>#N/A</v>
      </c>
      <c r="H26" s="82" t="e">
        <f t="shared" si="1"/>
        <v>#DIV/0!</v>
      </c>
      <c r="I26" s="87" t="e">
        <f>VLOOKUP(B26,'R.H.'!A$3:C$3974,3,FALSE)/100</f>
        <v>#N/A</v>
      </c>
      <c r="J26" s="83"/>
      <c r="K26" s="92" t="e">
        <f t="shared" si="2"/>
        <v>#DIV/0!</v>
      </c>
      <c r="L26" s="84"/>
      <c r="M26" s="84"/>
      <c r="N26" s="94" t="e">
        <f t="shared" si="3"/>
        <v>#DIV/0!</v>
      </c>
      <c r="O26" s="88" t="e">
        <f t="shared" si="0"/>
        <v>#DIV/0!</v>
      </c>
      <c r="P26" s="119"/>
      <c r="Q26" s="5"/>
      <c r="R26" s="5"/>
    </row>
    <row r="27" spans="1:18" s="4" customFormat="1" ht="16.5" x14ac:dyDescent="0.25">
      <c r="A27" s="90">
        <v>23</v>
      </c>
      <c r="B27" s="86"/>
      <c r="C27" s="91" t="str">
        <f>IF(ISBLANK(B27),"",VLOOKUP(B27,SÜRELER!$A:$B,2,FALSE))</f>
        <v/>
      </c>
      <c r="D27" s="80"/>
      <c r="E27" s="92">
        <f>IF(ISBLANK($B27),"0",VLOOKUP($B27,SÜRELER!$A:$C,3,FALSE))*(D27-F27)</f>
        <v>0</v>
      </c>
      <c r="F27" s="81"/>
      <c r="G27" s="93" t="e">
        <f>VLOOKUP(B27,'R.H.'!A$3:C$3974,3,FALSE)*D27/100</f>
        <v>#N/A</v>
      </c>
      <c r="H27" s="82" t="e">
        <f t="shared" si="1"/>
        <v>#DIV/0!</v>
      </c>
      <c r="I27" s="87" t="e">
        <f>VLOOKUP(B27,'R.H.'!A$3:C$3974,3,FALSE)/100</f>
        <v>#N/A</v>
      </c>
      <c r="J27" s="83"/>
      <c r="K27" s="92" t="e">
        <f t="shared" si="2"/>
        <v>#DIV/0!</v>
      </c>
      <c r="L27" s="84"/>
      <c r="M27" s="84"/>
      <c r="N27" s="94" t="e">
        <f t="shared" si="3"/>
        <v>#DIV/0!</v>
      </c>
      <c r="O27" s="88" t="e">
        <f t="shared" si="0"/>
        <v>#DIV/0!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/>
      <c r="C28" s="91" t="str">
        <f>IF(ISBLANK(B28),"",VLOOKUP(B28,SÜRELER!$A:$B,2,FALSE))</f>
        <v/>
      </c>
      <c r="D28" s="80"/>
      <c r="E28" s="92">
        <f>IF(ISBLANK($B28),"0",VLOOKUP($B28,SÜRELER!$A:$C,3,FALSE))*(D28-F28)</f>
        <v>0</v>
      </c>
      <c r="F28" s="81"/>
      <c r="G28" s="93" t="e">
        <f>VLOOKUP(B28,'R.H.'!A$3:C$3974,3,FALSE)*D28/100</f>
        <v>#N/A</v>
      </c>
      <c r="H28" s="82" t="e">
        <f t="shared" si="1"/>
        <v>#DIV/0!</v>
      </c>
      <c r="I28" s="87" t="e">
        <f>VLOOKUP(B28,'R.H.'!A$3:C$3974,3,FALSE)/100</f>
        <v>#N/A</v>
      </c>
      <c r="J28" s="83"/>
      <c r="K28" s="92" t="e">
        <f t="shared" si="2"/>
        <v>#DIV/0!</v>
      </c>
      <c r="L28" s="84"/>
      <c r="M28" s="84"/>
      <c r="N28" s="94" t="e">
        <f t="shared" si="3"/>
        <v>#DIV/0!</v>
      </c>
      <c r="O28" s="88" t="e">
        <f t="shared" si="0"/>
        <v>#DIV/0!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/>
      <c r="C29" s="91" t="str">
        <f>IF(ISBLANK(B29),"",VLOOKUP(B29,SÜRELER!$A:$B,2,FALSE))</f>
        <v/>
      </c>
      <c r="D29" s="80"/>
      <c r="E29" s="92">
        <f>IF(ISBLANK($B29),"0",VLOOKUP($B29,SÜRELER!$A:$C,3,FALSE))*(D29-F29)</f>
        <v>0</v>
      </c>
      <c r="F29" s="81"/>
      <c r="G29" s="93" t="e">
        <f>VLOOKUP(B29,'R.H.'!A$3:C$3974,3,FALSE)*D29/100</f>
        <v>#N/A</v>
      </c>
      <c r="H29" s="82" t="e">
        <f t="shared" si="1"/>
        <v>#DIV/0!</v>
      </c>
      <c r="I29" s="87" t="e">
        <f>VLOOKUP(B29,'R.H.'!A$3:C$3974,3,FALSE)/100</f>
        <v>#N/A</v>
      </c>
      <c r="J29" s="83"/>
      <c r="K29" s="92" t="e">
        <f t="shared" si="2"/>
        <v>#DIV/0!</v>
      </c>
      <c r="L29" s="84"/>
      <c r="M29" s="84"/>
      <c r="N29" s="94" t="e">
        <f t="shared" si="3"/>
        <v>#DIV/0!</v>
      </c>
      <c r="O29" s="88" t="e">
        <f t="shared" si="0"/>
        <v>#DIV/0!</v>
      </c>
      <c r="P29" s="119"/>
      <c r="Q29" s="5"/>
      <c r="R29" s="5"/>
    </row>
    <row r="30" spans="1:18" s="4" customFormat="1" ht="16.5" x14ac:dyDescent="0.25">
      <c r="A30" s="85">
        <v>26</v>
      </c>
      <c r="B30" s="86"/>
      <c r="C30" s="91" t="str">
        <f>IF(ISBLANK(B30),"",VLOOKUP(B30,SÜRELER!$A:$B,2,FALSE))</f>
        <v/>
      </c>
      <c r="D30" s="80"/>
      <c r="E30" s="92">
        <f>IF(ISBLANK($B30),"0",VLOOKUP($B30,SÜRELER!$A:$C,3,FALSE))*(D30-F30)</f>
        <v>0</v>
      </c>
      <c r="F30" s="81"/>
      <c r="G30" s="93" t="e">
        <f>VLOOKUP(B30,'R.H.'!A$3:C$3974,3,FALSE)*D30/100</f>
        <v>#N/A</v>
      </c>
      <c r="H30" s="82" t="e">
        <f t="shared" si="1"/>
        <v>#DIV/0!</v>
      </c>
      <c r="I30" s="87" t="e">
        <f>VLOOKUP(B30,'R.H.'!A$3:C$3974,3,FALSE)/100</f>
        <v>#N/A</v>
      </c>
      <c r="J30" s="83"/>
      <c r="K30" s="92" t="e">
        <f t="shared" si="2"/>
        <v>#DIV/0!</v>
      </c>
      <c r="L30" s="84"/>
      <c r="M30" s="84"/>
      <c r="N30" s="94" t="e">
        <f t="shared" si="3"/>
        <v>#DIV/0!</v>
      </c>
      <c r="O30" s="88" t="e">
        <f t="shared" si="0"/>
        <v>#DIV/0!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10196</v>
      </c>
      <c r="E45" s="26" t="e">
        <f>SUM(E5:E44)</f>
        <v>#N/A</v>
      </c>
      <c r="F45" s="26">
        <f>SUM(F5:F44)</f>
        <v>190</v>
      </c>
      <c r="G45" s="26"/>
      <c r="H45" s="26"/>
      <c r="I45" s="26"/>
      <c r="J45" s="26"/>
      <c r="K45" s="26"/>
      <c r="L45" s="26">
        <f>SUM(L5:L44)</f>
        <v>18145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1.8634758728913299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11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6810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>
        <v>180</v>
      </c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6630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180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10196</v>
      </c>
      <c r="F63" s="24">
        <f>F45</f>
        <v>190</v>
      </c>
      <c r="G63" s="23">
        <f>(F63*1000000)/E63</f>
        <v>18634.758728913301</v>
      </c>
      <c r="H63" s="22">
        <f>D59</f>
        <v>180</v>
      </c>
      <c r="I63" s="17" t="e">
        <f>N1</f>
        <v>#N/A</v>
      </c>
    </row>
  </sheetData>
  <mergeCells count="16">
    <mergeCell ref="P5:P6"/>
    <mergeCell ref="N1:N3"/>
    <mergeCell ref="A2:B3"/>
    <mergeCell ref="E56:N56"/>
    <mergeCell ref="E57:N57"/>
    <mergeCell ref="E49:N49"/>
    <mergeCell ref="E50:N50"/>
    <mergeCell ref="E51:N51"/>
    <mergeCell ref="E53:N53"/>
    <mergeCell ref="E54:N54"/>
    <mergeCell ref="E55:N55"/>
    <mergeCell ref="D46:D47"/>
    <mergeCell ref="E46:F47"/>
    <mergeCell ref="A1:B1"/>
    <mergeCell ref="C1:D2"/>
    <mergeCell ref="H1:H3"/>
  </mergeCells>
  <conditionalFormatting sqref="D3">
    <cfRule type="cellIs" dxfId="139" priority="5" stopIfTrue="1" operator="lessThan">
      <formula>0.95</formula>
    </cfRule>
  </conditionalFormatting>
  <conditionalFormatting sqref="F5:F44">
    <cfRule type="cellIs" dxfId="138" priority="1" stopIfTrue="1" operator="greaterThan">
      <formula>$G5</formula>
    </cfRule>
  </conditionalFormatting>
  <conditionalFormatting sqref="H5:H44">
    <cfRule type="cellIs" dxfId="137" priority="2" stopIfTrue="1" operator="greaterThan">
      <formula>$I$5</formula>
    </cfRule>
  </conditionalFormatting>
  <conditionalFormatting sqref="N1:N3">
    <cfRule type="cellIs" dxfId="136" priority="4" stopIfTrue="1" operator="lessThan">
      <formula>0.8</formula>
    </cfRule>
  </conditionalFormatting>
  <conditionalFormatting sqref="N5:O44">
    <cfRule type="cellIs" dxfId="135" priority="3" stopIfTrue="1" operator="lessThan">
      <formula>0.85</formula>
    </cfRule>
  </conditionalFormatting>
  <hyperlinks>
    <hyperlink ref="P1:P3" location="'Ana Sayfa'!A1" display="ANA SAYFA" xr:uid="{B8FDAC83-2BE3-49C7-B241-A3506CFE4C0E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61D7-9763-41C4-B84F-701F69F8C990}">
  <sheetPr codeName="Sayfa5">
    <tabColor theme="0" tint="-0.14999847407452621"/>
    <pageSetUpPr fitToPage="1"/>
  </sheetPr>
  <dimension ref="A1:W63"/>
  <sheetViews>
    <sheetView workbookViewId="0">
      <selection activeCell="I1" sqref="I1:M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'4'!A1+1</f>
        <v>46208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Pazar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25475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1330</v>
      </c>
      <c r="C5" s="91" t="e">
        <f>IF(ISBLANK(B5),"",VLOOKUP(B5,SÜRELER!$A:$B,2,FALSE))</f>
        <v>#N/A</v>
      </c>
      <c r="D5" s="80">
        <f>256+762</f>
        <v>1018</v>
      </c>
      <c r="E5" s="92" t="e">
        <f>IF(ISBLANK($B5),"0",VLOOKUP($B5,SÜRELER!$A:$C,3,FALSE))*(D5-F5)</f>
        <v>#N/A</v>
      </c>
      <c r="F5" s="81">
        <v>2</v>
      </c>
      <c r="G5" s="93" t="e">
        <f>VLOOKUP(B5,'R.H.'!A$3:C$3974,3,FALSE)*D5/100</f>
        <v>#N/A</v>
      </c>
      <c r="H5" s="82">
        <f>F5/D5</f>
        <v>1.9646365422396855E-3</v>
      </c>
      <c r="I5" s="87" t="e">
        <f>VLOOKUP(B5,'R.H.'!A$3:C$3974,3,FALSE)/100</f>
        <v>#N/A</v>
      </c>
      <c r="J5" s="83">
        <v>0.5</v>
      </c>
      <c r="K5" s="92" t="e">
        <f>E5/J5</f>
        <v>#N/A</v>
      </c>
      <c r="L5" s="84">
        <v>432</v>
      </c>
      <c r="M5" s="84"/>
      <c r="N5" s="94" t="e">
        <f>K5/L5</f>
        <v>#N/A</v>
      </c>
      <c r="O5" s="88" t="e">
        <f t="shared" ref="O5:O44" si="0">K5/(L5-M5)</f>
        <v>#N/A</v>
      </c>
      <c r="P5" s="119"/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1331</v>
      </c>
      <c r="C6" s="91" t="e">
        <f>IF(ISBLANK(B6),"",VLOOKUP(B6,SÜRELER!$A:$B,2,FALSE))</f>
        <v>#N/A</v>
      </c>
      <c r="D6" s="80">
        <v>1018</v>
      </c>
      <c r="E6" s="92" t="e">
        <f>IF(ISBLANK($B6),"0",VLOOKUP($B6,SÜRELER!$A:$C,3,FALSE))*(D6-F6)</f>
        <v>#N/A</v>
      </c>
      <c r="F6" s="81">
        <v>2</v>
      </c>
      <c r="G6" s="93" t="e">
        <f>VLOOKUP(B6,'R.H.'!A$3:C$3974,3,FALSE)*D6/100</f>
        <v>#N/A</v>
      </c>
      <c r="H6" s="82">
        <f t="shared" ref="H6:H44" si="1">F6/D6</f>
        <v>1.9646365422396855E-3</v>
      </c>
      <c r="I6" s="87" t="e">
        <f>VLOOKUP(B6,'R.H.'!A$3:C$3974,3,FALSE)/100</f>
        <v>#N/A</v>
      </c>
      <c r="J6" s="83">
        <v>0.5</v>
      </c>
      <c r="K6" s="92" t="e">
        <f t="shared" ref="K6:K44" si="2">E6/J6</f>
        <v>#N/A</v>
      </c>
      <c r="L6" s="84">
        <v>432</v>
      </c>
      <c r="M6" s="84"/>
      <c r="N6" s="94" t="e">
        <f t="shared" ref="N6:N44" si="3">K6/L6</f>
        <v>#N/A</v>
      </c>
      <c r="O6" s="88" t="e">
        <f t="shared" si="0"/>
        <v>#N/A</v>
      </c>
      <c r="P6" s="119"/>
      <c r="Q6" s="5"/>
      <c r="R6" s="5"/>
    </row>
    <row r="7" spans="1:23" s="4" customFormat="1" ht="16.5" customHeight="1" x14ac:dyDescent="0.25">
      <c r="A7" s="90">
        <v>3</v>
      </c>
      <c r="B7" s="86">
        <v>1670</v>
      </c>
      <c r="C7" s="91" t="e">
        <f>IF(ISBLANK(B7),"",VLOOKUP(B7,SÜRELER!$A:$B,2,FALSE))</f>
        <v>#N/A</v>
      </c>
      <c r="D7" s="80">
        <f>216+319</f>
        <v>535</v>
      </c>
      <c r="E7" s="92" t="e">
        <f>IF(ISBLANK($B7),"0",VLOOKUP($B7,SÜRELER!$A:$C,3,FALSE))*(D7-F7)</f>
        <v>#N/A</v>
      </c>
      <c r="F7" s="81"/>
      <c r="G7" s="93" t="e">
        <f>VLOOKUP(B7,'R.H.'!A$3:C$3974,3,FALSE)*D7/100</f>
        <v>#N/A</v>
      </c>
      <c r="H7" s="82">
        <f t="shared" si="1"/>
        <v>0</v>
      </c>
      <c r="I7" s="87" t="e">
        <f>VLOOKUP(B7,'R.H.'!A$3:C$3974,3,FALSE)/100</f>
        <v>#N/A</v>
      </c>
      <c r="J7" s="83">
        <v>0.17</v>
      </c>
      <c r="K7" s="92" t="e">
        <f t="shared" si="2"/>
        <v>#N/A</v>
      </c>
      <c r="L7" s="84">
        <v>855</v>
      </c>
      <c r="M7" s="84"/>
      <c r="N7" s="94" t="e">
        <f t="shared" si="3"/>
        <v>#N/A</v>
      </c>
      <c r="O7" s="88" t="e">
        <f t="shared" si="0"/>
        <v>#N/A</v>
      </c>
      <c r="P7" s="119"/>
      <c r="Q7" s="5"/>
      <c r="R7" s="5"/>
    </row>
    <row r="8" spans="1:23" s="4" customFormat="1" ht="16.5" customHeight="1" x14ac:dyDescent="0.25">
      <c r="A8" s="85">
        <v>4</v>
      </c>
      <c r="B8" s="86">
        <v>1671</v>
      </c>
      <c r="C8" s="91" t="e">
        <f>IF(ISBLANK(B8),"",VLOOKUP(B8,SÜRELER!$A:$B,2,FALSE))</f>
        <v>#N/A</v>
      </c>
      <c r="D8" s="80">
        <v>535</v>
      </c>
      <c r="E8" s="92" t="e">
        <f>IF(ISBLANK($B8),"0",VLOOKUP($B8,SÜRELER!$A:$C,3,FALSE))*(D8-F8)</f>
        <v>#N/A</v>
      </c>
      <c r="F8" s="81"/>
      <c r="G8" s="93" t="e">
        <f>VLOOKUP(B8,'R.H.'!A$3:C$3974,3,FALSE)*D8/100</f>
        <v>#N/A</v>
      </c>
      <c r="H8" s="82">
        <f t="shared" si="1"/>
        <v>0</v>
      </c>
      <c r="I8" s="87" t="e">
        <f>VLOOKUP(B8,'R.H.'!A$3:C$3974,3,FALSE)/100</f>
        <v>#N/A</v>
      </c>
      <c r="J8" s="83">
        <v>0.17</v>
      </c>
      <c r="K8" s="92" t="e">
        <f t="shared" si="2"/>
        <v>#N/A</v>
      </c>
      <c r="L8" s="84">
        <v>855</v>
      </c>
      <c r="M8" s="84"/>
      <c r="N8" s="94" t="e">
        <f t="shared" si="3"/>
        <v>#N/A</v>
      </c>
      <c r="O8" s="88" t="e">
        <f t="shared" si="0"/>
        <v>#N/A</v>
      </c>
      <c r="P8" s="119"/>
      <c r="Q8" s="5"/>
      <c r="R8" s="5"/>
    </row>
    <row r="9" spans="1:23" s="4" customFormat="1" ht="16.5" x14ac:dyDescent="0.25">
      <c r="A9" s="90">
        <v>5</v>
      </c>
      <c r="B9" s="86">
        <v>1672</v>
      </c>
      <c r="C9" s="91" t="e">
        <f>IF(ISBLANK(B9),"",VLOOKUP(B9,SÜRELER!$A:$B,2,FALSE))</f>
        <v>#N/A</v>
      </c>
      <c r="D9" s="80">
        <v>535</v>
      </c>
      <c r="E9" s="92" t="e">
        <f>IF(ISBLANK($B9),"0",VLOOKUP($B9,SÜRELER!$A:$C,3,FALSE))*(D9-F9)</f>
        <v>#N/A</v>
      </c>
      <c r="F9" s="81"/>
      <c r="G9" s="93" t="e">
        <f>VLOOKUP(B9,'R.H.'!A$3:C$3974,3,FALSE)*D9/100</f>
        <v>#N/A</v>
      </c>
      <c r="H9" s="82">
        <f t="shared" si="1"/>
        <v>0</v>
      </c>
      <c r="I9" s="87" t="e">
        <f>VLOOKUP(B9,'R.H.'!A$3:C$3974,3,FALSE)/100</f>
        <v>#N/A</v>
      </c>
      <c r="J9" s="83">
        <v>0.17</v>
      </c>
      <c r="K9" s="92" t="e">
        <f t="shared" si="2"/>
        <v>#N/A</v>
      </c>
      <c r="L9" s="84">
        <v>855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1673</v>
      </c>
      <c r="C10" s="91" t="e">
        <f>IF(ISBLANK(B10),"",VLOOKUP(B10,SÜRELER!$A:$B,2,FALSE))</f>
        <v>#N/A</v>
      </c>
      <c r="D10" s="80">
        <v>535</v>
      </c>
      <c r="E10" s="92" t="e">
        <f>IF(ISBLANK($B10),"0",VLOOKUP($B10,SÜRELER!$A:$C,3,FALSE))*(D10-F10)</f>
        <v>#N/A</v>
      </c>
      <c r="F10" s="81"/>
      <c r="G10" s="93" t="e">
        <f>VLOOKUP(B10,'R.H.'!A$3:C$3974,3,FALSE)*D10/100</f>
        <v>#N/A</v>
      </c>
      <c r="H10" s="82">
        <f t="shared" si="1"/>
        <v>0</v>
      </c>
      <c r="I10" s="87" t="e">
        <f>VLOOKUP(B10,'R.H.'!A$3:C$3974,3,FALSE)/100</f>
        <v>#N/A</v>
      </c>
      <c r="J10" s="83">
        <v>0.17</v>
      </c>
      <c r="K10" s="92" t="e">
        <f t="shared" si="2"/>
        <v>#N/A</v>
      </c>
      <c r="L10" s="84">
        <v>855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1678</v>
      </c>
      <c r="C11" s="91" t="e">
        <f>IF(ISBLANK(B11),"",VLOOKUP(B11,SÜRELER!$A:$B,2,FALSE))</f>
        <v>#N/A</v>
      </c>
      <c r="D11" s="80">
        <v>269</v>
      </c>
      <c r="E11" s="92" t="e">
        <f>IF(ISBLANK($B11),"0",VLOOKUP($B11,SÜRELER!$A:$C,3,FALSE))*(D11-F11)</f>
        <v>#N/A</v>
      </c>
      <c r="F11" s="81">
        <v>3</v>
      </c>
      <c r="G11" s="93" t="e">
        <f>VLOOKUP(B11,'R.H.'!A$3:C$3974,3,FALSE)*D11/100</f>
        <v>#N/A</v>
      </c>
      <c r="H11" s="82">
        <f t="shared" si="1"/>
        <v>1.1152416356877323E-2</v>
      </c>
      <c r="I11" s="87" t="e">
        <f>VLOOKUP(B11,'R.H.'!A$3:C$3974,3,FALSE)/100</f>
        <v>#N/A</v>
      </c>
      <c r="J11" s="83">
        <v>0.5</v>
      </c>
      <c r="K11" s="92" t="e">
        <f t="shared" si="2"/>
        <v>#N/A</v>
      </c>
      <c r="L11" s="84">
        <v>450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1679</v>
      </c>
      <c r="C12" s="91" t="e">
        <f>IF(ISBLANK(B12),"",VLOOKUP(B12,SÜRELER!$A:$B,2,FALSE))</f>
        <v>#N/A</v>
      </c>
      <c r="D12" s="80">
        <v>269</v>
      </c>
      <c r="E12" s="92" t="e">
        <f>IF(ISBLANK($B12),"0",VLOOKUP($B12,SÜRELER!$A:$C,3,FALSE))*(D12-F12)</f>
        <v>#N/A</v>
      </c>
      <c r="F12" s="81">
        <v>3</v>
      </c>
      <c r="G12" s="93" t="e">
        <f>VLOOKUP(B12,'R.H.'!A$3:C$3974,3,FALSE)*D12/100</f>
        <v>#N/A</v>
      </c>
      <c r="H12" s="82">
        <f t="shared" si="1"/>
        <v>1.1152416356877323E-2</v>
      </c>
      <c r="I12" s="87" t="e">
        <f>VLOOKUP(B12,'R.H.'!A$3:C$3974,3,FALSE)/100</f>
        <v>#N/A</v>
      </c>
      <c r="J12" s="83">
        <v>0.5</v>
      </c>
      <c r="K12" s="92" t="e">
        <f t="shared" si="2"/>
        <v>#N/A</v>
      </c>
      <c r="L12" s="84">
        <v>450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2111</v>
      </c>
      <c r="C13" s="91" t="e">
        <f>IF(ISBLANK(B13),"",VLOOKUP(B13,SÜRELER!$A:$B,2,FALSE))</f>
        <v>#N/A</v>
      </c>
      <c r="D13" s="80">
        <f>507+364</f>
        <v>871</v>
      </c>
      <c r="E13" s="92" t="e">
        <f>IF(ISBLANK($B13),"0",VLOOKUP($B13,SÜRELER!$A:$C,3,FALSE))*(D13-F13)</f>
        <v>#N/A</v>
      </c>
      <c r="F13" s="81">
        <v>11</v>
      </c>
      <c r="G13" s="93" t="e">
        <f>VLOOKUP(B13,'R.H.'!A$3:C$3974,3,FALSE)*D13/100</f>
        <v>#N/A</v>
      </c>
      <c r="H13" s="82">
        <f t="shared" si="1"/>
        <v>1.2629161882893225E-2</v>
      </c>
      <c r="I13" s="87" t="e">
        <f>VLOOKUP(B13,'R.H.'!A$3:C$3974,3,FALSE)/100</f>
        <v>#N/A</v>
      </c>
      <c r="J13" s="83">
        <v>0.5</v>
      </c>
      <c r="K13" s="92" t="e">
        <f t="shared" si="2"/>
        <v>#N/A</v>
      </c>
      <c r="L13" s="84">
        <v>950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2112</v>
      </c>
      <c r="C14" s="91" t="e">
        <f>IF(ISBLANK(B14),"",VLOOKUP(B14,SÜRELER!$A:$B,2,FALSE))</f>
        <v>#N/A</v>
      </c>
      <c r="D14" s="80">
        <v>871</v>
      </c>
      <c r="E14" s="92" t="e">
        <f>IF(ISBLANK($B14),"0",VLOOKUP($B14,SÜRELER!$A:$C,3,FALSE))*(D14-F14)</f>
        <v>#N/A</v>
      </c>
      <c r="F14" s="81">
        <v>11</v>
      </c>
      <c r="G14" s="93" t="e">
        <f>VLOOKUP(B14,'R.H.'!A$3:C$3974,3,FALSE)*D14/100</f>
        <v>#N/A</v>
      </c>
      <c r="H14" s="82">
        <f t="shared" si="1"/>
        <v>1.2629161882893225E-2</v>
      </c>
      <c r="I14" s="87" t="e">
        <f>VLOOKUP(B14,'R.H.'!A$3:C$3974,3,FALSE)/100</f>
        <v>#N/A</v>
      </c>
      <c r="J14" s="83">
        <v>0.5</v>
      </c>
      <c r="K14" s="92" t="e">
        <f t="shared" si="2"/>
        <v>#N/A</v>
      </c>
      <c r="L14" s="84">
        <v>950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714</v>
      </c>
      <c r="C15" s="91" t="e">
        <f>IF(ISBLANK(B15),"",VLOOKUP(B15,SÜRELER!$A:$B,2,FALSE))</f>
        <v>#N/A</v>
      </c>
      <c r="D15" s="80">
        <f>498+602</f>
        <v>1100</v>
      </c>
      <c r="E15" s="92" t="e">
        <f>IF(ISBLANK($B15),"0",VLOOKUP($B15,SÜRELER!$A:$C,3,FALSE))*(D15-F15)</f>
        <v>#N/A</v>
      </c>
      <c r="F15" s="81">
        <v>2</v>
      </c>
      <c r="G15" s="93" t="e">
        <f>VLOOKUP(B15,'R.H.'!A$3:C$3974,3,FALSE)*D15/100</f>
        <v>#N/A</v>
      </c>
      <c r="H15" s="82">
        <f t="shared" si="1"/>
        <v>1.8181818181818182E-3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1100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715</v>
      </c>
      <c r="C16" s="91" t="e">
        <f>IF(ISBLANK(B16),"",VLOOKUP(B16,SÜRELER!$A:$B,2,FALSE))</f>
        <v>#N/A</v>
      </c>
      <c r="D16" s="80">
        <v>1100</v>
      </c>
      <c r="E16" s="92" t="e">
        <f>IF(ISBLANK($B16),"0",VLOOKUP($B16,SÜRELER!$A:$C,3,FALSE))*(D16-F16)</f>
        <v>#N/A</v>
      </c>
      <c r="F16" s="81">
        <v>2</v>
      </c>
      <c r="G16" s="93" t="e">
        <f>VLOOKUP(B16,'R.H.'!A$3:C$3974,3,FALSE)*D16/100</f>
        <v>#N/A</v>
      </c>
      <c r="H16" s="82">
        <f t="shared" si="1"/>
        <v>1.8181818181818182E-3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1100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352</v>
      </c>
      <c r="C17" s="91" t="e">
        <f>IF(ISBLANK(B17),"",VLOOKUP(B17,SÜRELER!$A:$B,2,FALSE))</f>
        <v>#N/A</v>
      </c>
      <c r="D17" s="80">
        <f>256+52</f>
        <v>308</v>
      </c>
      <c r="E17" s="92" t="e">
        <f>IF(ISBLANK($B17),"0",VLOOKUP($B17,SÜRELER!$A:$C,3,FALSE))*(D17-F17)</f>
        <v>#N/A</v>
      </c>
      <c r="F17" s="81">
        <v>8</v>
      </c>
      <c r="G17" s="93" t="e">
        <f>VLOOKUP(B17,'R.H.'!A$3:C$3974,3,FALSE)*D17/100</f>
        <v>#N/A</v>
      </c>
      <c r="H17" s="82">
        <f t="shared" si="1"/>
        <v>2.5974025974025976E-2</v>
      </c>
      <c r="I17" s="87" t="e">
        <f>VLOOKUP(B17,'R.H.'!A$3:C$3974,3,FALSE)/100</f>
        <v>#N/A</v>
      </c>
      <c r="J17" s="83">
        <v>1</v>
      </c>
      <c r="K17" s="92" t="e">
        <f t="shared" si="2"/>
        <v>#N/A</v>
      </c>
      <c r="L17" s="84">
        <v>245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353</v>
      </c>
      <c r="C18" s="91" t="e">
        <f>IF(ISBLANK(B18),"",VLOOKUP(B18,SÜRELER!$A:$B,2,FALSE))</f>
        <v>#N/A</v>
      </c>
      <c r="D18" s="80">
        <v>308</v>
      </c>
      <c r="E18" s="92" t="e">
        <f>IF(ISBLANK($B18),"0",VLOOKUP($B18,SÜRELER!$A:$C,3,FALSE))*(D18-F18)</f>
        <v>#N/A</v>
      </c>
      <c r="F18" s="81">
        <v>8</v>
      </c>
      <c r="G18" s="93" t="e">
        <f>VLOOKUP(B18,'R.H.'!A$3:C$3974,3,FALSE)*D18/100</f>
        <v>#N/A</v>
      </c>
      <c r="H18" s="82">
        <f t="shared" si="1"/>
        <v>2.5974025974025976E-2</v>
      </c>
      <c r="I18" s="87" t="e">
        <f>VLOOKUP(B18,'R.H.'!A$3:C$3974,3,FALSE)/100</f>
        <v>#N/A</v>
      </c>
      <c r="J18" s="83">
        <v>1</v>
      </c>
      <c r="K18" s="92" t="e">
        <f t="shared" si="2"/>
        <v>#N/A</v>
      </c>
      <c r="L18" s="84">
        <v>245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83</v>
      </c>
      <c r="C19" s="91" t="e">
        <f>IF(ISBLANK(B19),"",VLOOKUP(B19,SÜRELER!$A:$B,2,FALSE))</f>
        <v>#N/A</v>
      </c>
      <c r="D19" s="80">
        <f>95+386</f>
        <v>481</v>
      </c>
      <c r="E19" s="92" t="e">
        <f>IF(ISBLANK($B19),"0",VLOOKUP($B19,SÜRELER!$A:$C,3,FALSE))*(D19-F19)</f>
        <v>#N/A</v>
      </c>
      <c r="F19" s="81">
        <v>10</v>
      </c>
      <c r="G19" s="93" t="e">
        <f>VLOOKUP(B19,'R.H.'!A$3:C$3974,3,FALSE)*D19/100</f>
        <v>#N/A</v>
      </c>
      <c r="H19" s="82">
        <f t="shared" si="1"/>
        <v>2.0790020790020791E-2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592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84</v>
      </c>
      <c r="C20" s="91" t="e">
        <f>IF(ISBLANK(B20),"",VLOOKUP(B20,SÜRELER!$A:$B,2,FALSE))</f>
        <v>#N/A</v>
      </c>
      <c r="D20" s="80">
        <v>481</v>
      </c>
      <c r="E20" s="92" t="e">
        <f>IF(ISBLANK($B20),"0",VLOOKUP($B20,SÜRELER!$A:$C,3,FALSE))*(D20-F20)</f>
        <v>#N/A</v>
      </c>
      <c r="F20" s="81">
        <v>10</v>
      </c>
      <c r="G20" s="93" t="e">
        <f>VLOOKUP(B20,'R.H.'!A$3:C$3974,3,FALSE)*D20/100</f>
        <v>#N/A</v>
      </c>
      <c r="H20" s="82">
        <f t="shared" si="1"/>
        <v>2.0790020790020791E-2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592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1461</v>
      </c>
      <c r="C21" s="91" t="e">
        <f>IF(ISBLANK(B21),"",VLOOKUP(B21,SÜRELER!$A:$B,2,FALSE))</f>
        <v>#N/A</v>
      </c>
      <c r="D21" s="80">
        <f>210+235</f>
        <v>445</v>
      </c>
      <c r="E21" s="92" t="e">
        <f>IF(ISBLANK($B21),"0",VLOOKUP($B21,SÜRELER!$A:$C,3,FALSE))*(D21-F21)</f>
        <v>#N/A</v>
      </c>
      <c r="F21" s="81">
        <v>10</v>
      </c>
      <c r="G21" s="93" t="e">
        <f>VLOOKUP(B21,'R.H.'!A$3:C$3974,3,FALSE)*D21/100</f>
        <v>#N/A</v>
      </c>
      <c r="H21" s="82">
        <f t="shared" si="1"/>
        <v>2.247191011235955E-2</v>
      </c>
      <c r="I21" s="87" t="e">
        <f>VLOOKUP(B21,'R.H.'!A$3:C$3974,3,FALSE)/100</f>
        <v>#N/A</v>
      </c>
      <c r="J21" s="83">
        <v>1</v>
      </c>
      <c r="K21" s="92" t="e">
        <f t="shared" si="2"/>
        <v>#N/A</v>
      </c>
      <c r="L21" s="84">
        <v>890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8915</v>
      </c>
      <c r="C22" s="91" t="e">
        <f>IF(ISBLANK(B22),"",VLOOKUP(B22,SÜRELER!$A:$B,2,FALSE))</f>
        <v>#N/A</v>
      </c>
      <c r="D22" s="80">
        <v>176</v>
      </c>
      <c r="E22" s="92" t="e">
        <f>IF(ISBLANK($B22),"0",VLOOKUP($B22,SÜRELER!$A:$C,3,FALSE))*(D22-F22)</f>
        <v>#N/A</v>
      </c>
      <c r="F22" s="81">
        <v>0</v>
      </c>
      <c r="G22" s="93" t="e">
        <f>VLOOKUP(B22,'R.H.'!A$3:C$3974,3,FALSE)*D22/100</f>
        <v>#N/A</v>
      </c>
      <c r="H22" s="82">
        <f t="shared" si="1"/>
        <v>0</v>
      </c>
      <c r="I22" s="87" t="e">
        <f>VLOOKUP(B22,'R.H.'!A$3:C$3974,3,FALSE)/100</f>
        <v>#N/A</v>
      </c>
      <c r="J22" s="83">
        <v>2</v>
      </c>
      <c r="K22" s="92" t="e">
        <f t="shared" si="2"/>
        <v>#N/A</v>
      </c>
      <c r="L22" s="84">
        <v>155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1922</v>
      </c>
      <c r="C23" s="91" t="e">
        <f>IF(ISBLANK(B23),"",VLOOKUP(B23,SÜRELER!$A:$B,2,FALSE))</f>
        <v>#N/A</v>
      </c>
      <c r="D23" s="80">
        <v>12900</v>
      </c>
      <c r="E23" s="92" t="e">
        <f>IF(ISBLANK($B23),"0",VLOOKUP($B23,SÜRELER!$A:$C,3,FALSE))*(D23-F23)</f>
        <v>#N/A</v>
      </c>
      <c r="F23" s="81">
        <v>0</v>
      </c>
      <c r="G23" s="93" t="e">
        <f>VLOOKUP(B23,'R.H.'!A$3:C$3974,3,FALSE)*D23/100</f>
        <v>#N/A</v>
      </c>
      <c r="H23" s="82">
        <f t="shared" si="1"/>
        <v>0</v>
      </c>
      <c r="I23" s="87" t="e">
        <f>VLOOKUP(B23,'R.H.'!A$3:C$3974,3,FALSE)/100</f>
        <v>#N/A</v>
      </c>
      <c r="J23" s="83">
        <v>1</v>
      </c>
      <c r="K23" s="92" t="e">
        <f t="shared" si="2"/>
        <v>#N/A</v>
      </c>
      <c r="L23" s="84">
        <v>2210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1418</v>
      </c>
      <c r="C24" s="91" t="e">
        <f>IF(ISBLANK(B24),"",VLOOKUP(B24,SÜRELER!$A:$B,2,FALSE))</f>
        <v>#N/A</v>
      </c>
      <c r="D24" s="80">
        <v>215</v>
      </c>
      <c r="E24" s="92" t="e">
        <f>IF(ISBLANK($B24),"0",VLOOKUP($B24,SÜRELER!$A:$C,3,FALSE))*(D24-F24)</f>
        <v>#N/A</v>
      </c>
      <c r="F24" s="81">
        <v>2</v>
      </c>
      <c r="G24" s="93" t="e">
        <f>VLOOKUP(B24,'R.H.'!A$3:C$3974,3,FALSE)*D24/100</f>
        <v>#N/A</v>
      </c>
      <c r="H24" s="82">
        <f t="shared" si="1"/>
        <v>9.3023255813953487E-3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355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1419</v>
      </c>
      <c r="C25" s="91" t="e">
        <f>IF(ISBLANK(B25),"",VLOOKUP(B25,SÜRELER!$A:$B,2,FALSE))</f>
        <v>#N/A</v>
      </c>
      <c r="D25" s="80">
        <v>215</v>
      </c>
      <c r="E25" s="92" t="e">
        <f>IF(ISBLANK($B25),"0",VLOOKUP($B25,SÜRELER!$A:$C,3,FALSE))*(D25-F25)</f>
        <v>#N/A</v>
      </c>
      <c r="F25" s="81">
        <v>2</v>
      </c>
      <c r="G25" s="93" t="e">
        <f>VLOOKUP(B25,'R.H.'!A$3:C$3974,3,FALSE)*D25/100</f>
        <v>#N/A</v>
      </c>
      <c r="H25" s="82">
        <f t="shared" si="1"/>
        <v>9.3023255813953487E-3</v>
      </c>
      <c r="I25" s="87" t="e">
        <f>VLOOKUP(B25,'R.H.'!A$3:C$3974,3,FALSE)/100</f>
        <v>#N/A</v>
      </c>
      <c r="J25" s="83">
        <v>0.5</v>
      </c>
      <c r="K25" s="92" t="e">
        <f t="shared" si="2"/>
        <v>#N/A</v>
      </c>
      <c r="L25" s="84">
        <v>355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287</v>
      </c>
      <c r="C26" s="91" t="e">
        <f>IF(ISBLANK(B26),"",VLOOKUP(B26,SÜRELER!$A:$B,2,FALSE))</f>
        <v>#N/A</v>
      </c>
      <c r="D26" s="80">
        <v>645</v>
      </c>
      <c r="E26" s="92" t="e">
        <f>IF(ISBLANK($B26),"0",VLOOKUP($B26,SÜRELER!$A:$C,3,FALSE))*(D26-F26)</f>
        <v>#N/A</v>
      </c>
      <c r="F26" s="81">
        <v>5</v>
      </c>
      <c r="G26" s="93" t="e">
        <f>VLOOKUP(B26,'R.H.'!A$3:C$3974,3,FALSE)*D26/100</f>
        <v>#N/A</v>
      </c>
      <c r="H26" s="82">
        <f t="shared" si="1"/>
        <v>7.7519379844961239E-3</v>
      </c>
      <c r="I26" s="87" t="e">
        <f>VLOOKUP(B26,'R.H.'!A$3:C$3974,3,FALSE)/100</f>
        <v>#N/A</v>
      </c>
      <c r="J26" s="83">
        <v>0.5</v>
      </c>
      <c r="K26" s="92" t="e">
        <f t="shared" si="2"/>
        <v>#N/A</v>
      </c>
      <c r="L26" s="84">
        <v>545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288</v>
      </c>
      <c r="C27" s="91" t="e">
        <f>IF(ISBLANK(B27),"",VLOOKUP(B27,SÜRELER!$A:$B,2,FALSE))</f>
        <v>#N/A</v>
      </c>
      <c r="D27" s="80">
        <v>645</v>
      </c>
      <c r="E27" s="92" t="e">
        <f>IF(ISBLANK($B27),"0",VLOOKUP($B27,SÜRELER!$A:$C,3,FALSE))*(D27-F27)</f>
        <v>#N/A</v>
      </c>
      <c r="F27" s="81">
        <v>5</v>
      </c>
      <c r="G27" s="93" t="e">
        <f>VLOOKUP(B27,'R.H.'!A$3:C$3974,3,FALSE)*D27/100</f>
        <v>#N/A</v>
      </c>
      <c r="H27" s="82">
        <f t="shared" si="1"/>
        <v>7.7519379844961239E-3</v>
      </c>
      <c r="I27" s="87" t="e">
        <f>VLOOKUP(B27,'R.H.'!A$3:C$3974,3,FALSE)/100</f>
        <v>#N/A</v>
      </c>
      <c r="J27" s="83">
        <v>0.5</v>
      </c>
      <c r="K27" s="92" t="e">
        <f t="shared" si="2"/>
        <v>#N/A</v>
      </c>
      <c r="L27" s="84">
        <v>545</v>
      </c>
      <c r="M27" s="84"/>
      <c r="N27" s="94" t="e">
        <f t="shared" si="3"/>
        <v>#N/A</v>
      </c>
      <c r="O27" s="88" t="e">
        <f t="shared" si="0"/>
        <v>#N/A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/>
      <c r="C28" s="91" t="str">
        <f>IF(ISBLANK(B28),"",VLOOKUP(B28,SÜRELER!$A:$B,2,FALSE))</f>
        <v/>
      </c>
      <c r="D28" s="80"/>
      <c r="E28" s="92">
        <f>IF(ISBLANK($B28),"0",VLOOKUP($B28,SÜRELER!$A:$C,3,FALSE))*(D28-F28)</f>
        <v>0</v>
      </c>
      <c r="F28" s="81"/>
      <c r="G28" s="93" t="e">
        <f>VLOOKUP(B28,'R.H.'!A$3:C$3974,3,FALSE)*D28/100</f>
        <v>#N/A</v>
      </c>
      <c r="H28" s="82" t="e">
        <f t="shared" si="1"/>
        <v>#DIV/0!</v>
      </c>
      <c r="I28" s="87" t="e">
        <f>VLOOKUP(B28,'R.H.'!A$3:C$3974,3,FALSE)/100</f>
        <v>#N/A</v>
      </c>
      <c r="J28" s="83"/>
      <c r="K28" s="92" t="e">
        <f t="shared" si="2"/>
        <v>#DIV/0!</v>
      </c>
      <c r="L28" s="84"/>
      <c r="M28" s="84"/>
      <c r="N28" s="94" t="e">
        <f t="shared" si="3"/>
        <v>#DIV/0!</v>
      </c>
      <c r="O28" s="88" t="e">
        <f t="shared" si="0"/>
        <v>#DIV/0!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/>
      <c r="C29" s="91" t="str">
        <f>IF(ISBLANK(B29),"",VLOOKUP(B29,SÜRELER!$A:$B,2,FALSE))</f>
        <v/>
      </c>
      <c r="D29" s="80"/>
      <c r="E29" s="92">
        <f>IF(ISBLANK($B29),"0",VLOOKUP($B29,SÜRELER!$A:$C,3,FALSE))*(D29-F29)</f>
        <v>0</v>
      </c>
      <c r="F29" s="81"/>
      <c r="G29" s="93" t="e">
        <f>VLOOKUP(B29,'R.H.'!A$3:C$3974,3,FALSE)*D29/100</f>
        <v>#N/A</v>
      </c>
      <c r="H29" s="82" t="e">
        <f t="shared" si="1"/>
        <v>#DIV/0!</v>
      </c>
      <c r="I29" s="87" t="e">
        <f>VLOOKUP(B29,'R.H.'!A$3:C$3974,3,FALSE)/100</f>
        <v>#N/A</v>
      </c>
      <c r="J29" s="83"/>
      <c r="K29" s="92" t="e">
        <f t="shared" si="2"/>
        <v>#DIV/0!</v>
      </c>
      <c r="L29" s="84"/>
      <c r="M29" s="84"/>
      <c r="N29" s="94" t="e">
        <f t="shared" si="3"/>
        <v>#DIV/0!</v>
      </c>
      <c r="O29" s="88" t="e">
        <f t="shared" si="0"/>
        <v>#DIV/0!</v>
      </c>
      <c r="P29" s="119"/>
      <c r="Q29" s="5"/>
      <c r="R29" s="5"/>
    </row>
    <row r="30" spans="1:18" s="4" customFormat="1" ht="16.5" x14ac:dyDescent="0.25">
      <c r="A30" s="85">
        <v>26</v>
      </c>
      <c r="B30" s="86"/>
      <c r="C30" s="91" t="str">
        <f>IF(ISBLANK(B30),"",VLOOKUP(B30,SÜRELER!$A:$B,2,FALSE))</f>
        <v/>
      </c>
      <c r="D30" s="80"/>
      <c r="E30" s="92">
        <f>IF(ISBLANK($B30),"0",VLOOKUP($B30,SÜRELER!$A:$C,3,FALSE))*(D30-F30)</f>
        <v>0</v>
      </c>
      <c r="F30" s="81"/>
      <c r="G30" s="93" t="e">
        <f>VLOOKUP(B30,'R.H.'!A$3:C$3974,3,FALSE)*D30/100</f>
        <v>#N/A</v>
      </c>
      <c r="H30" s="82" t="e">
        <f t="shared" si="1"/>
        <v>#DIV/0!</v>
      </c>
      <c r="I30" s="87" t="e">
        <f>VLOOKUP(B30,'R.H.'!A$3:C$3974,3,FALSE)/100</f>
        <v>#N/A</v>
      </c>
      <c r="J30" s="83"/>
      <c r="K30" s="92" t="e">
        <f t="shared" si="2"/>
        <v>#DIV/0!</v>
      </c>
      <c r="L30" s="84"/>
      <c r="M30" s="84"/>
      <c r="N30" s="94" t="e">
        <f t="shared" si="3"/>
        <v>#DIV/0!</v>
      </c>
      <c r="O30" s="88" t="e">
        <f t="shared" si="0"/>
        <v>#DIV/0!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25475</v>
      </c>
      <c r="E45" s="26" t="e">
        <f>SUM(E5:E44)</f>
        <v>#N/A</v>
      </c>
      <c r="F45" s="26">
        <f>SUM(F5:F44)</f>
        <v>96</v>
      </c>
      <c r="G45" s="26"/>
      <c r="H45" s="26"/>
      <c r="I45" s="26"/>
      <c r="J45" s="26"/>
      <c r="K45" s="26"/>
      <c r="L45" s="26">
        <f>SUM(L5:L44)</f>
        <v>16013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0.37684003925417076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16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8960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/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8960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25475</v>
      </c>
      <c r="F63" s="24">
        <f>F45</f>
        <v>96</v>
      </c>
      <c r="G63" s="23">
        <f>(F63*1000000)/E63</f>
        <v>3768.4003925417073</v>
      </c>
      <c r="H63" s="22">
        <f>D59</f>
        <v>0</v>
      </c>
      <c r="I63" s="17" t="e">
        <f>N1</f>
        <v>#N/A</v>
      </c>
    </row>
  </sheetData>
  <mergeCells count="15">
    <mergeCell ref="N1:N3"/>
    <mergeCell ref="A2:B3"/>
    <mergeCell ref="E56:N56"/>
    <mergeCell ref="E57:N57"/>
    <mergeCell ref="E49:N49"/>
    <mergeCell ref="E50:N50"/>
    <mergeCell ref="E51:N51"/>
    <mergeCell ref="E53:N53"/>
    <mergeCell ref="E54:N54"/>
    <mergeCell ref="E55:N55"/>
    <mergeCell ref="D46:D47"/>
    <mergeCell ref="E46:F47"/>
    <mergeCell ref="A1:B1"/>
    <mergeCell ref="C1:D2"/>
    <mergeCell ref="H1:H3"/>
  </mergeCells>
  <conditionalFormatting sqref="D3">
    <cfRule type="cellIs" dxfId="134" priority="5" stopIfTrue="1" operator="lessThan">
      <formula>0.95</formula>
    </cfRule>
  </conditionalFormatting>
  <conditionalFormatting sqref="F5:F44">
    <cfRule type="cellIs" dxfId="133" priority="1" stopIfTrue="1" operator="greaterThan">
      <formula>$G5</formula>
    </cfRule>
  </conditionalFormatting>
  <conditionalFormatting sqref="H5:H44">
    <cfRule type="cellIs" dxfId="132" priority="2" stopIfTrue="1" operator="greaterThan">
      <formula>$I$5</formula>
    </cfRule>
  </conditionalFormatting>
  <conditionalFormatting sqref="N1:N3">
    <cfRule type="cellIs" dxfId="131" priority="4" stopIfTrue="1" operator="lessThan">
      <formula>0.8</formula>
    </cfRule>
  </conditionalFormatting>
  <conditionalFormatting sqref="N5:O44">
    <cfRule type="cellIs" dxfId="130" priority="3" stopIfTrue="1" operator="lessThan">
      <formula>0.85</formula>
    </cfRule>
  </conditionalFormatting>
  <hyperlinks>
    <hyperlink ref="P1:P3" location="'Ana Sayfa'!A1" display="ANA SAYFA" xr:uid="{1383797B-2E4A-4E7F-8512-FCFE0C1406FF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1972-A7DA-4852-80EF-C464E6B4C079}">
  <sheetPr codeName="Sayfa6">
    <tabColor theme="0" tint="-0.14999847407452621"/>
    <pageSetUpPr fitToPage="1"/>
  </sheetPr>
  <dimension ref="A1:W63"/>
  <sheetViews>
    <sheetView topLeftCell="A7" workbookViewId="0">
      <selection activeCell="I1" sqref="I1:M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'5'!A1+1</f>
        <v>46209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Pazartesi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11855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1320</v>
      </c>
      <c r="C5" s="91" t="e">
        <f>IF(ISBLANK(B5),"",VLOOKUP(B5,SÜRELER!$A:$B,2,FALSE))</f>
        <v>#N/A</v>
      </c>
      <c r="D5" s="80">
        <v>156</v>
      </c>
      <c r="E5" s="92" t="e">
        <f>IF(ISBLANK($B5),"0",VLOOKUP($B5,SÜRELER!$A:$C,3,FALSE))*(D5-F5)</f>
        <v>#N/A</v>
      </c>
      <c r="F5" s="81">
        <v>0</v>
      </c>
      <c r="G5" s="93" t="e">
        <f>VLOOKUP(B5,'R.H.'!A$3:C$3974,3,FALSE)*D5/100</f>
        <v>#N/A</v>
      </c>
      <c r="H5" s="82">
        <f>F5/D5</f>
        <v>0</v>
      </c>
      <c r="I5" s="87" t="e">
        <f>VLOOKUP(B5,'R.H.'!A$3:C$3974,3,FALSE)/100</f>
        <v>#N/A</v>
      </c>
      <c r="J5" s="83">
        <v>0.5</v>
      </c>
      <c r="K5" s="92" t="e">
        <f>E5/J5</f>
        <v>#N/A</v>
      </c>
      <c r="L5" s="84">
        <v>130</v>
      </c>
      <c r="M5" s="84"/>
      <c r="N5" s="94" t="e">
        <f>K5/L5</f>
        <v>#N/A</v>
      </c>
      <c r="O5" s="88" t="e">
        <f t="shared" ref="O5:O44" si="0">K5/(L5-M5)</f>
        <v>#N/A</v>
      </c>
      <c r="P5" s="193" t="s">
        <v>3414</v>
      </c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1321</v>
      </c>
      <c r="C6" s="91" t="e">
        <f>IF(ISBLANK(B6),"",VLOOKUP(B6,SÜRELER!$A:$B,2,FALSE))</f>
        <v>#N/A</v>
      </c>
      <c r="D6" s="80">
        <v>156</v>
      </c>
      <c r="E6" s="92" t="e">
        <f>IF(ISBLANK($B6),"0",VLOOKUP($B6,SÜRELER!$A:$C,3,FALSE))*(D6-F6)</f>
        <v>#N/A</v>
      </c>
      <c r="F6" s="81">
        <v>0</v>
      </c>
      <c r="G6" s="93" t="e">
        <f>VLOOKUP(B6,'R.H.'!A$3:C$3974,3,FALSE)*D6/100</f>
        <v>#N/A</v>
      </c>
      <c r="H6" s="82">
        <f t="shared" ref="H6:H44" si="1">F6/D6</f>
        <v>0</v>
      </c>
      <c r="I6" s="87" t="e">
        <f>VLOOKUP(B6,'R.H.'!A$3:C$3974,3,FALSE)/100</f>
        <v>#N/A</v>
      </c>
      <c r="J6" s="83">
        <v>0.5</v>
      </c>
      <c r="K6" s="92" t="e">
        <f t="shared" ref="K6:K44" si="2">E6/J6</f>
        <v>#N/A</v>
      </c>
      <c r="L6" s="84">
        <v>130</v>
      </c>
      <c r="M6" s="84"/>
      <c r="N6" s="94" t="e">
        <f t="shared" ref="N6:N44" si="3">K6/L6</f>
        <v>#N/A</v>
      </c>
      <c r="O6" s="88" t="e">
        <f t="shared" si="0"/>
        <v>#N/A</v>
      </c>
      <c r="P6" s="194"/>
      <c r="Q6" s="5"/>
      <c r="R6" s="5"/>
    </row>
    <row r="7" spans="1:23" s="4" customFormat="1" ht="16.5" customHeight="1" x14ac:dyDescent="0.25">
      <c r="A7" s="90">
        <v>3</v>
      </c>
      <c r="B7" s="86">
        <v>1332</v>
      </c>
      <c r="C7" s="91" t="e">
        <f>IF(ISBLANK(B7),"",VLOOKUP(B7,SÜRELER!$A:$B,2,FALSE))</f>
        <v>#N/A</v>
      </c>
      <c r="D7" s="80">
        <v>137</v>
      </c>
      <c r="E7" s="92" t="e">
        <f>IF(ISBLANK($B7),"0",VLOOKUP($B7,SÜRELER!$A:$C,3,FALSE))*(D7-F7)</f>
        <v>#N/A</v>
      </c>
      <c r="F7" s="81">
        <v>0</v>
      </c>
      <c r="G7" s="93" t="e">
        <f>VLOOKUP(B7,'R.H.'!A$3:C$3974,3,FALSE)*D7/100</f>
        <v>#N/A</v>
      </c>
      <c r="H7" s="82">
        <f t="shared" si="1"/>
        <v>0</v>
      </c>
      <c r="I7" s="87" t="e">
        <f>VLOOKUP(B7,'R.H.'!A$3:C$3974,3,FALSE)/100</f>
        <v>#N/A</v>
      </c>
      <c r="J7" s="83">
        <v>0.5</v>
      </c>
      <c r="K7" s="92" t="e">
        <f t="shared" si="2"/>
        <v>#N/A</v>
      </c>
      <c r="L7" s="84">
        <v>160</v>
      </c>
      <c r="M7" s="84"/>
      <c r="N7" s="94" t="e">
        <f t="shared" si="3"/>
        <v>#N/A</v>
      </c>
      <c r="O7" s="88" t="e">
        <f t="shared" si="0"/>
        <v>#N/A</v>
      </c>
      <c r="P7" s="193" t="s">
        <v>3415</v>
      </c>
      <c r="Q7" s="5"/>
      <c r="R7" s="5"/>
    </row>
    <row r="8" spans="1:23" s="4" customFormat="1" ht="16.5" customHeight="1" x14ac:dyDescent="0.25">
      <c r="A8" s="85">
        <v>4</v>
      </c>
      <c r="B8" s="86">
        <v>1333</v>
      </c>
      <c r="C8" s="91" t="e">
        <f>IF(ISBLANK(B8),"",VLOOKUP(B8,SÜRELER!$A:$B,2,FALSE))</f>
        <v>#N/A</v>
      </c>
      <c r="D8" s="80">
        <v>137</v>
      </c>
      <c r="E8" s="92" t="e">
        <f>IF(ISBLANK($B8),"0",VLOOKUP($B8,SÜRELER!$A:$C,3,FALSE))*(D8-F8)</f>
        <v>#N/A</v>
      </c>
      <c r="F8" s="81">
        <v>0</v>
      </c>
      <c r="G8" s="93" t="e">
        <f>VLOOKUP(B8,'R.H.'!A$3:C$3974,3,FALSE)*D8/100</f>
        <v>#N/A</v>
      </c>
      <c r="H8" s="82">
        <f t="shared" si="1"/>
        <v>0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160</v>
      </c>
      <c r="M8" s="84"/>
      <c r="N8" s="94" t="e">
        <f t="shared" si="3"/>
        <v>#N/A</v>
      </c>
      <c r="O8" s="88" t="e">
        <f t="shared" si="0"/>
        <v>#N/A</v>
      </c>
      <c r="P8" s="194"/>
      <c r="Q8" s="5"/>
      <c r="R8" s="5"/>
    </row>
    <row r="9" spans="1:23" s="4" customFormat="1" ht="16.5" x14ac:dyDescent="0.25">
      <c r="A9" s="90">
        <v>5</v>
      </c>
      <c r="B9" s="86">
        <v>1330</v>
      </c>
      <c r="C9" s="91" t="e">
        <f>IF(ISBLANK(B9),"",VLOOKUP(B9,SÜRELER!$A:$B,2,FALSE))</f>
        <v>#N/A</v>
      </c>
      <c r="D9" s="80">
        <v>165</v>
      </c>
      <c r="E9" s="92" t="e">
        <f>IF(ISBLANK($B9),"0",VLOOKUP($B9,SÜRELER!$A:$C,3,FALSE))*(D9-F9)</f>
        <v>#N/A</v>
      </c>
      <c r="F9" s="81">
        <v>5</v>
      </c>
      <c r="G9" s="93" t="e">
        <f>VLOOKUP(B9,'R.H.'!A$3:C$3974,3,FALSE)*D9/100</f>
        <v>#N/A</v>
      </c>
      <c r="H9" s="82">
        <f t="shared" si="1"/>
        <v>3.0303030303030304E-2</v>
      </c>
      <c r="I9" s="87" t="e">
        <f>VLOOKUP(B9,'R.H.'!A$3:C$3974,3,FALSE)/100</f>
        <v>#N/A</v>
      </c>
      <c r="J9" s="83">
        <v>0.5</v>
      </c>
      <c r="K9" s="92" t="e">
        <f t="shared" si="2"/>
        <v>#N/A</v>
      </c>
      <c r="L9" s="84">
        <v>90</v>
      </c>
      <c r="M9" s="84"/>
      <c r="N9" s="94" t="e">
        <f t="shared" si="3"/>
        <v>#N/A</v>
      </c>
      <c r="O9" s="88" t="e">
        <f t="shared" si="0"/>
        <v>#N/A</v>
      </c>
      <c r="P9" s="193" t="s">
        <v>3416</v>
      </c>
      <c r="Q9" s="5"/>
      <c r="R9" s="5"/>
    </row>
    <row r="10" spans="1:23" s="4" customFormat="1" ht="16.5" customHeight="1" x14ac:dyDescent="0.25">
      <c r="A10" s="85">
        <v>6</v>
      </c>
      <c r="B10" s="86">
        <v>1331</v>
      </c>
      <c r="C10" s="91" t="e">
        <f>IF(ISBLANK(B10),"",VLOOKUP(B10,SÜRELER!$A:$B,2,FALSE))</f>
        <v>#N/A</v>
      </c>
      <c r="D10" s="80">
        <v>165</v>
      </c>
      <c r="E10" s="92" t="e">
        <f>IF(ISBLANK($B10),"0",VLOOKUP($B10,SÜRELER!$A:$C,3,FALSE))*(D10-F10)</f>
        <v>#N/A</v>
      </c>
      <c r="F10" s="81">
        <v>5</v>
      </c>
      <c r="G10" s="93" t="e">
        <f>VLOOKUP(B10,'R.H.'!A$3:C$3974,3,FALSE)*D10/100</f>
        <v>#N/A</v>
      </c>
      <c r="H10" s="82">
        <f t="shared" si="1"/>
        <v>3.0303030303030304E-2</v>
      </c>
      <c r="I10" s="87" t="e">
        <f>VLOOKUP(B10,'R.H.'!A$3:C$3974,3,FALSE)/100</f>
        <v>#N/A</v>
      </c>
      <c r="J10" s="83">
        <v>0.5</v>
      </c>
      <c r="K10" s="92" t="e">
        <f t="shared" si="2"/>
        <v>#N/A</v>
      </c>
      <c r="L10" s="84">
        <v>90</v>
      </c>
      <c r="M10" s="84"/>
      <c r="N10" s="94" t="e">
        <f t="shared" si="3"/>
        <v>#N/A</v>
      </c>
      <c r="O10" s="88" t="e">
        <f t="shared" si="0"/>
        <v>#N/A</v>
      </c>
      <c r="P10" s="194"/>
      <c r="Q10" s="5"/>
      <c r="R10" s="5"/>
    </row>
    <row r="11" spans="1:23" s="4" customFormat="1" ht="16.75" customHeight="1" x14ac:dyDescent="0.25">
      <c r="A11" s="90">
        <v>7</v>
      </c>
      <c r="B11" s="86">
        <v>2079</v>
      </c>
      <c r="C11" s="91" t="e">
        <f>IF(ISBLANK(B11),"",VLOOKUP(B11,SÜRELER!$A:$B,2,FALSE))</f>
        <v>#N/A</v>
      </c>
      <c r="D11" s="80">
        <f>240+665</f>
        <v>905</v>
      </c>
      <c r="E11" s="92" t="e">
        <f>IF(ISBLANK($B11),"0",VLOOKUP($B11,SÜRELER!$A:$C,3,FALSE))*(D11-F11)</f>
        <v>#N/A</v>
      </c>
      <c r="F11" s="81"/>
      <c r="G11" s="93" t="e">
        <f>VLOOKUP(B11,'R.H.'!A$3:C$3974,3,FALSE)*D11/100</f>
        <v>#N/A</v>
      </c>
      <c r="H11" s="82">
        <f t="shared" si="1"/>
        <v>0</v>
      </c>
      <c r="I11" s="87" t="e">
        <f>VLOOKUP(B11,'R.H.'!A$3:C$3974,3,FALSE)/100</f>
        <v>#N/A</v>
      </c>
      <c r="J11" s="83">
        <v>0.5</v>
      </c>
      <c r="K11" s="92" t="e">
        <f t="shared" si="2"/>
        <v>#N/A</v>
      </c>
      <c r="L11" s="84">
        <v>1510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118</v>
      </c>
      <c r="C12" s="91" t="e">
        <f>IF(ISBLANK(B12),"",VLOOKUP(B12,SÜRELER!$A:$B,2,FALSE))</f>
        <v>#N/A</v>
      </c>
      <c r="D12" s="80">
        <f>413+357</f>
        <v>770</v>
      </c>
      <c r="E12" s="92" t="e">
        <f>IF(ISBLANK($B12),"0",VLOOKUP($B12,SÜRELER!$A:$C,3,FALSE))*(D12-F12)</f>
        <v>#N/A</v>
      </c>
      <c r="F12" s="81">
        <v>9</v>
      </c>
      <c r="G12" s="93" t="e">
        <f>VLOOKUP(B12,'R.H.'!A$3:C$3974,3,FALSE)*D12/100</f>
        <v>#N/A</v>
      </c>
      <c r="H12" s="82">
        <f t="shared" si="1"/>
        <v>1.1688311688311689E-2</v>
      </c>
      <c r="I12" s="87" t="e">
        <f>VLOOKUP(B12,'R.H.'!A$3:C$3974,3,FALSE)/100</f>
        <v>#N/A</v>
      </c>
      <c r="J12" s="83">
        <v>0.5</v>
      </c>
      <c r="K12" s="92" t="e">
        <f t="shared" si="2"/>
        <v>#N/A</v>
      </c>
      <c r="L12" s="84">
        <v>770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119</v>
      </c>
      <c r="C13" s="91" t="e">
        <f>IF(ISBLANK(B13),"",VLOOKUP(B13,SÜRELER!$A:$B,2,FALSE))</f>
        <v>#N/A</v>
      </c>
      <c r="D13" s="80">
        <v>770</v>
      </c>
      <c r="E13" s="92" t="e">
        <f>IF(ISBLANK($B13),"0",VLOOKUP($B13,SÜRELER!$A:$C,3,FALSE))*(D13-F13)</f>
        <v>#N/A</v>
      </c>
      <c r="F13" s="81">
        <v>9</v>
      </c>
      <c r="G13" s="93" t="e">
        <f>VLOOKUP(B13,'R.H.'!A$3:C$3974,3,FALSE)*D13/100</f>
        <v>#N/A</v>
      </c>
      <c r="H13" s="82">
        <f t="shared" si="1"/>
        <v>1.1688311688311689E-2</v>
      </c>
      <c r="I13" s="87" t="e">
        <f>VLOOKUP(B13,'R.H.'!A$3:C$3974,3,FALSE)/100</f>
        <v>#N/A</v>
      </c>
      <c r="J13" s="83">
        <v>0.5</v>
      </c>
      <c r="K13" s="92" t="e">
        <f t="shared" si="2"/>
        <v>#N/A</v>
      </c>
      <c r="L13" s="84">
        <v>770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87</v>
      </c>
      <c r="C14" s="91" t="e">
        <f>IF(ISBLANK(B14),"",VLOOKUP(B14,SÜRELER!$A:$B,2,FALSE))</f>
        <v>#N/A</v>
      </c>
      <c r="D14" s="80">
        <f>239+264</f>
        <v>503</v>
      </c>
      <c r="E14" s="92" t="e">
        <f>IF(ISBLANK($B14),"0",VLOOKUP($B14,SÜRELER!$A:$C,3,FALSE))*(D14-F14)</f>
        <v>#N/A</v>
      </c>
      <c r="F14" s="81">
        <v>8</v>
      </c>
      <c r="G14" s="93" t="e">
        <f>VLOOKUP(B14,'R.H.'!A$3:C$3974,3,FALSE)*D14/100</f>
        <v>#N/A</v>
      </c>
      <c r="H14" s="82">
        <f t="shared" si="1"/>
        <v>1.5904572564612324E-2</v>
      </c>
      <c r="I14" s="87" t="e">
        <f>VLOOKUP(B14,'R.H.'!A$3:C$3974,3,FALSE)/100</f>
        <v>#N/A</v>
      </c>
      <c r="J14" s="83">
        <v>1</v>
      </c>
      <c r="K14" s="92" t="e">
        <f t="shared" si="2"/>
        <v>#N/A</v>
      </c>
      <c r="L14" s="84">
        <v>335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88</v>
      </c>
      <c r="C15" s="91" t="e">
        <f>IF(ISBLANK(B15),"",VLOOKUP(B15,SÜRELER!$A:$B,2,FALSE))</f>
        <v>#N/A</v>
      </c>
      <c r="D15" s="80">
        <v>503</v>
      </c>
      <c r="E15" s="92" t="e">
        <f>IF(ISBLANK($B15),"0",VLOOKUP($B15,SÜRELER!$A:$C,3,FALSE))*(D15-F15)</f>
        <v>#N/A</v>
      </c>
      <c r="F15" s="81">
        <v>8</v>
      </c>
      <c r="G15" s="93" t="e">
        <f>VLOOKUP(B15,'R.H.'!A$3:C$3974,3,FALSE)*D15/100</f>
        <v>#N/A</v>
      </c>
      <c r="H15" s="82">
        <f t="shared" si="1"/>
        <v>1.5904572564612324E-2</v>
      </c>
      <c r="I15" s="87" t="e">
        <f>VLOOKUP(B15,'R.H.'!A$3:C$3974,3,FALSE)/100</f>
        <v>#N/A</v>
      </c>
      <c r="J15" s="83">
        <v>1</v>
      </c>
      <c r="K15" s="92" t="e">
        <f t="shared" si="2"/>
        <v>#N/A</v>
      </c>
      <c r="L15" s="84">
        <v>335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712</v>
      </c>
      <c r="C16" s="91" t="e">
        <f>IF(ISBLANK(B16),"",VLOOKUP(B16,SÜRELER!$A:$B,2,FALSE))</f>
        <v>#N/A</v>
      </c>
      <c r="D16" s="80">
        <f>248+294</f>
        <v>542</v>
      </c>
      <c r="E16" s="92" t="e">
        <f>IF(ISBLANK($B16),"0",VLOOKUP($B16,SÜRELER!$A:$C,3,FALSE))*(D16-F16)</f>
        <v>#N/A</v>
      </c>
      <c r="F16" s="81">
        <v>18</v>
      </c>
      <c r="G16" s="93" t="e">
        <f>VLOOKUP(B16,'R.H.'!A$3:C$3974,3,FALSE)*D16/100</f>
        <v>#N/A</v>
      </c>
      <c r="H16" s="82">
        <f t="shared" si="1"/>
        <v>3.3210332103321034E-2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720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713</v>
      </c>
      <c r="C17" s="91" t="e">
        <f>IF(ISBLANK(B17),"",VLOOKUP(B17,SÜRELER!$A:$B,2,FALSE))</f>
        <v>#N/A</v>
      </c>
      <c r="D17" s="80">
        <v>542</v>
      </c>
      <c r="E17" s="92" t="e">
        <f>IF(ISBLANK($B17),"0",VLOOKUP($B17,SÜRELER!$A:$C,3,FALSE))*(D17-F17)</f>
        <v>#N/A</v>
      </c>
      <c r="F17" s="81">
        <v>18</v>
      </c>
      <c r="G17" s="93" t="e">
        <f>VLOOKUP(B17,'R.H.'!A$3:C$3974,3,FALSE)*D17/100</f>
        <v>#N/A</v>
      </c>
      <c r="H17" s="82">
        <f t="shared" si="1"/>
        <v>3.3210332103321034E-2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720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1334</v>
      </c>
      <c r="C18" s="91" t="e">
        <f>IF(ISBLANK(B18),"",VLOOKUP(B18,SÜRELER!$A:$B,2,FALSE))</f>
        <v>#N/A</v>
      </c>
      <c r="D18" s="80">
        <v>230</v>
      </c>
      <c r="E18" s="92" t="e">
        <f>IF(ISBLANK($B18),"0",VLOOKUP($B18,SÜRELER!$A:$C,3,FALSE))*(D18-F18)</f>
        <v>#N/A</v>
      </c>
      <c r="F18" s="81">
        <v>0</v>
      </c>
      <c r="G18" s="93" t="e">
        <f>VLOOKUP(B18,'R.H.'!A$3:C$3974,3,FALSE)*D18/100</f>
        <v>#N/A</v>
      </c>
      <c r="H18" s="82">
        <f t="shared" si="1"/>
        <v>0</v>
      </c>
      <c r="I18" s="87" t="e">
        <f>VLOOKUP(B18,'R.H.'!A$3:C$3974,3,FALSE)/100</f>
        <v>#N/A</v>
      </c>
      <c r="J18" s="83">
        <v>0.5</v>
      </c>
      <c r="K18" s="92" t="e">
        <f t="shared" si="2"/>
        <v>#N/A</v>
      </c>
      <c r="L18" s="84">
        <v>195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1335</v>
      </c>
      <c r="C19" s="91" t="e">
        <f>IF(ISBLANK(B19),"",VLOOKUP(B19,SÜRELER!$A:$B,2,FALSE))</f>
        <v>#N/A</v>
      </c>
      <c r="D19" s="80">
        <v>230</v>
      </c>
      <c r="E19" s="92" t="e">
        <f>IF(ISBLANK($B19),"0",VLOOKUP($B19,SÜRELER!$A:$C,3,FALSE))*(D19-F19)</f>
        <v>#N/A</v>
      </c>
      <c r="F19" s="81">
        <v>0</v>
      </c>
      <c r="G19" s="93" t="e">
        <f>VLOOKUP(B19,'R.H.'!A$3:C$3974,3,FALSE)*D19/100</f>
        <v>#N/A</v>
      </c>
      <c r="H19" s="82">
        <f t="shared" si="1"/>
        <v>0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195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714</v>
      </c>
      <c r="C20" s="91" t="e">
        <f>IF(ISBLANK(B20),"",VLOOKUP(B20,SÜRELER!$A:$B,2,FALSE))</f>
        <v>#N/A</v>
      </c>
      <c r="D20" s="80">
        <f>330+246</f>
        <v>576</v>
      </c>
      <c r="E20" s="92" t="e">
        <f>IF(ISBLANK($B20),"0",VLOOKUP($B20,SÜRELER!$A:$C,3,FALSE))*(D20-F20)</f>
        <v>#N/A</v>
      </c>
      <c r="F20" s="81">
        <v>6</v>
      </c>
      <c r="G20" s="93" t="e">
        <f>VLOOKUP(B20,'R.H.'!A$3:C$3974,3,FALSE)*D20/100</f>
        <v>#N/A</v>
      </c>
      <c r="H20" s="82">
        <f t="shared" si="1"/>
        <v>1.0416666666666666E-2</v>
      </c>
      <c r="I20" s="87" t="e">
        <f>VLOOKUP(B20,'R.H.'!A$3:C$3974,3,FALSE)/100</f>
        <v>#N/A</v>
      </c>
      <c r="J20" s="83">
        <v>0.17</v>
      </c>
      <c r="K20" s="92" t="e">
        <f t="shared" si="2"/>
        <v>#N/A</v>
      </c>
      <c r="L20" s="84">
        <v>1680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715</v>
      </c>
      <c r="C21" s="91" t="e">
        <f>IF(ISBLANK(B21),"",VLOOKUP(B21,SÜRELER!$A:$B,2,FALSE))</f>
        <v>#N/A</v>
      </c>
      <c r="D21" s="80">
        <v>576</v>
      </c>
      <c r="E21" s="92" t="e">
        <f>IF(ISBLANK($B21),"0",VLOOKUP($B21,SÜRELER!$A:$C,3,FALSE))*(D21-F21)</f>
        <v>#N/A</v>
      </c>
      <c r="F21" s="81">
        <v>6</v>
      </c>
      <c r="G21" s="93" t="e">
        <f>VLOOKUP(B21,'R.H.'!A$3:C$3974,3,FALSE)*D21/100</f>
        <v>#N/A</v>
      </c>
      <c r="H21" s="82">
        <f t="shared" si="1"/>
        <v>1.0416666666666666E-2</v>
      </c>
      <c r="I21" s="87" t="e">
        <f>VLOOKUP(B21,'R.H.'!A$3:C$3974,3,FALSE)/100</f>
        <v>#N/A</v>
      </c>
      <c r="J21" s="83">
        <v>0.17</v>
      </c>
      <c r="K21" s="92" t="e">
        <f t="shared" si="2"/>
        <v>#N/A</v>
      </c>
      <c r="L21" s="84">
        <v>1680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1112</v>
      </c>
      <c r="C22" s="91" t="e">
        <f>IF(ISBLANK(B22),"",VLOOKUP(B22,SÜRELER!$A:$B,2,FALSE))</f>
        <v>#N/A</v>
      </c>
      <c r="D22" s="80">
        <v>880</v>
      </c>
      <c r="E22" s="92" t="e">
        <f>IF(ISBLANK($B22),"0",VLOOKUP($B22,SÜRELER!$A:$C,3,FALSE))*(D22-F22)</f>
        <v>#N/A</v>
      </c>
      <c r="F22" s="81">
        <v>0</v>
      </c>
      <c r="G22" s="93" t="e">
        <f>VLOOKUP(B22,'R.H.'!A$3:C$3974,3,FALSE)*D22/100</f>
        <v>#N/A</v>
      </c>
      <c r="H22" s="82">
        <f t="shared" si="1"/>
        <v>0</v>
      </c>
      <c r="I22" s="87" t="e">
        <f>VLOOKUP(B22,'R.H.'!A$3:C$3974,3,FALSE)/100</f>
        <v>#N/A</v>
      </c>
      <c r="J22" s="83">
        <v>0.17</v>
      </c>
      <c r="K22" s="92" t="e">
        <f t="shared" si="2"/>
        <v>#N/A</v>
      </c>
      <c r="L22" s="84">
        <v>1720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742</v>
      </c>
      <c r="C23" s="91" t="e">
        <f>IF(ISBLANK(B23),"",VLOOKUP(B23,SÜRELER!$A:$B,2,FALSE))</f>
        <v>#N/A</v>
      </c>
      <c r="D23" s="80">
        <f>436+312</f>
        <v>748</v>
      </c>
      <c r="E23" s="92" t="e">
        <f>IF(ISBLANK($B23),"0",VLOOKUP($B23,SÜRELER!$A:$C,3,FALSE))*(D23-F23)</f>
        <v>#N/A</v>
      </c>
      <c r="F23" s="81">
        <v>4</v>
      </c>
      <c r="G23" s="93" t="e">
        <f>VLOOKUP(B23,'R.H.'!A$3:C$3974,3,FALSE)*D23/100</f>
        <v>#N/A</v>
      </c>
      <c r="H23" s="82">
        <f t="shared" si="1"/>
        <v>5.3475935828877002E-3</v>
      </c>
      <c r="I23" s="87" t="e">
        <f>VLOOKUP(B23,'R.H.'!A$3:C$3974,3,FALSE)/100</f>
        <v>#N/A</v>
      </c>
      <c r="J23" s="83">
        <v>0.17</v>
      </c>
      <c r="K23" s="92" t="e">
        <f t="shared" si="2"/>
        <v>#N/A</v>
      </c>
      <c r="L23" s="84">
        <v>1845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743</v>
      </c>
      <c r="C24" s="91" t="e">
        <f>IF(ISBLANK(B24),"",VLOOKUP(B24,SÜRELER!$A:$B,2,FALSE))</f>
        <v>#N/A</v>
      </c>
      <c r="D24" s="80">
        <v>748</v>
      </c>
      <c r="E24" s="92" t="e">
        <f>IF(ISBLANK($B24),"0",VLOOKUP($B24,SÜRELER!$A:$C,3,FALSE))*(D24-F24)</f>
        <v>#N/A</v>
      </c>
      <c r="F24" s="81">
        <v>4</v>
      </c>
      <c r="G24" s="93" t="e">
        <f>VLOOKUP(B24,'R.H.'!A$3:C$3974,3,FALSE)*D24/100</f>
        <v>#N/A</v>
      </c>
      <c r="H24" s="82">
        <f t="shared" si="1"/>
        <v>5.3475935828877002E-3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635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287</v>
      </c>
      <c r="C25" s="91" t="e">
        <f>IF(ISBLANK(B25),"",VLOOKUP(B25,SÜRELER!$A:$B,2,FALSE))</f>
        <v>#N/A</v>
      </c>
      <c r="D25" s="80">
        <v>804</v>
      </c>
      <c r="E25" s="92" t="e">
        <f>IF(ISBLANK($B25),"0",VLOOKUP($B25,SÜRELER!$A:$C,3,FALSE))*(D25-F25)</f>
        <v>#N/A</v>
      </c>
      <c r="F25" s="81">
        <v>4</v>
      </c>
      <c r="G25" s="93" t="e">
        <f>VLOOKUP(B25,'R.H.'!A$3:C$3974,3,FALSE)*D25/100</f>
        <v>#N/A</v>
      </c>
      <c r="H25" s="82">
        <f t="shared" si="1"/>
        <v>4.9751243781094526E-3</v>
      </c>
      <c r="I25" s="87" t="e">
        <f>VLOOKUP(B25,'R.H.'!A$3:C$3974,3,FALSE)/100</f>
        <v>#N/A</v>
      </c>
      <c r="J25" s="83">
        <v>0.5</v>
      </c>
      <c r="K25" s="92" t="e">
        <f t="shared" si="2"/>
        <v>#N/A</v>
      </c>
      <c r="L25" s="84">
        <v>680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288</v>
      </c>
      <c r="C26" s="91" t="e">
        <f>IF(ISBLANK(B26),"",VLOOKUP(B26,SÜRELER!$A:$B,2,FALSE))</f>
        <v>#N/A</v>
      </c>
      <c r="D26" s="80">
        <v>804</v>
      </c>
      <c r="E26" s="92" t="e">
        <f>IF(ISBLANK($B26),"0",VLOOKUP($B26,SÜRELER!$A:$C,3,FALSE))*(D26-F26)</f>
        <v>#N/A</v>
      </c>
      <c r="F26" s="81">
        <v>4</v>
      </c>
      <c r="G26" s="93" t="e">
        <f>VLOOKUP(B26,'R.H.'!A$3:C$3974,3,FALSE)*D26/100</f>
        <v>#N/A</v>
      </c>
      <c r="H26" s="82">
        <f t="shared" si="1"/>
        <v>4.9751243781094526E-3</v>
      </c>
      <c r="I26" s="87" t="e">
        <f>VLOOKUP(B26,'R.H.'!A$3:C$3974,3,FALSE)/100</f>
        <v>#N/A</v>
      </c>
      <c r="J26" s="83">
        <v>0.5</v>
      </c>
      <c r="K26" s="92" t="e">
        <f t="shared" si="2"/>
        <v>#N/A</v>
      </c>
      <c r="L26" s="84">
        <v>680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9110</v>
      </c>
      <c r="C27" s="91" t="e">
        <f>IF(ISBLANK(B27),"",VLOOKUP(B27,SÜRELER!$A:$B,2,FALSE))</f>
        <v>#N/A</v>
      </c>
      <c r="D27" s="80">
        <v>404</v>
      </c>
      <c r="E27" s="92" t="e">
        <f>IF(ISBLANK($B27),"0",VLOOKUP($B27,SÜRELER!$A:$C,3,FALSE))*(D27-F27)</f>
        <v>#N/A</v>
      </c>
      <c r="F27" s="81">
        <v>12</v>
      </c>
      <c r="G27" s="93" t="e">
        <f>VLOOKUP(B27,'R.H.'!A$3:C$3974,3,FALSE)*D27/100</f>
        <v>#N/A</v>
      </c>
      <c r="H27" s="82">
        <f t="shared" si="1"/>
        <v>2.9702970297029702E-2</v>
      </c>
      <c r="I27" s="87" t="e">
        <f>VLOOKUP(B27,'R.H.'!A$3:C$3974,3,FALSE)/100</f>
        <v>#N/A</v>
      </c>
      <c r="J27" s="83">
        <v>0.5</v>
      </c>
      <c r="K27" s="92" t="e">
        <f t="shared" si="2"/>
        <v>#N/A</v>
      </c>
      <c r="L27" s="84">
        <v>320</v>
      </c>
      <c r="M27" s="84"/>
      <c r="N27" s="94" t="e">
        <f t="shared" si="3"/>
        <v>#N/A</v>
      </c>
      <c r="O27" s="88" t="e">
        <f t="shared" si="0"/>
        <v>#N/A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>
        <v>9120</v>
      </c>
      <c r="C28" s="91" t="e">
        <f>IF(ISBLANK(B28),"",VLOOKUP(B28,SÜRELER!$A:$B,2,FALSE))</f>
        <v>#N/A</v>
      </c>
      <c r="D28" s="80">
        <v>404</v>
      </c>
      <c r="E28" s="92" t="e">
        <f>IF(ISBLANK($B28),"0",VLOOKUP($B28,SÜRELER!$A:$C,3,FALSE))*(D28-F28)</f>
        <v>#N/A</v>
      </c>
      <c r="F28" s="81">
        <v>0</v>
      </c>
      <c r="G28" s="93" t="e">
        <f>VLOOKUP(B28,'R.H.'!A$3:C$3974,3,FALSE)*D28/100</f>
        <v>#N/A</v>
      </c>
      <c r="H28" s="82">
        <f t="shared" si="1"/>
        <v>0</v>
      </c>
      <c r="I28" s="87" t="e">
        <f>VLOOKUP(B28,'R.H.'!A$3:C$3974,3,FALSE)/100</f>
        <v>#N/A</v>
      </c>
      <c r="J28" s="83">
        <v>1</v>
      </c>
      <c r="K28" s="92" t="e">
        <f t="shared" si="2"/>
        <v>#N/A</v>
      </c>
      <c r="L28" s="84">
        <v>165</v>
      </c>
      <c r="M28" s="84"/>
      <c r="N28" s="94" t="e">
        <f t="shared" si="3"/>
        <v>#N/A</v>
      </c>
      <c r="O28" s="88" t="e">
        <f t="shared" si="0"/>
        <v>#N/A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/>
      <c r="C29" s="91" t="str">
        <f>IF(ISBLANK(B29),"",VLOOKUP(B29,SÜRELER!$A:$B,2,FALSE))</f>
        <v/>
      </c>
      <c r="D29" s="80"/>
      <c r="E29" s="92">
        <f>IF(ISBLANK($B29),"0",VLOOKUP($B29,SÜRELER!$A:$C,3,FALSE))*(D29-F29)</f>
        <v>0</v>
      </c>
      <c r="F29" s="81"/>
      <c r="G29" s="93" t="e">
        <f>VLOOKUP(B29,'R.H.'!A$3:C$3974,3,FALSE)*D29/100</f>
        <v>#N/A</v>
      </c>
      <c r="H29" s="82" t="e">
        <f t="shared" si="1"/>
        <v>#DIV/0!</v>
      </c>
      <c r="I29" s="87" t="e">
        <f>VLOOKUP(B29,'R.H.'!A$3:C$3974,3,FALSE)/100</f>
        <v>#N/A</v>
      </c>
      <c r="J29" s="83"/>
      <c r="K29" s="92" t="e">
        <f t="shared" si="2"/>
        <v>#DIV/0!</v>
      </c>
      <c r="L29" s="84"/>
      <c r="M29" s="84"/>
      <c r="N29" s="94" t="e">
        <f t="shared" si="3"/>
        <v>#DIV/0!</v>
      </c>
      <c r="O29" s="88" t="e">
        <f t="shared" si="0"/>
        <v>#DIV/0!</v>
      </c>
      <c r="P29" s="119"/>
      <c r="Q29" s="5"/>
      <c r="R29" s="5"/>
    </row>
    <row r="30" spans="1:18" s="4" customFormat="1" ht="16.5" x14ac:dyDescent="0.25">
      <c r="A30" s="85">
        <v>26</v>
      </c>
      <c r="B30" s="86"/>
      <c r="C30" s="91" t="str">
        <f>IF(ISBLANK(B30),"",VLOOKUP(B30,SÜRELER!$A:$B,2,FALSE))</f>
        <v/>
      </c>
      <c r="D30" s="80"/>
      <c r="E30" s="92">
        <f>IF(ISBLANK($B30),"0",VLOOKUP($B30,SÜRELER!$A:$C,3,FALSE))*(D30-F30)</f>
        <v>0</v>
      </c>
      <c r="F30" s="81"/>
      <c r="G30" s="93" t="e">
        <f>VLOOKUP(B30,'R.H.'!A$3:C$3974,3,FALSE)*D30/100</f>
        <v>#N/A</v>
      </c>
      <c r="H30" s="82" t="e">
        <f t="shared" si="1"/>
        <v>#DIV/0!</v>
      </c>
      <c r="I30" s="87" t="e">
        <f>VLOOKUP(B30,'R.H.'!A$3:C$3974,3,FALSE)/100</f>
        <v>#N/A</v>
      </c>
      <c r="J30" s="83"/>
      <c r="K30" s="92" t="e">
        <f t="shared" si="2"/>
        <v>#DIV/0!</v>
      </c>
      <c r="L30" s="84"/>
      <c r="M30" s="84"/>
      <c r="N30" s="94" t="e">
        <f t="shared" si="3"/>
        <v>#DIV/0!</v>
      </c>
      <c r="O30" s="88" t="e">
        <f t="shared" si="0"/>
        <v>#DIV/0!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11855</v>
      </c>
      <c r="E45" s="26" t="e">
        <f>SUM(E5:E44)</f>
        <v>#N/A</v>
      </c>
      <c r="F45" s="26">
        <f>SUM(F5:F44)</f>
        <v>120</v>
      </c>
      <c r="G45" s="26"/>
      <c r="H45" s="26"/>
      <c r="I45" s="26"/>
      <c r="J45" s="26"/>
      <c r="K45" s="26"/>
      <c r="L45" s="26">
        <f>SUM(L5:L44)</f>
        <v>15715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1.0122311261071277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10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6380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>
        <v>150</v>
      </c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6230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150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11855</v>
      </c>
      <c r="F63" s="24">
        <f>F45</f>
        <v>120</v>
      </c>
      <c r="G63" s="23">
        <f>(F63*1000000)/E63</f>
        <v>10122.311261071278</v>
      </c>
      <c r="H63" s="22">
        <f>D59</f>
        <v>150</v>
      </c>
      <c r="I63" s="17" t="e">
        <f>N1</f>
        <v>#N/A</v>
      </c>
    </row>
  </sheetData>
  <mergeCells count="18">
    <mergeCell ref="P5:P6"/>
    <mergeCell ref="P7:P8"/>
    <mergeCell ref="P9:P10"/>
    <mergeCell ref="N1:N3"/>
    <mergeCell ref="A2:B3"/>
    <mergeCell ref="E56:N56"/>
    <mergeCell ref="E57:N57"/>
    <mergeCell ref="E49:N49"/>
    <mergeCell ref="E50:N50"/>
    <mergeCell ref="E51:N51"/>
    <mergeCell ref="E53:N53"/>
    <mergeCell ref="E54:N54"/>
    <mergeCell ref="E55:N55"/>
    <mergeCell ref="D46:D47"/>
    <mergeCell ref="E46:F47"/>
    <mergeCell ref="A1:B1"/>
    <mergeCell ref="C1:D2"/>
    <mergeCell ref="H1:H3"/>
  </mergeCells>
  <conditionalFormatting sqref="D3">
    <cfRule type="cellIs" dxfId="129" priority="5" stopIfTrue="1" operator="lessThan">
      <formula>0.95</formula>
    </cfRule>
  </conditionalFormatting>
  <conditionalFormatting sqref="F5:F44">
    <cfRule type="cellIs" dxfId="128" priority="1" stopIfTrue="1" operator="greaterThan">
      <formula>$G5</formula>
    </cfRule>
  </conditionalFormatting>
  <conditionalFormatting sqref="H5:H44">
    <cfRule type="cellIs" dxfId="127" priority="2" stopIfTrue="1" operator="greaterThan">
      <formula>$I$5</formula>
    </cfRule>
  </conditionalFormatting>
  <conditionalFormatting sqref="N1:N3">
    <cfRule type="cellIs" dxfId="126" priority="4" stopIfTrue="1" operator="lessThan">
      <formula>0.8</formula>
    </cfRule>
  </conditionalFormatting>
  <conditionalFormatting sqref="N5:O44">
    <cfRule type="cellIs" dxfId="125" priority="3" stopIfTrue="1" operator="lessThan">
      <formula>0.85</formula>
    </cfRule>
  </conditionalFormatting>
  <hyperlinks>
    <hyperlink ref="P1:P3" location="'Ana Sayfa'!A1" display="ANA SAYFA" xr:uid="{FFADB6F0-2AC8-403B-937C-AD93797918AD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94BD4-CBD8-4B48-B2F0-E5D46F00DC01}">
  <sheetPr codeName="Sayfa7">
    <tabColor theme="0" tint="-0.14999847407452621"/>
    <pageSetUpPr fitToPage="1"/>
  </sheetPr>
  <dimension ref="A1:W63"/>
  <sheetViews>
    <sheetView workbookViewId="0">
      <selection activeCell="I1" sqref="I1:M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'6'!A1+1</f>
        <v>46210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Salı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20262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714</v>
      </c>
      <c r="C5" s="91" t="e">
        <f>IF(ISBLANK(B5),"",VLOOKUP(B5,SÜRELER!$A:$B,2,FALSE))</f>
        <v>#N/A</v>
      </c>
      <c r="D5" s="80">
        <f>616+486</f>
        <v>1102</v>
      </c>
      <c r="E5" s="92" t="e">
        <f>IF(ISBLANK($B5),"0",VLOOKUP($B5,SÜRELER!$A:$C,3,FALSE))*(D5-F5)</f>
        <v>#N/A</v>
      </c>
      <c r="F5" s="81">
        <v>14</v>
      </c>
      <c r="G5" s="93" t="e">
        <f>VLOOKUP(B5,'R.H.'!A$3:C$3974,3,FALSE)*D5/100</f>
        <v>#N/A</v>
      </c>
      <c r="H5" s="82">
        <f>F5/D5</f>
        <v>1.2704174228675136E-2</v>
      </c>
      <c r="I5" s="87" t="e">
        <f>VLOOKUP(B5,'R.H.'!A$3:C$3974,3,FALSE)/100</f>
        <v>#N/A</v>
      </c>
      <c r="J5" s="83">
        <v>0.5</v>
      </c>
      <c r="K5" s="92" t="e">
        <f>E5/J5</f>
        <v>#N/A</v>
      </c>
      <c r="L5" s="84">
        <v>1090</v>
      </c>
      <c r="M5" s="84"/>
      <c r="N5" s="94" t="e">
        <f>K5/L5</f>
        <v>#N/A</v>
      </c>
      <c r="O5" s="88" t="e">
        <f t="shared" ref="O5:O44" si="0">K5/(L5-M5)</f>
        <v>#N/A</v>
      </c>
      <c r="P5" s="119"/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715</v>
      </c>
      <c r="C6" s="91" t="e">
        <f>IF(ISBLANK(B6),"",VLOOKUP(B6,SÜRELER!$A:$B,2,FALSE))</f>
        <v>#N/A</v>
      </c>
      <c r="D6" s="80">
        <v>1102</v>
      </c>
      <c r="E6" s="92" t="e">
        <f>IF(ISBLANK($B6),"0",VLOOKUP($B6,SÜRELER!$A:$C,3,FALSE))*(D6-F6)</f>
        <v>#N/A</v>
      </c>
      <c r="F6" s="81">
        <v>14</v>
      </c>
      <c r="G6" s="93" t="e">
        <f>VLOOKUP(B6,'R.H.'!A$3:C$3974,3,FALSE)*D6/100</f>
        <v>#N/A</v>
      </c>
      <c r="H6" s="82">
        <f t="shared" ref="H6:H44" si="1">F6/D6</f>
        <v>1.2704174228675136E-2</v>
      </c>
      <c r="I6" s="87" t="e">
        <f>VLOOKUP(B6,'R.H.'!A$3:C$3974,3,FALSE)/100</f>
        <v>#N/A</v>
      </c>
      <c r="J6" s="83">
        <v>0.5</v>
      </c>
      <c r="K6" s="92" t="e">
        <f t="shared" ref="K6:K44" si="2">E6/J6</f>
        <v>#N/A</v>
      </c>
      <c r="L6" s="84">
        <v>1090</v>
      </c>
      <c r="M6" s="84"/>
      <c r="N6" s="94" t="e">
        <f t="shared" ref="N6:N44" si="3">K6/L6</f>
        <v>#N/A</v>
      </c>
      <c r="O6" s="88" t="e">
        <f t="shared" si="0"/>
        <v>#N/A</v>
      </c>
      <c r="P6" s="119"/>
      <c r="Q6" s="5"/>
      <c r="R6" s="5"/>
    </row>
    <row r="7" spans="1:23" s="4" customFormat="1" ht="16.5" customHeight="1" x14ac:dyDescent="0.25">
      <c r="A7" s="90">
        <v>3</v>
      </c>
      <c r="B7" s="86">
        <v>120</v>
      </c>
      <c r="C7" s="91" t="e">
        <f>IF(ISBLANK(B7),"",VLOOKUP(B7,SÜRELER!$A:$B,2,FALSE))</f>
        <v>#N/A</v>
      </c>
      <c r="D7" s="80">
        <f>34+236</f>
        <v>270</v>
      </c>
      <c r="E7" s="92" t="e">
        <f>IF(ISBLANK($B7),"0",VLOOKUP($B7,SÜRELER!$A:$C,3,FALSE))*(D7-F7)</f>
        <v>#N/A</v>
      </c>
      <c r="F7" s="81">
        <v>4</v>
      </c>
      <c r="G7" s="93" t="e">
        <f>VLOOKUP(B7,'R.H.'!A$3:C$3974,3,FALSE)*D7/100</f>
        <v>#N/A</v>
      </c>
      <c r="H7" s="82">
        <f t="shared" si="1"/>
        <v>1.4814814814814815E-2</v>
      </c>
      <c r="I7" s="87" t="e">
        <f>VLOOKUP(B7,'R.H.'!A$3:C$3974,3,FALSE)/100</f>
        <v>#N/A</v>
      </c>
      <c r="J7" s="83">
        <v>0.5</v>
      </c>
      <c r="K7" s="92" t="e">
        <f t="shared" si="2"/>
        <v>#N/A</v>
      </c>
      <c r="L7" s="84">
        <v>325</v>
      </c>
      <c r="M7" s="84"/>
      <c r="N7" s="94" t="e">
        <f t="shared" si="3"/>
        <v>#N/A</v>
      </c>
      <c r="O7" s="88" t="e">
        <f t="shared" si="0"/>
        <v>#N/A</v>
      </c>
      <c r="P7" s="119"/>
      <c r="Q7" s="5"/>
      <c r="R7" s="5"/>
    </row>
    <row r="8" spans="1:23" s="4" customFormat="1" ht="16.5" customHeight="1" x14ac:dyDescent="0.25">
      <c r="A8" s="85">
        <v>4</v>
      </c>
      <c r="B8" s="86">
        <v>121</v>
      </c>
      <c r="C8" s="91" t="e">
        <f>IF(ISBLANK(B8),"",VLOOKUP(B8,SÜRELER!$A:$B,2,FALSE))</f>
        <v>#N/A</v>
      </c>
      <c r="D8" s="80">
        <v>270</v>
      </c>
      <c r="E8" s="92" t="e">
        <f>IF(ISBLANK($B8),"0",VLOOKUP($B8,SÜRELER!$A:$C,3,FALSE))*(D8-F8)</f>
        <v>#N/A</v>
      </c>
      <c r="F8" s="81">
        <v>4</v>
      </c>
      <c r="G8" s="93" t="e">
        <f>VLOOKUP(B8,'R.H.'!A$3:C$3974,3,FALSE)*D8/100</f>
        <v>#N/A</v>
      </c>
      <c r="H8" s="82">
        <f t="shared" si="1"/>
        <v>1.4814814814814815E-2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325</v>
      </c>
      <c r="M8" s="84"/>
      <c r="N8" s="94" t="e">
        <f t="shared" si="3"/>
        <v>#N/A</v>
      </c>
      <c r="O8" s="88" t="e">
        <f t="shared" si="0"/>
        <v>#N/A</v>
      </c>
      <c r="P8" s="119"/>
      <c r="Q8" s="5"/>
      <c r="R8" s="5"/>
    </row>
    <row r="9" spans="1:23" s="4" customFormat="1" ht="16.5" customHeight="1" x14ac:dyDescent="0.25">
      <c r="A9" s="90">
        <v>5</v>
      </c>
      <c r="B9" s="86">
        <v>1463</v>
      </c>
      <c r="C9" s="91" t="e">
        <f>IF(ISBLANK(B9),"",VLOOKUP(B9,SÜRELER!$A:$B,2,FALSE))</f>
        <v>#N/A</v>
      </c>
      <c r="D9" s="80">
        <f>346+238</f>
        <v>584</v>
      </c>
      <c r="E9" s="92" t="e">
        <f>IF(ISBLANK($B9),"0",VLOOKUP($B9,SÜRELER!$A:$C,3,FALSE))*(D9-F9)</f>
        <v>#N/A</v>
      </c>
      <c r="F9" s="81">
        <v>9</v>
      </c>
      <c r="G9" s="93" t="e">
        <f>VLOOKUP(B9,'R.H.'!A$3:C$3974,3,FALSE)*D9/100</f>
        <v>#N/A</v>
      </c>
      <c r="H9" s="82">
        <f t="shared" si="1"/>
        <v>1.5410958904109588E-2</v>
      </c>
      <c r="I9" s="87" t="e">
        <f>VLOOKUP(B9,'R.H.'!A$3:C$3974,3,FALSE)/100</f>
        <v>#N/A</v>
      </c>
      <c r="J9" s="83">
        <v>0.5</v>
      </c>
      <c r="K9" s="92" t="e">
        <f t="shared" si="2"/>
        <v>#N/A</v>
      </c>
      <c r="L9" s="84">
        <v>880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1464</v>
      </c>
      <c r="C10" s="91" t="e">
        <f>IF(ISBLANK(B10),"",VLOOKUP(B10,SÜRELER!$A:$B,2,FALSE))</f>
        <v>#N/A</v>
      </c>
      <c r="D10" s="80">
        <v>584</v>
      </c>
      <c r="E10" s="92" t="e">
        <f>IF(ISBLANK($B10),"0",VLOOKUP($B10,SÜRELER!$A:$C,3,FALSE))*(D10-F10)</f>
        <v>#N/A</v>
      </c>
      <c r="F10" s="81">
        <v>9</v>
      </c>
      <c r="G10" s="93" t="e">
        <f>VLOOKUP(B10,'R.H.'!A$3:C$3974,3,FALSE)*D10/100</f>
        <v>#N/A</v>
      </c>
      <c r="H10" s="82">
        <f t="shared" si="1"/>
        <v>1.5410958904109588E-2</v>
      </c>
      <c r="I10" s="87" t="e">
        <f>VLOOKUP(B10,'R.H.'!A$3:C$3974,3,FALSE)/100</f>
        <v>#N/A</v>
      </c>
      <c r="J10" s="83">
        <v>0.5</v>
      </c>
      <c r="K10" s="92" t="e">
        <f t="shared" si="2"/>
        <v>#N/A</v>
      </c>
      <c r="L10" s="84">
        <v>880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311</v>
      </c>
      <c r="C11" s="91" t="e">
        <f>IF(ISBLANK(B11),"",VLOOKUP(B11,SÜRELER!$A:$B,2,FALSE))</f>
        <v>#N/A</v>
      </c>
      <c r="D11" s="80">
        <f>250+500</f>
        <v>750</v>
      </c>
      <c r="E11" s="92" t="e">
        <f>IF(ISBLANK($B11),"0",VLOOKUP($B11,SÜRELER!$A:$C,3,FALSE))*(D11-F11)</f>
        <v>#N/A</v>
      </c>
      <c r="F11" s="81">
        <v>0</v>
      </c>
      <c r="G11" s="93" t="e">
        <f>VLOOKUP(B11,'R.H.'!A$3:C$3974,3,FALSE)*D11/100</f>
        <v>#N/A</v>
      </c>
      <c r="H11" s="82">
        <f t="shared" si="1"/>
        <v>0</v>
      </c>
      <c r="I11" s="87" t="e">
        <f>VLOOKUP(B11,'R.H.'!A$3:C$3974,3,FALSE)/100</f>
        <v>#N/A</v>
      </c>
      <c r="J11" s="83">
        <v>1</v>
      </c>
      <c r="K11" s="92" t="e">
        <f t="shared" si="2"/>
        <v>#N/A</v>
      </c>
      <c r="L11" s="84">
        <v>525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2070</v>
      </c>
      <c r="C12" s="91" t="e">
        <f>IF(ISBLANK(B12),"",VLOOKUP(B12,SÜRELER!$A:$B,2,FALSE))</f>
        <v>#N/A</v>
      </c>
      <c r="D12" s="80">
        <f>665+476</f>
        <v>1141</v>
      </c>
      <c r="E12" s="92" t="e">
        <f>IF(ISBLANK($B12),"0",VLOOKUP($B12,SÜRELER!$A:$C,3,FALSE))*(D12-F12)</f>
        <v>#N/A</v>
      </c>
      <c r="F12" s="81">
        <v>2</v>
      </c>
      <c r="G12" s="93" t="e">
        <f>VLOOKUP(B12,'R.H.'!A$3:C$3974,3,FALSE)*D12/100</f>
        <v>#N/A</v>
      </c>
      <c r="H12" s="82">
        <f t="shared" si="1"/>
        <v>1.7528483786152498E-3</v>
      </c>
      <c r="I12" s="87" t="e">
        <f>VLOOKUP(B12,'R.H.'!A$3:C$3974,3,FALSE)/100</f>
        <v>#N/A</v>
      </c>
      <c r="J12" s="83">
        <v>1</v>
      </c>
      <c r="K12" s="92" t="e">
        <f t="shared" si="2"/>
        <v>#N/A</v>
      </c>
      <c r="L12" s="84">
        <v>525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2071</v>
      </c>
      <c r="C13" s="91" t="e">
        <f>IF(ISBLANK(B13),"",VLOOKUP(B13,SÜRELER!$A:$B,2,FALSE))</f>
        <v>#N/A</v>
      </c>
      <c r="D13" s="80">
        <v>1141</v>
      </c>
      <c r="E13" s="92" t="e">
        <f>IF(ISBLANK($B13),"0",VLOOKUP($B13,SÜRELER!$A:$C,3,FALSE))*(D13-F13)</f>
        <v>#N/A</v>
      </c>
      <c r="F13" s="81">
        <v>2</v>
      </c>
      <c r="G13" s="93" t="e">
        <f>VLOOKUP(B13,'R.H.'!A$3:C$3974,3,FALSE)*D13/100</f>
        <v>#N/A</v>
      </c>
      <c r="H13" s="82">
        <f t="shared" si="1"/>
        <v>1.7528483786152498E-3</v>
      </c>
      <c r="I13" s="87" t="e">
        <f>VLOOKUP(B13,'R.H.'!A$3:C$3974,3,FALSE)/100</f>
        <v>#N/A</v>
      </c>
      <c r="J13" s="83">
        <v>1</v>
      </c>
      <c r="K13" s="92" t="e">
        <f t="shared" si="2"/>
        <v>#N/A</v>
      </c>
      <c r="L13" s="84">
        <v>525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1112</v>
      </c>
      <c r="C14" s="91" t="e">
        <f>IF(ISBLANK(B14),"",VLOOKUP(B14,SÜRELER!$A:$B,2,FALSE))</f>
        <v>#N/A</v>
      </c>
      <c r="D14" s="80">
        <f>808+2500</f>
        <v>3308</v>
      </c>
      <c r="E14" s="92" t="e">
        <f>IF(ISBLANK($B14),"0",VLOOKUP($B14,SÜRELER!$A:$C,3,FALSE))*(D14-F14)</f>
        <v>#N/A</v>
      </c>
      <c r="F14" s="81">
        <v>0</v>
      </c>
      <c r="G14" s="93" t="e">
        <f>VLOOKUP(B14,'R.H.'!A$3:C$3974,3,FALSE)*D14/100</f>
        <v>#N/A</v>
      </c>
      <c r="H14" s="82">
        <f t="shared" si="1"/>
        <v>0</v>
      </c>
      <c r="I14" s="87" t="e">
        <f>VLOOKUP(B14,'R.H.'!A$3:C$3974,3,FALSE)/100</f>
        <v>#N/A</v>
      </c>
      <c r="J14" s="83">
        <v>0.5</v>
      </c>
      <c r="K14" s="92" t="e">
        <f t="shared" si="2"/>
        <v>#N/A</v>
      </c>
      <c r="L14" s="84">
        <v>2195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1330</v>
      </c>
      <c r="C15" s="91" t="e">
        <f>IF(ISBLANK(B15),"",VLOOKUP(B15,SÜRELER!$A:$B,2,FALSE))</f>
        <v>#N/A</v>
      </c>
      <c r="D15" s="80">
        <f>880+804</f>
        <v>1684</v>
      </c>
      <c r="E15" s="92" t="e">
        <f>IF(ISBLANK($B15),"0",VLOOKUP($B15,SÜRELER!$A:$C,3,FALSE))*(D15-F15)</f>
        <v>#N/A</v>
      </c>
      <c r="F15" s="81">
        <v>4</v>
      </c>
      <c r="G15" s="93" t="e">
        <f>VLOOKUP(B15,'R.H.'!A$3:C$3974,3,FALSE)*D15/100</f>
        <v>#N/A</v>
      </c>
      <c r="H15" s="82">
        <f t="shared" si="1"/>
        <v>2.3752969121140144E-3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710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1331</v>
      </c>
      <c r="C16" s="91" t="e">
        <f>IF(ISBLANK(B16),"",VLOOKUP(B16,SÜRELER!$A:$B,2,FALSE))</f>
        <v>#N/A</v>
      </c>
      <c r="D16" s="80">
        <v>1684</v>
      </c>
      <c r="E16" s="92" t="e">
        <f>IF(ISBLANK($B16),"0",VLOOKUP($B16,SÜRELER!$A:$C,3,FALSE))*(D16-F16)</f>
        <v>#N/A</v>
      </c>
      <c r="F16" s="81">
        <v>4</v>
      </c>
      <c r="G16" s="93" t="e">
        <f>VLOOKUP(B16,'R.H.'!A$3:C$3974,3,FALSE)*D16/100</f>
        <v>#N/A</v>
      </c>
      <c r="H16" s="82">
        <f t="shared" si="1"/>
        <v>2.3752969121140144E-3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710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91</v>
      </c>
      <c r="C17" s="91" t="e">
        <f>IF(ISBLANK(B17),"",VLOOKUP(B17,SÜRELER!$A:$B,2,FALSE))</f>
        <v>#N/A</v>
      </c>
      <c r="D17" s="80">
        <v>325</v>
      </c>
      <c r="E17" s="92" t="e">
        <f>IF(ISBLANK($B17),"0",VLOOKUP($B17,SÜRELER!$A:$C,3,FALSE))*(D17-F17)</f>
        <v>#N/A</v>
      </c>
      <c r="F17" s="81">
        <v>10</v>
      </c>
      <c r="G17" s="93" t="e">
        <f>VLOOKUP(B17,'R.H.'!A$3:C$3974,3,FALSE)*D17/100</f>
        <v>#N/A</v>
      </c>
      <c r="H17" s="82">
        <f t="shared" si="1"/>
        <v>3.0769230769230771E-2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350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92</v>
      </c>
      <c r="C18" s="91" t="e">
        <f>IF(ISBLANK(B18),"",VLOOKUP(B18,SÜRELER!$A:$B,2,FALSE))</f>
        <v>#N/A</v>
      </c>
      <c r="D18" s="80">
        <v>325</v>
      </c>
      <c r="E18" s="92" t="e">
        <f>IF(ISBLANK($B18),"0",VLOOKUP($B18,SÜRELER!$A:$C,3,FALSE))*(D18-F18)</f>
        <v>#N/A</v>
      </c>
      <c r="F18" s="81">
        <v>8</v>
      </c>
      <c r="G18" s="93" t="e">
        <f>VLOOKUP(B18,'R.H.'!A$3:C$3974,3,FALSE)*D18/100</f>
        <v>#N/A</v>
      </c>
      <c r="H18" s="82">
        <f t="shared" si="1"/>
        <v>2.4615384615384615E-2</v>
      </c>
      <c r="I18" s="87" t="e">
        <f>VLOOKUP(B18,'R.H.'!A$3:C$3974,3,FALSE)/100</f>
        <v>#N/A</v>
      </c>
      <c r="J18" s="83">
        <v>0.5</v>
      </c>
      <c r="K18" s="92" t="e">
        <f t="shared" si="2"/>
        <v>#N/A</v>
      </c>
      <c r="L18" s="84">
        <v>350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1332</v>
      </c>
      <c r="C19" s="91" t="e">
        <f>IF(ISBLANK(B19),"",VLOOKUP(B19,SÜRELER!$A:$B,2,FALSE))</f>
        <v>#N/A</v>
      </c>
      <c r="D19" s="80">
        <f>60+291</f>
        <v>351</v>
      </c>
      <c r="E19" s="92" t="e">
        <f>IF(ISBLANK($B19),"0",VLOOKUP($B19,SÜRELER!$A:$C,3,FALSE))*(D19-F19)</f>
        <v>#N/A</v>
      </c>
      <c r="F19" s="81">
        <v>8</v>
      </c>
      <c r="G19" s="93" t="e">
        <f>VLOOKUP(B19,'R.H.'!A$3:C$3974,3,FALSE)*D19/100</f>
        <v>#N/A</v>
      </c>
      <c r="H19" s="82">
        <f t="shared" si="1"/>
        <v>2.2792022792022793E-2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370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1333</v>
      </c>
      <c r="C20" s="91" t="e">
        <f>IF(ISBLANK(B20),"",VLOOKUP(B20,SÜRELER!$A:$B,2,FALSE))</f>
        <v>#N/A</v>
      </c>
      <c r="D20" s="80">
        <v>351</v>
      </c>
      <c r="E20" s="92" t="e">
        <f>IF(ISBLANK($B20),"0",VLOOKUP($B20,SÜRELER!$A:$C,3,FALSE))*(D20-F20)</f>
        <v>#N/A</v>
      </c>
      <c r="F20" s="81">
        <v>8</v>
      </c>
      <c r="G20" s="93" t="e">
        <f>VLOOKUP(B20,'R.H.'!A$3:C$3974,3,FALSE)*D20/100</f>
        <v>#N/A</v>
      </c>
      <c r="H20" s="82">
        <f t="shared" si="1"/>
        <v>2.2792022792022793E-2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370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889</v>
      </c>
      <c r="C21" s="91" t="e">
        <f>IF(ISBLANK(B21),"",VLOOKUP(B21,SÜRELER!$A:$B,2,FALSE))</f>
        <v>#N/A</v>
      </c>
      <c r="D21" s="80">
        <v>210</v>
      </c>
      <c r="E21" s="92" t="e">
        <f>IF(ISBLANK($B21),"0",VLOOKUP($B21,SÜRELER!$A:$C,3,FALSE))*(D21-F21)</f>
        <v>#N/A</v>
      </c>
      <c r="F21" s="81">
        <v>10</v>
      </c>
      <c r="G21" s="93" t="e">
        <f>VLOOKUP(B21,'R.H.'!A$3:C$3974,3,FALSE)*D21/100</f>
        <v>#N/A</v>
      </c>
      <c r="H21" s="82">
        <f t="shared" si="1"/>
        <v>4.7619047619047616E-2</v>
      </c>
      <c r="I21" s="87" t="e">
        <f>VLOOKUP(B21,'R.H.'!A$3:C$3974,3,FALSE)/100</f>
        <v>#N/A</v>
      </c>
      <c r="J21" s="83">
        <v>0.5</v>
      </c>
      <c r="K21" s="92" t="e">
        <f t="shared" si="2"/>
        <v>#N/A</v>
      </c>
      <c r="L21" s="84">
        <v>175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1334</v>
      </c>
      <c r="C22" s="91" t="e">
        <f>IF(ISBLANK(B22),"",VLOOKUP(B22,SÜRELER!$A:$B,2,FALSE))</f>
        <v>#N/A</v>
      </c>
      <c r="D22" s="80">
        <f>86+572</f>
        <v>658</v>
      </c>
      <c r="E22" s="92" t="e">
        <f>IF(ISBLANK($B22),"0",VLOOKUP($B22,SÜRELER!$A:$C,3,FALSE))*(D22-F22)</f>
        <v>#N/A</v>
      </c>
      <c r="F22" s="81">
        <v>2</v>
      </c>
      <c r="G22" s="93" t="e">
        <f>VLOOKUP(B22,'R.H.'!A$3:C$3974,3,FALSE)*D22/100</f>
        <v>#N/A</v>
      </c>
      <c r="H22" s="82">
        <f t="shared" si="1"/>
        <v>3.0395136778115501E-3</v>
      </c>
      <c r="I22" s="87" t="e">
        <f>VLOOKUP(B22,'R.H.'!A$3:C$3974,3,FALSE)/100</f>
        <v>#N/A</v>
      </c>
      <c r="J22" s="83">
        <v>1</v>
      </c>
      <c r="K22" s="92" t="e">
        <f t="shared" si="2"/>
        <v>#N/A</v>
      </c>
      <c r="L22" s="84">
        <v>276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1335</v>
      </c>
      <c r="C23" s="91" t="e">
        <f>IF(ISBLANK(B23),"",VLOOKUP(B23,SÜRELER!$A:$B,2,FALSE))</f>
        <v>#N/A</v>
      </c>
      <c r="D23" s="80">
        <v>658</v>
      </c>
      <c r="E23" s="92" t="e">
        <f>IF(ISBLANK($B23),"0",VLOOKUP($B23,SÜRELER!$A:$C,3,FALSE))*(D23-F23)</f>
        <v>#N/A</v>
      </c>
      <c r="F23" s="81">
        <v>2</v>
      </c>
      <c r="G23" s="93" t="e">
        <f>VLOOKUP(B23,'R.H.'!A$3:C$3974,3,FALSE)*D23/100</f>
        <v>#N/A</v>
      </c>
      <c r="H23" s="82">
        <f t="shared" si="1"/>
        <v>3.0395136778115501E-3</v>
      </c>
      <c r="I23" s="87" t="e">
        <f>VLOOKUP(B23,'R.H.'!A$3:C$3974,3,FALSE)/100</f>
        <v>#N/A</v>
      </c>
      <c r="J23" s="83">
        <v>1</v>
      </c>
      <c r="K23" s="92" t="e">
        <f t="shared" si="2"/>
        <v>#N/A</v>
      </c>
      <c r="L23" s="84">
        <v>275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118</v>
      </c>
      <c r="C24" s="91" t="e">
        <f>IF(ISBLANK(B24),"",VLOOKUP(B24,SÜRELER!$A:$B,2,FALSE))</f>
        <v>#N/A</v>
      </c>
      <c r="D24" s="80">
        <v>254</v>
      </c>
      <c r="E24" s="92" t="e">
        <f>IF(ISBLANK($B24),"0",VLOOKUP($B24,SÜRELER!$A:$C,3,FALSE))*(D24-F24)</f>
        <v>#N/A</v>
      </c>
      <c r="F24" s="81">
        <v>6</v>
      </c>
      <c r="G24" s="93" t="e">
        <f>VLOOKUP(B24,'R.H.'!A$3:C$3974,3,FALSE)*D24/100</f>
        <v>#N/A</v>
      </c>
      <c r="H24" s="82">
        <f t="shared" si="1"/>
        <v>2.3622047244094488E-2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255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119</v>
      </c>
      <c r="C25" s="91" t="e">
        <f>IF(ISBLANK(B25),"",VLOOKUP(B25,SÜRELER!$A:$B,2,FALSE))</f>
        <v>#N/A</v>
      </c>
      <c r="D25" s="80">
        <v>254</v>
      </c>
      <c r="E25" s="92" t="e">
        <f>IF(ISBLANK($B25),"0",VLOOKUP($B25,SÜRELER!$A:$C,3,FALSE))*(D25-F25)</f>
        <v>#N/A</v>
      </c>
      <c r="F25" s="81">
        <v>6</v>
      </c>
      <c r="G25" s="93" t="e">
        <f>VLOOKUP(B25,'R.H.'!A$3:C$3974,3,FALSE)*D25/100</f>
        <v>#N/A</v>
      </c>
      <c r="H25" s="82">
        <f t="shared" si="1"/>
        <v>2.3622047244094488E-2</v>
      </c>
      <c r="I25" s="87" t="e">
        <f>VLOOKUP(B25,'R.H.'!A$3:C$3974,3,FALSE)/100</f>
        <v>#N/A</v>
      </c>
      <c r="J25" s="83">
        <v>0.5</v>
      </c>
      <c r="K25" s="92" t="e">
        <f t="shared" si="2"/>
        <v>#N/A</v>
      </c>
      <c r="L25" s="84">
        <v>255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2079</v>
      </c>
      <c r="C26" s="91" t="e">
        <f>IF(ISBLANK(B26),"",VLOOKUP(B26,SÜRELER!$A:$B,2,FALSE))</f>
        <v>#N/A</v>
      </c>
      <c r="D26" s="80">
        <v>1264</v>
      </c>
      <c r="E26" s="92" t="e">
        <f>IF(ISBLANK($B26),"0",VLOOKUP($B26,SÜRELER!$A:$C,3,FALSE))*(D26-F26)</f>
        <v>#N/A</v>
      </c>
      <c r="F26" s="81">
        <v>4</v>
      </c>
      <c r="G26" s="93" t="e">
        <f>VLOOKUP(B26,'R.H.'!A$3:C$3974,3,FALSE)*D26/100</f>
        <v>#N/A</v>
      </c>
      <c r="H26" s="82">
        <f t="shared" si="1"/>
        <v>3.1645569620253164E-3</v>
      </c>
      <c r="I26" s="87" t="e">
        <f>VLOOKUP(B26,'R.H.'!A$3:C$3974,3,FALSE)/100</f>
        <v>#N/A</v>
      </c>
      <c r="J26" s="83">
        <v>1</v>
      </c>
      <c r="K26" s="92" t="e">
        <f t="shared" si="2"/>
        <v>#N/A</v>
      </c>
      <c r="L26" s="84">
        <v>1050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742</v>
      </c>
      <c r="C27" s="91" t="e">
        <f>IF(ISBLANK(B27),"",VLOOKUP(B27,SÜRELER!$A:$B,2,FALSE))</f>
        <v>#N/A</v>
      </c>
      <c r="D27" s="80">
        <v>138</v>
      </c>
      <c r="E27" s="92" t="e">
        <f>IF(ISBLANK($B27),"0",VLOOKUP($B27,SÜRELER!$A:$C,3,FALSE))*(D27-F27)</f>
        <v>#N/A</v>
      </c>
      <c r="F27" s="81">
        <v>4</v>
      </c>
      <c r="G27" s="93" t="e">
        <f>VLOOKUP(B27,'R.H.'!A$3:C$3974,3,FALSE)*D27/100</f>
        <v>#N/A</v>
      </c>
      <c r="H27" s="82">
        <f t="shared" si="1"/>
        <v>2.8985507246376812E-2</v>
      </c>
      <c r="I27" s="87" t="e">
        <f>VLOOKUP(B27,'R.H.'!A$3:C$3974,3,FALSE)/100</f>
        <v>#N/A</v>
      </c>
      <c r="J27" s="83">
        <v>0.5</v>
      </c>
      <c r="K27" s="92" t="e">
        <f t="shared" si="2"/>
        <v>#N/A</v>
      </c>
      <c r="L27" s="84">
        <v>116</v>
      </c>
      <c r="M27" s="84"/>
      <c r="N27" s="94" t="e">
        <f t="shared" si="3"/>
        <v>#N/A</v>
      </c>
      <c r="O27" s="88" t="e">
        <f t="shared" si="0"/>
        <v>#N/A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>
        <v>743</v>
      </c>
      <c r="C28" s="91" t="e">
        <f>IF(ISBLANK(B28),"",VLOOKUP(B28,SÜRELER!$A:$B,2,FALSE))</f>
        <v>#N/A</v>
      </c>
      <c r="D28" s="80">
        <v>138</v>
      </c>
      <c r="E28" s="92" t="e">
        <f>IF(ISBLANK($B28),"0",VLOOKUP($B28,SÜRELER!$A:$C,3,FALSE))*(D28-F28)</f>
        <v>#N/A</v>
      </c>
      <c r="F28" s="81">
        <v>4</v>
      </c>
      <c r="G28" s="93" t="e">
        <f>VLOOKUP(B28,'R.H.'!A$3:C$3974,3,FALSE)*D28/100</f>
        <v>#N/A</v>
      </c>
      <c r="H28" s="82">
        <f t="shared" si="1"/>
        <v>2.8985507246376812E-2</v>
      </c>
      <c r="I28" s="87" t="e">
        <f>VLOOKUP(B28,'R.H.'!A$3:C$3974,3,FALSE)/100</f>
        <v>#N/A</v>
      </c>
      <c r="J28" s="83">
        <v>0.5</v>
      </c>
      <c r="K28" s="92" t="e">
        <f t="shared" si="2"/>
        <v>#N/A</v>
      </c>
      <c r="L28" s="84">
        <v>116</v>
      </c>
      <c r="M28" s="84"/>
      <c r="N28" s="94" t="e">
        <f t="shared" si="3"/>
        <v>#N/A</v>
      </c>
      <c r="O28" s="88" t="e">
        <f t="shared" si="0"/>
        <v>#N/A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>
        <v>1491</v>
      </c>
      <c r="C29" s="91" t="e">
        <f>IF(ISBLANK(B29),"",VLOOKUP(B29,SÜRELER!$A:$B,2,FALSE))</f>
        <v>#N/A</v>
      </c>
      <c r="D29" s="80">
        <v>722</v>
      </c>
      <c r="E29" s="92" t="e">
        <f>IF(ISBLANK($B29),"0",VLOOKUP($B29,SÜRELER!$A:$C,3,FALSE))*(D29-F29)</f>
        <v>#N/A</v>
      </c>
      <c r="F29" s="81">
        <v>2</v>
      </c>
      <c r="G29" s="93" t="e">
        <f>VLOOKUP(B29,'R.H.'!A$3:C$3974,3,FALSE)*D29/100</f>
        <v>#N/A</v>
      </c>
      <c r="H29" s="82">
        <f t="shared" si="1"/>
        <v>2.7700831024930748E-3</v>
      </c>
      <c r="I29" s="87" t="e">
        <f>VLOOKUP(B29,'R.H.'!A$3:C$3974,3,FALSE)/100</f>
        <v>#N/A</v>
      </c>
      <c r="J29" s="83">
        <v>0.5</v>
      </c>
      <c r="K29" s="92" t="e">
        <f t="shared" si="2"/>
        <v>#N/A</v>
      </c>
      <c r="L29" s="84">
        <v>610</v>
      </c>
      <c r="M29" s="84"/>
      <c r="N29" s="94" t="e">
        <f t="shared" si="3"/>
        <v>#N/A</v>
      </c>
      <c r="O29" s="88" t="e">
        <f t="shared" si="0"/>
        <v>#N/A</v>
      </c>
      <c r="P29" s="119"/>
      <c r="Q29" s="5"/>
      <c r="R29" s="5"/>
    </row>
    <row r="30" spans="1:18" s="4" customFormat="1" ht="16.5" x14ac:dyDescent="0.25">
      <c r="A30" s="85">
        <v>26</v>
      </c>
      <c r="B30" s="86">
        <v>1492</v>
      </c>
      <c r="C30" s="91" t="e">
        <f>IF(ISBLANK(B30),"",VLOOKUP(B30,SÜRELER!$A:$B,2,FALSE))</f>
        <v>#N/A</v>
      </c>
      <c r="D30" s="80">
        <v>722</v>
      </c>
      <c r="E30" s="92" t="e">
        <f>IF(ISBLANK($B30),"0",VLOOKUP($B30,SÜRELER!$A:$C,3,FALSE))*(D30-F30)</f>
        <v>#N/A</v>
      </c>
      <c r="F30" s="81">
        <v>2</v>
      </c>
      <c r="G30" s="93" t="e">
        <f>VLOOKUP(B30,'R.H.'!A$3:C$3974,3,FALSE)*D30/100</f>
        <v>#N/A</v>
      </c>
      <c r="H30" s="82">
        <f t="shared" si="1"/>
        <v>2.7700831024930748E-3</v>
      </c>
      <c r="I30" s="87" t="e">
        <f>VLOOKUP(B30,'R.H.'!A$3:C$3974,3,FALSE)/100</f>
        <v>#N/A</v>
      </c>
      <c r="J30" s="83">
        <v>0.5</v>
      </c>
      <c r="K30" s="92" t="e">
        <f t="shared" si="2"/>
        <v>#N/A</v>
      </c>
      <c r="L30" s="84">
        <v>610</v>
      </c>
      <c r="M30" s="84"/>
      <c r="N30" s="94" t="e">
        <f t="shared" si="3"/>
        <v>#N/A</v>
      </c>
      <c r="O30" s="88" t="e">
        <f t="shared" si="0"/>
        <v>#N/A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>
        <v>2027</v>
      </c>
      <c r="C31" s="91" t="e">
        <f>IF(ISBLANK(B31),"",VLOOKUP(B31,SÜRELER!$A:$B,2,FALSE))</f>
        <v>#N/A</v>
      </c>
      <c r="D31" s="80">
        <v>136</v>
      </c>
      <c r="E31" s="92" t="e">
        <f>IF(ISBLANK($B31),"0",VLOOKUP($B31,SÜRELER!$A:$C,3,FALSE))*(D31-F31)</f>
        <v>#N/A</v>
      </c>
      <c r="F31" s="81">
        <v>4</v>
      </c>
      <c r="G31" s="93" t="e">
        <f>VLOOKUP(B31,'R.H.'!A$3:C$3974,3,FALSE)*D31/100</f>
        <v>#N/A</v>
      </c>
      <c r="H31" s="82">
        <f t="shared" si="1"/>
        <v>2.9411764705882353E-2</v>
      </c>
      <c r="I31" s="87" t="e">
        <f>VLOOKUP(B31,'R.H.'!A$3:C$3974,3,FALSE)/100</f>
        <v>#N/A</v>
      </c>
      <c r="J31" s="83">
        <v>0.5</v>
      </c>
      <c r="K31" s="92" t="e">
        <f t="shared" si="2"/>
        <v>#N/A</v>
      </c>
      <c r="L31" s="84">
        <v>270</v>
      </c>
      <c r="M31" s="84"/>
      <c r="N31" s="94" t="e">
        <f t="shared" si="3"/>
        <v>#N/A</v>
      </c>
      <c r="O31" s="88" t="e">
        <f t="shared" si="0"/>
        <v>#N/A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>
        <v>2028</v>
      </c>
      <c r="C32" s="91" t="e">
        <f>IF(ISBLANK(B32),"",VLOOKUP(B32,SÜRELER!$A:$B,2,FALSE))</f>
        <v>#N/A</v>
      </c>
      <c r="D32" s="80">
        <v>136</v>
      </c>
      <c r="E32" s="92" t="e">
        <f>IF(ISBLANK($B32),"0",VLOOKUP($B32,SÜRELER!$A:$C,3,FALSE))*(D32-F32)</f>
        <v>#N/A</v>
      </c>
      <c r="F32" s="81">
        <v>4</v>
      </c>
      <c r="G32" s="93" t="e">
        <f>VLOOKUP(B32,'R.H.'!A$3:C$3974,3,FALSE)*D32/100</f>
        <v>#N/A</v>
      </c>
      <c r="H32" s="82">
        <f t="shared" si="1"/>
        <v>2.9411764705882353E-2</v>
      </c>
      <c r="I32" s="87" t="e">
        <f>VLOOKUP(B32,'R.H.'!A$3:C$3974,3,FALSE)/100</f>
        <v>#N/A</v>
      </c>
      <c r="J32" s="83">
        <v>0.5</v>
      </c>
      <c r="K32" s="92" t="e">
        <f t="shared" si="2"/>
        <v>#N/A</v>
      </c>
      <c r="L32" s="84">
        <v>270</v>
      </c>
      <c r="M32" s="84"/>
      <c r="N32" s="94" t="e">
        <f t="shared" si="3"/>
        <v>#N/A</v>
      </c>
      <c r="O32" s="88" t="e">
        <f t="shared" si="0"/>
        <v>#N/A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20262</v>
      </c>
      <c r="E45" s="26" t="e">
        <f>SUM(E5:E44)</f>
        <v>#N/A</v>
      </c>
      <c r="F45" s="26">
        <f>SUM(F5:F44)</f>
        <v>150</v>
      </c>
      <c r="G45" s="26"/>
      <c r="H45" s="26"/>
      <c r="I45" s="26"/>
      <c r="J45" s="26"/>
      <c r="K45" s="26"/>
      <c r="L45" s="26">
        <f>SUM(L5:L44)</f>
        <v>15498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0.74030204323363935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17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9390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>
        <v>0</v>
      </c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9390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20262</v>
      </c>
      <c r="F63" s="24">
        <f>F45</f>
        <v>150</v>
      </c>
      <c r="G63" s="23">
        <f>(F63*1000000)/E63</f>
        <v>7403.0204323363932</v>
      </c>
      <c r="H63" s="22">
        <f>D59</f>
        <v>0</v>
      </c>
      <c r="I63" s="17" t="e">
        <f>N1</f>
        <v>#N/A</v>
      </c>
    </row>
  </sheetData>
  <mergeCells count="15">
    <mergeCell ref="E57:N57"/>
    <mergeCell ref="E49:N49"/>
    <mergeCell ref="E50:N50"/>
    <mergeCell ref="E51:N51"/>
    <mergeCell ref="E53:N53"/>
    <mergeCell ref="E54:N54"/>
    <mergeCell ref="E55:N55"/>
    <mergeCell ref="A1:B1"/>
    <mergeCell ref="C1:D2"/>
    <mergeCell ref="H1:H3"/>
    <mergeCell ref="A2:B3"/>
    <mergeCell ref="E56:N56"/>
    <mergeCell ref="D46:D47"/>
    <mergeCell ref="E46:F47"/>
    <mergeCell ref="N1:N3"/>
  </mergeCells>
  <conditionalFormatting sqref="D3">
    <cfRule type="cellIs" dxfId="124" priority="5" stopIfTrue="1" operator="lessThan">
      <formula>0.95</formula>
    </cfRule>
  </conditionalFormatting>
  <conditionalFormatting sqref="F5:F44">
    <cfRule type="cellIs" dxfId="123" priority="1" stopIfTrue="1" operator="greaterThan">
      <formula>$G5</formula>
    </cfRule>
  </conditionalFormatting>
  <conditionalFormatting sqref="H5:H44">
    <cfRule type="cellIs" dxfId="122" priority="2" stopIfTrue="1" operator="greaterThan">
      <formula>$I$5</formula>
    </cfRule>
  </conditionalFormatting>
  <conditionalFormatting sqref="N1:N3">
    <cfRule type="cellIs" dxfId="121" priority="4" stopIfTrue="1" operator="lessThan">
      <formula>0.8</formula>
    </cfRule>
  </conditionalFormatting>
  <conditionalFormatting sqref="N5:O44">
    <cfRule type="cellIs" dxfId="120" priority="3" stopIfTrue="1" operator="lessThan">
      <formula>0.85</formula>
    </cfRule>
  </conditionalFormatting>
  <hyperlinks>
    <hyperlink ref="P1:P3" location="'Ana Sayfa'!A1" display="ANA SAYFA" xr:uid="{FC14AE1A-A52D-4164-A497-FD4A160F11F6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6A7A-309B-467C-9BBB-6E50957F8E2E}">
  <sheetPr codeName="Sayfa8">
    <tabColor theme="0" tint="-0.14999847407452621"/>
    <pageSetUpPr fitToPage="1"/>
  </sheetPr>
  <dimension ref="A1:W63"/>
  <sheetViews>
    <sheetView workbookViewId="0">
      <selection activeCell="I1" sqref="I1:M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'7'!A1+1</f>
        <v>46211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Çarşamba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12436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1332</v>
      </c>
      <c r="C5" s="91" t="e">
        <f>IF(ISBLANK(B5),"",VLOOKUP(B5,SÜRELER!$A:$B,2,FALSE))</f>
        <v>#N/A</v>
      </c>
      <c r="D5" s="80">
        <v>240</v>
      </c>
      <c r="E5" s="92" t="e">
        <f>IF(ISBLANK($B5),"0",VLOOKUP($B5,SÜRELER!$A:$C,3,FALSE))*(D5-F5)</f>
        <v>#N/A</v>
      </c>
      <c r="F5" s="81">
        <v>15</v>
      </c>
      <c r="G5" s="93" t="e">
        <f>VLOOKUP(B5,'R.H.'!A$3:C$3974,3,FALSE)*D5/100</f>
        <v>#N/A</v>
      </c>
      <c r="H5" s="82">
        <f>F5/D5</f>
        <v>6.25E-2</v>
      </c>
      <c r="I5" s="87" t="e">
        <f>VLOOKUP(B5,'R.H.'!A$3:C$3974,3,FALSE)/100</f>
        <v>#N/A</v>
      </c>
      <c r="J5" s="83">
        <v>0.5</v>
      </c>
      <c r="K5" s="92" t="e">
        <f>E5/J5</f>
        <v>#N/A</v>
      </c>
      <c r="L5" s="84">
        <v>265</v>
      </c>
      <c r="M5" s="84"/>
      <c r="N5" s="94" t="e">
        <f>K5/L5</f>
        <v>#N/A</v>
      </c>
      <c r="O5" s="88" t="e">
        <f t="shared" ref="O5:O44" si="0">K5/(L5-M5)</f>
        <v>#N/A</v>
      </c>
      <c r="P5" s="193" t="s">
        <v>3418</v>
      </c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1333</v>
      </c>
      <c r="C6" s="91" t="e">
        <f>IF(ISBLANK(B6),"",VLOOKUP(B6,SÜRELER!$A:$B,2,FALSE))</f>
        <v>#N/A</v>
      </c>
      <c r="D6" s="80">
        <v>240</v>
      </c>
      <c r="E6" s="92" t="e">
        <f>IF(ISBLANK($B6),"0",VLOOKUP($B6,SÜRELER!$A:$C,3,FALSE))*(D6-F6)</f>
        <v>#N/A</v>
      </c>
      <c r="F6" s="81">
        <v>15</v>
      </c>
      <c r="G6" s="93" t="e">
        <f>VLOOKUP(B6,'R.H.'!A$3:C$3974,3,FALSE)*D6/100</f>
        <v>#N/A</v>
      </c>
      <c r="H6" s="82">
        <f t="shared" ref="H6:H44" si="1">F6/D6</f>
        <v>6.25E-2</v>
      </c>
      <c r="I6" s="87" t="e">
        <f>VLOOKUP(B6,'R.H.'!A$3:C$3974,3,FALSE)/100</f>
        <v>#N/A</v>
      </c>
      <c r="J6" s="83">
        <v>0.5</v>
      </c>
      <c r="K6" s="92" t="e">
        <f t="shared" ref="K6:K44" si="2">E6/J6</f>
        <v>#N/A</v>
      </c>
      <c r="L6" s="84">
        <v>265</v>
      </c>
      <c r="M6" s="84"/>
      <c r="N6" s="94" t="e">
        <f t="shared" ref="N6:N44" si="3">K6/L6</f>
        <v>#N/A</v>
      </c>
      <c r="O6" s="88" t="e">
        <f t="shared" si="0"/>
        <v>#N/A</v>
      </c>
      <c r="P6" s="194"/>
      <c r="Q6" s="5"/>
      <c r="R6" s="5"/>
    </row>
    <row r="7" spans="1:23" s="4" customFormat="1" ht="16.5" customHeight="1" x14ac:dyDescent="0.25">
      <c r="A7" s="90">
        <v>3</v>
      </c>
      <c r="B7" s="86">
        <v>1871</v>
      </c>
      <c r="C7" s="91" t="e">
        <f>IF(ISBLANK(B7),"",VLOOKUP(B7,SÜRELER!$A:$B,2,FALSE))</f>
        <v>#N/A</v>
      </c>
      <c r="D7" s="80">
        <f>560+284</f>
        <v>844</v>
      </c>
      <c r="E7" s="92" t="e">
        <f>IF(ISBLANK($B7),"0",VLOOKUP($B7,SÜRELER!$A:$C,3,FALSE))*(D7-F7)</f>
        <v>#N/A</v>
      </c>
      <c r="F7" s="81">
        <v>4</v>
      </c>
      <c r="G7" s="93" t="e">
        <f>VLOOKUP(B7,'R.H.'!A$3:C$3974,3,FALSE)*D7/100</f>
        <v>#N/A</v>
      </c>
      <c r="H7" s="82">
        <f t="shared" si="1"/>
        <v>4.7393364928909956E-3</v>
      </c>
      <c r="I7" s="87" t="e">
        <f>VLOOKUP(B7,'R.H.'!A$3:C$3974,3,FALSE)/100</f>
        <v>#N/A</v>
      </c>
      <c r="J7" s="83">
        <v>0.5</v>
      </c>
      <c r="K7" s="92" t="e">
        <f t="shared" si="2"/>
        <v>#N/A</v>
      </c>
      <c r="L7" s="84">
        <v>1000</v>
      </c>
      <c r="M7" s="84"/>
      <c r="N7" s="94" t="e">
        <f t="shared" si="3"/>
        <v>#N/A</v>
      </c>
      <c r="O7" s="88" t="e">
        <f t="shared" si="0"/>
        <v>#N/A</v>
      </c>
      <c r="P7" s="119"/>
      <c r="Q7" s="5"/>
      <c r="R7" s="5"/>
    </row>
    <row r="8" spans="1:23" s="4" customFormat="1" ht="16.5" customHeight="1" x14ac:dyDescent="0.25">
      <c r="A8" s="85">
        <v>4</v>
      </c>
      <c r="B8" s="86">
        <v>1872</v>
      </c>
      <c r="C8" s="91" t="e">
        <f>IF(ISBLANK(B8),"",VLOOKUP(B8,SÜRELER!$A:$B,2,FALSE))</f>
        <v>#N/A</v>
      </c>
      <c r="D8" s="80">
        <v>844</v>
      </c>
      <c r="E8" s="92" t="e">
        <f>IF(ISBLANK($B8),"0",VLOOKUP($B8,SÜRELER!$A:$C,3,FALSE))*(D8-F8)</f>
        <v>#N/A</v>
      </c>
      <c r="F8" s="81">
        <v>4</v>
      </c>
      <c r="G8" s="93" t="e">
        <f>VLOOKUP(B8,'R.H.'!A$3:C$3974,3,FALSE)*D8/100</f>
        <v>#N/A</v>
      </c>
      <c r="H8" s="82">
        <f t="shared" si="1"/>
        <v>4.7393364928909956E-3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1000</v>
      </c>
      <c r="M8" s="84"/>
      <c r="N8" s="94" t="e">
        <f t="shared" si="3"/>
        <v>#N/A</v>
      </c>
      <c r="O8" s="88" t="e">
        <f t="shared" si="0"/>
        <v>#N/A</v>
      </c>
      <c r="P8" s="193" t="s">
        <v>3419</v>
      </c>
      <c r="Q8" s="5"/>
      <c r="R8" s="5"/>
    </row>
    <row r="9" spans="1:23" s="4" customFormat="1" ht="16.5" x14ac:dyDescent="0.25">
      <c r="A9" s="90">
        <v>5</v>
      </c>
      <c r="B9" s="86">
        <v>845</v>
      </c>
      <c r="C9" s="91" t="e">
        <f>IF(ISBLANK(B9),"",VLOOKUP(B9,SÜRELER!$A:$B,2,FALSE))</f>
        <v>#N/A</v>
      </c>
      <c r="D9" s="80">
        <v>73</v>
      </c>
      <c r="E9" s="92" t="e">
        <f>IF(ISBLANK($B9),"0",VLOOKUP($B9,SÜRELER!$A:$C,3,FALSE))*(D9-F9)</f>
        <v>#N/A</v>
      </c>
      <c r="F9" s="81">
        <v>22</v>
      </c>
      <c r="G9" s="93" t="e">
        <f>VLOOKUP(B9,'R.H.'!A$3:C$3974,3,FALSE)*D9/100</f>
        <v>#N/A</v>
      </c>
      <c r="H9" s="82">
        <f t="shared" si="1"/>
        <v>0.30136986301369861</v>
      </c>
      <c r="I9" s="87" t="e">
        <f>VLOOKUP(B9,'R.H.'!A$3:C$3974,3,FALSE)/100</f>
        <v>#N/A</v>
      </c>
      <c r="J9" s="83">
        <v>0.5</v>
      </c>
      <c r="K9" s="92" t="e">
        <f t="shared" si="2"/>
        <v>#N/A</v>
      </c>
      <c r="L9" s="84">
        <v>70</v>
      </c>
      <c r="M9" s="84"/>
      <c r="N9" s="94" t="e">
        <f t="shared" si="3"/>
        <v>#N/A</v>
      </c>
      <c r="O9" s="88" t="e">
        <f t="shared" si="0"/>
        <v>#N/A</v>
      </c>
      <c r="P9" s="197"/>
      <c r="Q9" s="5"/>
      <c r="R9" s="5"/>
    </row>
    <row r="10" spans="1:23" s="4" customFormat="1" ht="16.5" customHeight="1" x14ac:dyDescent="0.25">
      <c r="A10" s="85">
        <v>6</v>
      </c>
      <c r="B10" s="86">
        <v>1339</v>
      </c>
      <c r="C10" s="91" t="e">
        <f>IF(ISBLANK(B10),"",VLOOKUP(B10,SÜRELER!$A:$B,2,FALSE))</f>
        <v>#N/A</v>
      </c>
      <c r="D10" s="80">
        <v>264</v>
      </c>
      <c r="E10" s="92" t="e">
        <f>IF(ISBLANK($B10),"0",VLOOKUP($B10,SÜRELER!$A:$C,3,FALSE))*(D10-F10)</f>
        <v>#N/A</v>
      </c>
      <c r="F10" s="81">
        <v>11</v>
      </c>
      <c r="G10" s="93" t="e">
        <f>VLOOKUP(B10,'R.H.'!A$3:C$3974,3,FALSE)*D10/100</f>
        <v>#N/A</v>
      </c>
      <c r="H10" s="82">
        <f t="shared" si="1"/>
        <v>4.1666666666666664E-2</v>
      </c>
      <c r="I10" s="87" t="e">
        <f>VLOOKUP(B10,'R.H.'!A$3:C$3974,3,FALSE)/100</f>
        <v>#N/A</v>
      </c>
      <c r="J10" s="83">
        <v>0.5</v>
      </c>
      <c r="K10" s="92" t="e">
        <f t="shared" si="2"/>
        <v>#N/A</v>
      </c>
      <c r="L10" s="84">
        <v>540</v>
      </c>
      <c r="M10" s="84"/>
      <c r="N10" s="94" t="e">
        <f t="shared" si="3"/>
        <v>#N/A</v>
      </c>
      <c r="O10" s="88" t="e">
        <f t="shared" si="0"/>
        <v>#N/A</v>
      </c>
      <c r="P10" s="194"/>
      <c r="Q10" s="5"/>
      <c r="R10" s="5"/>
    </row>
    <row r="11" spans="1:23" s="4" customFormat="1" ht="16.75" customHeight="1" x14ac:dyDescent="0.25">
      <c r="A11" s="90">
        <v>7</v>
      </c>
      <c r="B11" s="86">
        <v>83</v>
      </c>
      <c r="C11" s="91" t="e">
        <f>IF(ISBLANK(B11),"",VLOOKUP(B11,SÜRELER!$A:$B,2,FALSE))</f>
        <v>#N/A</v>
      </c>
      <c r="D11" s="80">
        <f>145+245</f>
        <v>390</v>
      </c>
      <c r="E11" s="92" t="e">
        <f>IF(ISBLANK($B11),"0",VLOOKUP($B11,SÜRELER!$A:$C,3,FALSE))*(D11-F11)</f>
        <v>#N/A</v>
      </c>
      <c r="F11" s="81">
        <v>18</v>
      </c>
      <c r="G11" s="93" t="e">
        <f>VLOOKUP(B11,'R.H.'!A$3:C$3974,3,FALSE)*D11/100</f>
        <v>#N/A</v>
      </c>
      <c r="H11" s="82">
        <f t="shared" si="1"/>
        <v>4.6153846153846156E-2</v>
      </c>
      <c r="I11" s="87" t="e">
        <f>VLOOKUP(B11,'R.H.'!A$3:C$3974,3,FALSE)/100</f>
        <v>#N/A</v>
      </c>
      <c r="J11" s="83">
        <v>0.5</v>
      </c>
      <c r="K11" s="92" t="e">
        <f t="shared" si="2"/>
        <v>#N/A</v>
      </c>
      <c r="L11" s="84">
        <v>490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84</v>
      </c>
      <c r="C12" s="91" t="e">
        <f>IF(ISBLANK(B12),"",VLOOKUP(B12,SÜRELER!$A:$B,2,FALSE))</f>
        <v>#N/A</v>
      </c>
      <c r="D12" s="80">
        <v>390</v>
      </c>
      <c r="E12" s="92" t="e">
        <f>IF(ISBLANK($B12),"0",VLOOKUP($B12,SÜRELER!$A:$C,3,FALSE))*(D12-F12)</f>
        <v>#N/A</v>
      </c>
      <c r="F12" s="81">
        <v>18</v>
      </c>
      <c r="G12" s="93" t="e">
        <f>VLOOKUP(B12,'R.H.'!A$3:C$3974,3,FALSE)*D12/100</f>
        <v>#N/A</v>
      </c>
      <c r="H12" s="82">
        <f t="shared" si="1"/>
        <v>4.6153846153846156E-2</v>
      </c>
      <c r="I12" s="87" t="e">
        <f>VLOOKUP(B12,'R.H.'!A$3:C$3974,3,FALSE)/100</f>
        <v>#N/A</v>
      </c>
      <c r="J12" s="83">
        <v>0.5</v>
      </c>
      <c r="K12" s="92" t="e">
        <f t="shared" si="2"/>
        <v>#N/A</v>
      </c>
      <c r="L12" s="84">
        <v>490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1487</v>
      </c>
      <c r="C13" s="91" t="e">
        <f>IF(ISBLANK(B13),"",VLOOKUP(B13,SÜRELER!$A:$B,2,FALSE))</f>
        <v>#N/A</v>
      </c>
      <c r="D13" s="80">
        <f>40+404</f>
        <v>444</v>
      </c>
      <c r="E13" s="92" t="e">
        <f>IF(ISBLANK($B13),"0",VLOOKUP($B13,SÜRELER!$A:$C,3,FALSE))*(D13-F13)</f>
        <v>#N/A</v>
      </c>
      <c r="F13" s="81">
        <v>4</v>
      </c>
      <c r="G13" s="93" t="e">
        <f>VLOOKUP(B13,'R.H.'!A$3:C$3974,3,FALSE)*D13/100</f>
        <v>#N/A</v>
      </c>
      <c r="H13" s="82">
        <f t="shared" si="1"/>
        <v>9.0090090090090089E-3</v>
      </c>
      <c r="I13" s="87" t="e">
        <f>VLOOKUP(B13,'R.H.'!A$3:C$3974,3,FALSE)/100</f>
        <v>#N/A</v>
      </c>
      <c r="J13" s="83">
        <v>0.5</v>
      </c>
      <c r="K13" s="92" t="e">
        <f t="shared" si="2"/>
        <v>#N/A</v>
      </c>
      <c r="L13" s="84">
        <v>2470</v>
      </c>
      <c r="M13" s="84"/>
      <c r="N13" s="94" t="e">
        <f t="shared" si="3"/>
        <v>#N/A</v>
      </c>
      <c r="O13" s="88" t="e">
        <f t="shared" si="0"/>
        <v>#N/A</v>
      </c>
      <c r="P13" s="164" t="s">
        <v>3420</v>
      </c>
      <c r="Q13" s="5"/>
      <c r="R13" s="5"/>
    </row>
    <row r="14" spans="1:23" s="4" customFormat="1" ht="16.75" customHeight="1" x14ac:dyDescent="0.25">
      <c r="A14" s="85">
        <v>10</v>
      </c>
      <c r="B14" s="86">
        <v>1782</v>
      </c>
      <c r="C14" s="91" t="e">
        <f>IF(ISBLANK(B14),"",VLOOKUP(B14,SÜRELER!$A:$B,2,FALSE))</f>
        <v>#N/A</v>
      </c>
      <c r="D14" s="80">
        <f>26+252</f>
        <v>278</v>
      </c>
      <c r="E14" s="92" t="e">
        <f>IF(ISBLANK($B14),"0",VLOOKUP($B14,SÜRELER!$A:$C,3,FALSE))*(D14-F14)</f>
        <v>#N/A</v>
      </c>
      <c r="F14" s="81">
        <v>9</v>
      </c>
      <c r="G14" s="93" t="e">
        <f>VLOOKUP(B14,'R.H.'!A$3:C$3974,3,FALSE)*D14/100</f>
        <v>#N/A</v>
      </c>
      <c r="H14" s="82">
        <f t="shared" si="1"/>
        <v>3.237410071942446E-2</v>
      </c>
      <c r="I14" s="87" t="e">
        <f>VLOOKUP(B14,'R.H.'!A$3:C$3974,3,FALSE)/100</f>
        <v>#N/A</v>
      </c>
      <c r="J14" s="83">
        <v>0.5</v>
      </c>
      <c r="K14" s="92" t="e">
        <f t="shared" si="2"/>
        <v>#N/A</v>
      </c>
      <c r="L14" s="84">
        <v>880</v>
      </c>
      <c r="M14" s="84"/>
      <c r="N14" s="94" t="e">
        <f t="shared" si="3"/>
        <v>#N/A</v>
      </c>
      <c r="O14" s="88" t="e">
        <f t="shared" si="0"/>
        <v>#N/A</v>
      </c>
      <c r="P14" s="164" t="s">
        <v>3421</v>
      </c>
      <c r="Q14" s="5"/>
      <c r="R14" s="5"/>
    </row>
    <row r="15" spans="1:23" s="4" customFormat="1" ht="16.5" x14ac:dyDescent="0.25">
      <c r="A15" s="90">
        <v>11</v>
      </c>
      <c r="B15" s="86">
        <v>311</v>
      </c>
      <c r="C15" s="91" t="e">
        <f>IF(ISBLANK(B15),"",VLOOKUP(B15,SÜRELER!$A:$B,2,FALSE))</f>
        <v>#N/A</v>
      </c>
      <c r="D15" s="80">
        <f>325+500</f>
        <v>825</v>
      </c>
      <c r="E15" s="92" t="e">
        <f>IF(ISBLANK($B15),"0",VLOOKUP($B15,SÜRELER!$A:$C,3,FALSE))*(D15-F15)</f>
        <v>#N/A</v>
      </c>
      <c r="F15" s="81">
        <v>5</v>
      </c>
      <c r="G15" s="93" t="e">
        <f>VLOOKUP(B15,'R.H.'!A$3:C$3974,3,FALSE)*D15/100</f>
        <v>#N/A</v>
      </c>
      <c r="H15" s="82">
        <f t="shared" si="1"/>
        <v>6.0606060606060606E-3</v>
      </c>
      <c r="I15" s="87" t="e">
        <f>VLOOKUP(B15,'R.H.'!A$3:C$3974,3,FALSE)/100</f>
        <v>#N/A</v>
      </c>
      <c r="J15" s="83">
        <v>1</v>
      </c>
      <c r="K15" s="92" t="e">
        <f t="shared" si="2"/>
        <v>#N/A</v>
      </c>
      <c r="L15" s="84">
        <v>600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1756</v>
      </c>
      <c r="C16" s="91" t="e">
        <f>IF(ISBLANK(B16),"",VLOOKUP(B16,SÜRELER!$A:$B,2,FALSE))</f>
        <v>#N/A</v>
      </c>
      <c r="D16" s="80">
        <v>190</v>
      </c>
      <c r="E16" s="92" t="e">
        <f>IF(ISBLANK($B16),"0",VLOOKUP($B16,SÜRELER!$A:$C,3,FALSE))*(D16-F16)</f>
        <v>#N/A</v>
      </c>
      <c r="F16" s="81">
        <v>5</v>
      </c>
      <c r="G16" s="93" t="e">
        <f>VLOOKUP(B16,'R.H.'!A$3:C$3974,3,FALSE)*D16/100</f>
        <v>#N/A</v>
      </c>
      <c r="H16" s="82">
        <f t="shared" si="1"/>
        <v>2.6315789473684209E-2</v>
      </c>
      <c r="I16" s="87" t="e">
        <f>VLOOKUP(B16,'R.H.'!A$3:C$3974,3,FALSE)/100</f>
        <v>#N/A</v>
      </c>
      <c r="J16" s="83">
        <v>1</v>
      </c>
      <c r="K16" s="92" t="e">
        <f t="shared" si="2"/>
        <v>#N/A</v>
      </c>
      <c r="L16" s="84">
        <v>100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1757</v>
      </c>
      <c r="C17" s="91" t="e">
        <f>IF(ISBLANK(B17),"",VLOOKUP(B17,SÜRELER!$A:$B,2,FALSE))</f>
        <v>#N/A</v>
      </c>
      <c r="D17" s="80">
        <v>190</v>
      </c>
      <c r="E17" s="92" t="e">
        <f>IF(ISBLANK($B17),"0",VLOOKUP($B17,SÜRELER!$A:$C,3,FALSE))*(D17-F17)</f>
        <v>#N/A</v>
      </c>
      <c r="F17" s="81">
        <v>0</v>
      </c>
      <c r="G17" s="93" t="e">
        <f>VLOOKUP(B17,'R.H.'!A$3:C$3974,3,FALSE)*D17/100</f>
        <v>#N/A</v>
      </c>
      <c r="H17" s="82">
        <f t="shared" si="1"/>
        <v>0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210</v>
      </c>
      <c r="M17" s="84"/>
      <c r="N17" s="94" t="e">
        <f t="shared" si="3"/>
        <v>#N/A</v>
      </c>
      <c r="O17" s="88" t="e">
        <f t="shared" si="0"/>
        <v>#N/A</v>
      </c>
      <c r="P17" s="193" t="s">
        <v>3422</v>
      </c>
      <c r="Q17" s="5"/>
      <c r="R17" s="5"/>
    </row>
    <row r="18" spans="1:18" s="4" customFormat="1" ht="16.5" x14ac:dyDescent="0.25">
      <c r="A18" s="85">
        <v>14</v>
      </c>
      <c r="B18" s="86">
        <v>1587</v>
      </c>
      <c r="C18" s="91" t="e">
        <f>IF(ISBLANK(B18),"",VLOOKUP(B18,SÜRELER!$A:$B,2,FALSE))</f>
        <v>#N/A</v>
      </c>
      <c r="D18" s="80">
        <f>144+351</f>
        <v>495</v>
      </c>
      <c r="E18" s="92" t="e">
        <f>IF(ISBLANK($B18),"0",VLOOKUP($B18,SÜRELER!$A:$C,3,FALSE))*(D18-F18)</f>
        <v>#N/A</v>
      </c>
      <c r="F18" s="81">
        <v>0</v>
      </c>
      <c r="G18" s="93" t="e">
        <f>VLOOKUP(B18,'R.H.'!A$3:C$3974,3,FALSE)*D18/100</f>
        <v>#N/A</v>
      </c>
      <c r="H18" s="82">
        <f t="shared" si="1"/>
        <v>0</v>
      </c>
      <c r="I18" s="87" t="e">
        <f>VLOOKUP(B18,'R.H.'!A$3:C$3974,3,FALSE)/100</f>
        <v>#N/A</v>
      </c>
      <c r="J18" s="83">
        <v>0.5</v>
      </c>
      <c r="K18" s="92" t="e">
        <f t="shared" si="2"/>
        <v>#N/A</v>
      </c>
      <c r="L18" s="84">
        <v>620</v>
      </c>
      <c r="M18" s="84"/>
      <c r="N18" s="94" t="e">
        <f t="shared" si="3"/>
        <v>#N/A</v>
      </c>
      <c r="O18" s="88" t="e">
        <f t="shared" si="0"/>
        <v>#N/A</v>
      </c>
      <c r="P18" s="197"/>
      <c r="Q18" s="5"/>
      <c r="R18" s="5"/>
    </row>
    <row r="19" spans="1:18" s="4" customFormat="1" ht="16.5" x14ac:dyDescent="0.25">
      <c r="A19" s="90">
        <v>15</v>
      </c>
      <c r="B19" s="86">
        <v>1588</v>
      </c>
      <c r="C19" s="91" t="e">
        <f>IF(ISBLANK(B19),"",VLOOKUP(B19,SÜRELER!$A:$B,2,FALSE))</f>
        <v>#N/A</v>
      </c>
      <c r="D19" s="80">
        <v>495</v>
      </c>
      <c r="E19" s="92" t="e">
        <f>IF(ISBLANK($B19),"0",VLOOKUP($B19,SÜRELER!$A:$C,3,FALSE))*(D19-F19)</f>
        <v>#N/A</v>
      </c>
      <c r="F19" s="81">
        <v>0</v>
      </c>
      <c r="G19" s="93" t="e">
        <f>VLOOKUP(B19,'R.H.'!A$3:C$3974,3,FALSE)*D19/100</f>
        <v>#N/A</v>
      </c>
      <c r="H19" s="82">
        <f t="shared" si="1"/>
        <v>0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620</v>
      </c>
      <c r="M19" s="84"/>
      <c r="N19" s="94" t="e">
        <f t="shared" si="3"/>
        <v>#N/A</v>
      </c>
      <c r="O19" s="88" t="e">
        <f t="shared" si="0"/>
        <v>#N/A</v>
      </c>
      <c r="P19" s="194"/>
      <c r="Q19" s="5"/>
      <c r="R19" s="5"/>
    </row>
    <row r="20" spans="1:18" s="4" customFormat="1" ht="16.5" customHeight="1" x14ac:dyDescent="0.25">
      <c r="A20" s="85">
        <v>16</v>
      </c>
      <c r="B20" s="86">
        <v>1330</v>
      </c>
      <c r="C20" s="91" t="e">
        <f>IF(ISBLANK(B20),"",VLOOKUP(B20,SÜRELER!$A:$B,2,FALSE))</f>
        <v>#N/A</v>
      </c>
      <c r="D20" s="80">
        <f>500+1120</f>
        <v>1620</v>
      </c>
      <c r="E20" s="92" t="e">
        <f>IF(ISBLANK($B20),"0",VLOOKUP($B20,SÜRELER!$A:$C,3,FALSE))*(D20-F20)</f>
        <v>#N/A</v>
      </c>
      <c r="F20" s="81">
        <v>3</v>
      </c>
      <c r="G20" s="93" t="e">
        <f>VLOOKUP(B20,'R.H.'!A$3:C$3974,3,FALSE)*D20/100</f>
        <v>#N/A</v>
      </c>
      <c r="H20" s="82">
        <f t="shared" si="1"/>
        <v>1.8518518518518519E-3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730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customHeight="1" x14ac:dyDescent="0.25">
      <c r="A21" s="90">
        <v>17</v>
      </c>
      <c r="B21" s="86">
        <v>1331</v>
      </c>
      <c r="C21" s="91" t="e">
        <f>IF(ISBLANK(B21),"",VLOOKUP(B21,SÜRELER!$A:$B,2,FALSE))</f>
        <v>#N/A</v>
      </c>
      <c r="D21" s="80">
        <v>1620</v>
      </c>
      <c r="E21" s="92" t="e">
        <f>IF(ISBLANK($B21),"0",VLOOKUP($B21,SÜRELER!$A:$C,3,FALSE))*(D21-F21)</f>
        <v>#N/A</v>
      </c>
      <c r="F21" s="81">
        <v>3</v>
      </c>
      <c r="G21" s="93" t="e">
        <f>VLOOKUP(B21,'R.H.'!A$3:C$3974,3,FALSE)*D21/100</f>
        <v>#N/A</v>
      </c>
      <c r="H21" s="82">
        <f t="shared" si="1"/>
        <v>1.8518518518518519E-3</v>
      </c>
      <c r="I21" s="87" t="e">
        <f>VLOOKUP(B21,'R.H.'!A$3:C$3974,3,FALSE)/100</f>
        <v>#N/A</v>
      </c>
      <c r="J21" s="83">
        <v>1</v>
      </c>
      <c r="K21" s="92" t="e">
        <f t="shared" si="2"/>
        <v>#N/A</v>
      </c>
      <c r="L21" s="84">
        <v>360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2079</v>
      </c>
      <c r="C22" s="91" t="e">
        <f>IF(ISBLANK(B22),"",VLOOKUP(B22,SÜRELER!$A:$B,2,FALSE))</f>
        <v>#N/A</v>
      </c>
      <c r="D22" s="80">
        <f>250+130</f>
        <v>380</v>
      </c>
      <c r="E22" s="92" t="e">
        <f>IF(ISBLANK($B22),"0",VLOOKUP($B22,SÜRELER!$A:$C,3,FALSE))*(D22-F22)</f>
        <v>#N/A</v>
      </c>
      <c r="F22" s="81">
        <v>10</v>
      </c>
      <c r="G22" s="93" t="e">
        <f>VLOOKUP(B22,'R.H.'!A$3:C$3974,3,FALSE)*D22/100</f>
        <v>#N/A</v>
      </c>
      <c r="H22" s="82">
        <f t="shared" si="1"/>
        <v>2.6315789473684209E-2</v>
      </c>
      <c r="I22" s="87" t="e">
        <f>VLOOKUP(B22,'R.H.'!A$3:C$3974,3,FALSE)/100</f>
        <v>#N/A</v>
      </c>
      <c r="J22" s="83">
        <v>0.5</v>
      </c>
      <c r="K22" s="92" t="e">
        <f t="shared" si="2"/>
        <v>#N/A</v>
      </c>
      <c r="L22" s="84">
        <v>700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1334</v>
      </c>
      <c r="C23" s="91" t="e">
        <f>IF(ISBLANK(B23),"",VLOOKUP(B23,SÜRELER!$A:$B,2,FALSE))</f>
        <v>#N/A</v>
      </c>
      <c r="D23" s="80">
        <v>210</v>
      </c>
      <c r="E23" s="92" t="e">
        <f>IF(ISBLANK($B23),"0",VLOOKUP($B23,SÜRELER!$A:$C,3,FALSE))*(D23-F23)</f>
        <v>#N/A</v>
      </c>
      <c r="F23" s="81">
        <v>6</v>
      </c>
      <c r="G23" s="93" t="e">
        <f>VLOOKUP(B23,'R.H.'!A$3:C$3974,3,FALSE)*D23/100</f>
        <v>#N/A</v>
      </c>
      <c r="H23" s="82">
        <f t="shared" si="1"/>
        <v>2.8571428571428571E-2</v>
      </c>
      <c r="I23" s="87" t="e">
        <f>VLOOKUP(B23,'R.H.'!A$3:C$3974,3,FALSE)/100</f>
        <v>#N/A</v>
      </c>
      <c r="J23" s="83">
        <v>0.5</v>
      </c>
      <c r="K23" s="92" t="e">
        <f t="shared" si="2"/>
        <v>#N/A</v>
      </c>
      <c r="L23" s="84">
        <v>190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1335</v>
      </c>
      <c r="C24" s="91" t="e">
        <f>IF(ISBLANK(B24),"",VLOOKUP(B24,SÜRELER!$A:$B,2,FALSE))</f>
        <v>#N/A</v>
      </c>
      <c r="D24" s="80">
        <v>210</v>
      </c>
      <c r="E24" s="92" t="e">
        <f>IF(ISBLANK($B24),"0",VLOOKUP($B24,SÜRELER!$A:$C,3,FALSE))*(D24-F24)</f>
        <v>#N/A</v>
      </c>
      <c r="F24" s="81">
        <v>6</v>
      </c>
      <c r="G24" s="93" t="e">
        <f>VLOOKUP(B24,'R.H.'!A$3:C$3974,3,FALSE)*D24/100</f>
        <v>#N/A</v>
      </c>
      <c r="H24" s="82">
        <f t="shared" si="1"/>
        <v>2.8571428571428571E-2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190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1481</v>
      </c>
      <c r="C25" s="91" t="e">
        <f>IF(ISBLANK(B25),"",VLOOKUP(B25,SÜRELER!$A:$B,2,FALSE))</f>
        <v>#N/A</v>
      </c>
      <c r="D25" s="80">
        <v>434</v>
      </c>
      <c r="E25" s="92" t="e">
        <f>IF(ISBLANK($B25),"0",VLOOKUP($B25,SÜRELER!$A:$C,3,FALSE))*(D25-F25)</f>
        <v>#N/A</v>
      </c>
      <c r="F25" s="81">
        <v>10</v>
      </c>
      <c r="G25" s="93" t="e">
        <f>VLOOKUP(B25,'R.H.'!A$3:C$3974,3,FALSE)*D25/100</f>
        <v>#N/A</v>
      </c>
      <c r="H25" s="82">
        <f t="shared" si="1"/>
        <v>2.3041474654377881E-2</v>
      </c>
      <c r="I25" s="87" t="e">
        <f>VLOOKUP(B25,'R.H.'!A$3:C$3974,3,FALSE)/100</f>
        <v>#N/A</v>
      </c>
      <c r="J25" s="83">
        <v>1</v>
      </c>
      <c r="K25" s="92" t="e">
        <f t="shared" si="2"/>
        <v>#N/A</v>
      </c>
      <c r="L25" s="84">
        <v>180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1482</v>
      </c>
      <c r="C26" s="91" t="e">
        <f>IF(ISBLANK(B26),"",VLOOKUP(B26,SÜRELER!$A:$B,2,FALSE))</f>
        <v>#N/A</v>
      </c>
      <c r="D26" s="80">
        <v>434</v>
      </c>
      <c r="E26" s="92" t="e">
        <f>IF(ISBLANK($B26),"0",VLOOKUP($B26,SÜRELER!$A:$C,3,FALSE))*(D26-F26)</f>
        <v>#N/A</v>
      </c>
      <c r="F26" s="81">
        <v>10</v>
      </c>
      <c r="G26" s="93" t="e">
        <f>VLOOKUP(B26,'R.H.'!A$3:C$3974,3,FALSE)*D26/100</f>
        <v>#N/A</v>
      </c>
      <c r="H26" s="82">
        <f t="shared" si="1"/>
        <v>2.3041474654377881E-2</v>
      </c>
      <c r="I26" s="87" t="e">
        <f>VLOOKUP(B26,'R.H.'!A$3:C$3974,3,FALSE)/100</f>
        <v>#N/A</v>
      </c>
      <c r="J26" s="83">
        <v>0.5</v>
      </c>
      <c r="K26" s="92" t="e">
        <f t="shared" si="2"/>
        <v>#N/A</v>
      </c>
      <c r="L26" s="84">
        <v>369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714</v>
      </c>
      <c r="C27" s="91" t="e">
        <f>IF(ISBLANK(B27),"",VLOOKUP(B27,SÜRELER!$A:$B,2,FALSE))</f>
        <v>#N/A</v>
      </c>
      <c r="D27" s="80">
        <v>428</v>
      </c>
      <c r="E27" s="92" t="e">
        <f>IF(ISBLANK($B27),"0",VLOOKUP($B27,SÜRELER!$A:$C,3,FALSE))*(D27-F27)</f>
        <v>#N/A</v>
      </c>
      <c r="F27" s="81">
        <v>8</v>
      </c>
      <c r="G27" s="93" t="e">
        <f>VLOOKUP(B27,'R.H.'!A$3:C$3974,3,FALSE)*D27/100</f>
        <v>#N/A</v>
      </c>
      <c r="H27" s="82">
        <f t="shared" si="1"/>
        <v>1.8691588785046728E-2</v>
      </c>
      <c r="I27" s="87" t="e">
        <f>VLOOKUP(B27,'R.H.'!A$3:C$3974,3,FALSE)/100</f>
        <v>#N/A</v>
      </c>
      <c r="J27" s="83">
        <v>0.5</v>
      </c>
      <c r="K27" s="92" t="e">
        <f t="shared" si="2"/>
        <v>#N/A</v>
      </c>
      <c r="L27" s="84">
        <v>450</v>
      </c>
      <c r="M27" s="84"/>
      <c r="N27" s="94" t="e">
        <f t="shared" si="3"/>
        <v>#N/A</v>
      </c>
      <c r="O27" s="88" t="e">
        <f t="shared" si="0"/>
        <v>#N/A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>
        <v>715</v>
      </c>
      <c r="C28" s="91" t="e">
        <f>IF(ISBLANK(B28),"",VLOOKUP(B28,SÜRELER!$A:$B,2,FALSE))</f>
        <v>#N/A</v>
      </c>
      <c r="D28" s="80">
        <v>428</v>
      </c>
      <c r="E28" s="92" t="e">
        <f>IF(ISBLANK($B28),"0",VLOOKUP($B28,SÜRELER!$A:$C,3,FALSE))*(D28-F28)</f>
        <v>#N/A</v>
      </c>
      <c r="F28" s="81">
        <v>8</v>
      </c>
      <c r="G28" s="93" t="e">
        <f>VLOOKUP(B28,'R.H.'!A$3:C$3974,3,FALSE)*D28/100</f>
        <v>#N/A</v>
      </c>
      <c r="H28" s="82">
        <f t="shared" si="1"/>
        <v>1.8691588785046728E-2</v>
      </c>
      <c r="I28" s="87" t="e">
        <f>VLOOKUP(B28,'R.H.'!A$3:C$3974,3,FALSE)/100</f>
        <v>#N/A</v>
      </c>
      <c r="J28" s="83">
        <v>0.5</v>
      </c>
      <c r="K28" s="92" t="e">
        <f t="shared" si="2"/>
        <v>#N/A</v>
      </c>
      <c r="L28" s="84">
        <v>450</v>
      </c>
      <c r="M28" s="84"/>
      <c r="N28" s="94" t="e">
        <f t="shared" si="3"/>
        <v>#N/A</v>
      </c>
      <c r="O28" s="88" t="e">
        <f t="shared" si="0"/>
        <v>#N/A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>
        <v>9825</v>
      </c>
      <c r="C29" s="91" t="e">
        <f>IF(ISBLANK(B29),"",VLOOKUP(B29,SÜRELER!$A:$B,2,FALSE))</f>
        <v>#N/A</v>
      </c>
      <c r="D29" s="80">
        <v>470</v>
      </c>
      <c r="E29" s="92" t="e">
        <f>IF(ISBLANK($B29),"0",VLOOKUP($B29,SÜRELER!$A:$C,3,FALSE))*(D29-F29)</f>
        <v>#N/A</v>
      </c>
      <c r="F29" s="81">
        <v>10</v>
      </c>
      <c r="G29" s="93" t="e">
        <f>VLOOKUP(B29,'R.H.'!A$3:C$3974,3,FALSE)*D29/100</f>
        <v>#N/A</v>
      </c>
      <c r="H29" s="82">
        <f t="shared" si="1"/>
        <v>2.1276595744680851E-2</v>
      </c>
      <c r="I29" s="87" t="e">
        <f>VLOOKUP(B29,'R.H.'!A$3:C$3974,3,FALSE)/100</f>
        <v>#N/A</v>
      </c>
      <c r="J29" s="83">
        <v>1</v>
      </c>
      <c r="K29" s="92" t="e">
        <f t="shared" si="2"/>
        <v>#N/A</v>
      </c>
      <c r="L29" s="84">
        <v>280</v>
      </c>
      <c r="M29" s="84"/>
      <c r="N29" s="94" t="e">
        <f t="shared" si="3"/>
        <v>#N/A</v>
      </c>
      <c r="O29" s="88" t="e">
        <f t="shared" si="0"/>
        <v>#N/A</v>
      </c>
      <c r="P29" s="119"/>
      <c r="Q29" s="5"/>
      <c r="R29" s="5"/>
    </row>
    <row r="30" spans="1:18" s="4" customFormat="1" ht="16.5" x14ac:dyDescent="0.25">
      <c r="A30" s="85">
        <v>26</v>
      </c>
      <c r="B30" s="86"/>
      <c r="C30" s="91" t="str">
        <f>IF(ISBLANK(B30),"",VLOOKUP(B30,SÜRELER!$A:$B,2,FALSE))</f>
        <v/>
      </c>
      <c r="D30" s="80"/>
      <c r="E30" s="92">
        <f>IF(ISBLANK($B30),"0",VLOOKUP($B30,SÜRELER!$A:$C,3,FALSE))*(D30-F30)</f>
        <v>0</v>
      </c>
      <c r="F30" s="81"/>
      <c r="G30" s="93" t="e">
        <f>VLOOKUP(B30,'R.H.'!A$3:C$3974,3,FALSE)*D30/100</f>
        <v>#N/A</v>
      </c>
      <c r="H30" s="82" t="e">
        <f t="shared" si="1"/>
        <v>#DIV/0!</v>
      </c>
      <c r="I30" s="87" t="e">
        <f>VLOOKUP(B30,'R.H.'!A$3:C$3974,3,FALSE)/100</f>
        <v>#N/A</v>
      </c>
      <c r="J30" s="83"/>
      <c r="K30" s="92" t="e">
        <f t="shared" si="2"/>
        <v>#DIV/0!</v>
      </c>
      <c r="L30" s="84"/>
      <c r="M30" s="84"/>
      <c r="N30" s="94" t="e">
        <f t="shared" si="3"/>
        <v>#DIV/0!</v>
      </c>
      <c r="O30" s="88" t="e">
        <f t="shared" si="0"/>
        <v>#DIV/0!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12436</v>
      </c>
      <c r="E45" s="26" t="e">
        <f>SUM(E5:E44)</f>
        <v>#N/A</v>
      </c>
      <c r="F45" s="26">
        <f>SUM(F5:F44)</f>
        <v>204</v>
      </c>
      <c r="G45" s="26"/>
      <c r="H45" s="26"/>
      <c r="I45" s="26"/>
      <c r="J45" s="26"/>
      <c r="K45" s="26"/>
      <c r="L45" s="26">
        <f>SUM(L5:L44)</f>
        <v>13519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1.6403988420714055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13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7670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>
        <v>150</v>
      </c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7520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150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12436</v>
      </c>
      <c r="F63" s="24">
        <f>F45</f>
        <v>204</v>
      </c>
      <c r="G63" s="23">
        <f>(F63*1000000)/E63</f>
        <v>16403.988420714057</v>
      </c>
      <c r="H63" s="22">
        <f>D59</f>
        <v>150</v>
      </c>
      <c r="I63" s="17" t="e">
        <f>N1</f>
        <v>#N/A</v>
      </c>
    </row>
  </sheetData>
  <mergeCells count="18">
    <mergeCell ref="N1:N3"/>
    <mergeCell ref="A2:B3"/>
    <mergeCell ref="E56:N56"/>
    <mergeCell ref="D46:D47"/>
    <mergeCell ref="E46:F47"/>
    <mergeCell ref="A1:B1"/>
    <mergeCell ref="C1:D2"/>
    <mergeCell ref="H1:H3"/>
    <mergeCell ref="P5:P6"/>
    <mergeCell ref="E57:N57"/>
    <mergeCell ref="E49:N49"/>
    <mergeCell ref="E50:N50"/>
    <mergeCell ref="E51:N51"/>
    <mergeCell ref="E53:N53"/>
    <mergeCell ref="E54:N54"/>
    <mergeCell ref="E55:N55"/>
    <mergeCell ref="P8:P10"/>
    <mergeCell ref="P17:P19"/>
  </mergeCells>
  <conditionalFormatting sqref="D3">
    <cfRule type="cellIs" dxfId="119" priority="5" stopIfTrue="1" operator="lessThan">
      <formula>0.95</formula>
    </cfRule>
  </conditionalFormatting>
  <conditionalFormatting sqref="F5:F44">
    <cfRule type="cellIs" dxfId="118" priority="1" stopIfTrue="1" operator="greaterThan">
      <formula>$G5</formula>
    </cfRule>
  </conditionalFormatting>
  <conditionalFormatting sqref="H5:H44">
    <cfRule type="cellIs" dxfId="117" priority="2" stopIfTrue="1" operator="greaterThan">
      <formula>$I$5</formula>
    </cfRule>
  </conditionalFormatting>
  <conditionalFormatting sqref="N1:N3">
    <cfRule type="cellIs" dxfId="116" priority="4" stopIfTrue="1" operator="lessThan">
      <formula>0.8</formula>
    </cfRule>
  </conditionalFormatting>
  <conditionalFormatting sqref="N5:O44">
    <cfRule type="cellIs" dxfId="115" priority="3" stopIfTrue="1" operator="lessThan">
      <formula>0.85</formula>
    </cfRule>
  </conditionalFormatting>
  <hyperlinks>
    <hyperlink ref="P1:P3" location="'Ana Sayfa'!A1" display="ANA SAYFA" xr:uid="{A5057FC1-9D38-46E2-AAA7-B332AA94CEFB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48F2-ED2A-4B56-80F0-6582385F982C}">
  <sheetPr codeName="Sayfa9">
    <tabColor theme="0" tint="-0.14999847407452621"/>
    <pageSetUpPr fitToPage="1"/>
  </sheetPr>
  <dimension ref="A1:W63"/>
  <sheetViews>
    <sheetView workbookViewId="0">
      <selection activeCell="I1" sqref="I1:M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'8'!A1+1</f>
        <v>46212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Perşembe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16027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1776</v>
      </c>
      <c r="C5" s="91" t="e">
        <f>IF(ISBLANK(B5),"",VLOOKUP(B5,SÜRELER!$A:$B,2,FALSE))</f>
        <v>#N/A</v>
      </c>
      <c r="D5" s="80">
        <v>304</v>
      </c>
      <c r="E5" s="92" t="e">
        <f>IF(ISBLANK($B5),"0",VLOOKUP($B5,SÜRELER!$A:$C,3,FALSE))*(D5-F5)</f>
        <v>#N/A</v>
      </c>
      <c r="F5" s="81">
        <v>4</v>
      </c>
      <c r="G5" s="93" t="e">
        <f>VLOOKUP(B5,'R.H.'!A$3:C$3974,3,FALSE)*D5/100</f>
        <v>#N/A</v>
      </c>
      <c r="H5" s="82">
        <f>F5/D5</f>
        <v>1.3157894736842105E-2</v>
      </c>
      <c r="I5" s="87" t="e">
        <f>VLOOKUP(B5,'R.H.'!A$3:C$3974,3,FALSE)/100</f>
        <v>#N/A</v>
      </c>
      <c r="J5" s="83">
        <v>1</v>
      </c>
      <c r="K5" s="92" t="e">
        <f>E5/J5</f>
        <v>#N/A</v>
      </c>
      <c r="L5" s="84">
        <v>310</v>
      </c>
      <c r="M5" s="84"/>
      <c r="N5" s="94" t="e">
        <f>K5/L5</f>
        <v>#N/A</v>
      </c>
      <c r="O5" s="88" t="e">
        <f t="shared" ref="O5:O44" si="0">K5/(L5-M5)</f>
        <v>#N/A</v>
      </c>
      <c r="P5" s="164" t="s">
        <v>3423</v>
      </c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2082</v>
      </c>
      <c r="C6" s="91" t="e">
        <f>IF(ISBLANK(B6),"",VLOOKUP(B6,SÜRELER!$A:$B,2,FALSE))</f>
        <v>#N/A</v>
      </c>
      <c r="D6" s="80">
        <f>69+112</f>
        <v>181</v>
      </c>
      <c r="E6" s="92" t="e">
        <f>IF(ISBLANK($B6),"0",VLOOKUP($B6,SÜRELER!$A:$C,3,FALSE))*(D6-F6)</f>
        <v>#N/A</v>
      </c>
      <c r="F6" s="81">
        <v>0</v>
      </c>
      <c r="G6" s="93" t="e">
        <f>VLOOKUP(B6,'R.H.'!A$3:C$3974,3,FALSE)*D6/100</f>
        <v>#N/A</v>
      </c>
      <c r="H6" s="82">
        <f t="shared" ref="H6:H44" si="1">F6/D6</f>
        <v>0</v>
      </c>
      <c r="I6" s="87" t="e">
        <f>VLOOKUP(B6,'R.H.'!A$3:C$3974,3,FALSE)/100</f>
        <v>#N/A</v>
      </c>
      <c r="J6" s="83">
        <v>0.5</v>
      </c>
      <c r="K6" s="92" t="e">
        <f t="shared" ref="K6:K44" si="2">E6/J6</f>
        <v>#N/A</v>
      </c>
      <c r="L6" s="84">
        <v>500</v>
      </c>
      <c r="M6" s="84"/>
      <c r="N6" s="94" t="e">
        <f t="shared" ref="N6:N44" si="3">K6/L6</f>
        <v>#N/A</v>
      </c>
      <c r="O6" s="88" t="e">
        <f t="shared" si="0"/>
        <v>#N/A</v>
      </c>
      <c r="P6" s="164" t="s">
        <v>3424</v>
      </c>
      <c r="Q6" s="5"/>
      <c r="R6" s="5"/>
    </row>
    <row r="7" spans="1:23" s="4" customFormat="1" ht="16.5" customHeight="1" x14ac:dyDescent="0.25">
      <c r="A7" s="90">
        <v>3</v>
      </c>
      <c r="B7" s="86">
        <v>1330</v>
      </c>
      <c r="C7" s="91" t="e">
        <f>IF(ISBLANK(B7),"",VLOOKUP(B7,SÜRELER!$A:$B,2,FALSE))</f>
        <v>#N/A</v>
      </c>
      <c r="D7" s="80">
        <f>1100+948</f>
        <v>2048</v>
      </c>
      <c r="E7" s="92" t="e">
        <f>IF(ISBLANK($B7),"0",VLOOKUP($B7,SÜRELER!$A:$C,3,FALSE))*(D7-F7)</f>
        <v>#N/A</v>
      </c>
      <c r="F7" s="81">
        <v>0</v>
      </c>
      <c r="G7" s="93" t="e">
        <f>VLOOKUP(B7,'R.H.'!A$3:C$3974,3,FALSE)*D7/100</f>
        <v>#N/A</v>
      </c>
      <c r="H7" s="82">
        <f t="shared" si="1"/>
        <v>0</v>
      </c>
      <c r="I7" s="87" t="e">
        <f>VLOOKUP(B7,'R.H.'!A$3:C$3974,3,FALSE)/100</f>
        <v>#N/A</v>
      </c>
      <c r="J7" s="83">
        <v>0.5</v>
      </c>
      <c r="K7" s="92" t="e">
        <f t="shared" si="2"/>
        <v>#N/A</v>
      </c>
      <c r="L7" s="84">
        <v>865</v>
      </c>
      <c r="M7" s="84"/>
      <c r="N7" s="94" t="e">
        <f t="shared" si="3"/>
        <v>#N/A</v>
      </c>
      <c r="O7" s="88" t="e">
        <f t="shared" si="0"/>
        <v>#N/A</v>
      </c>
      <c r="P7" s="119"/>
      <c r="Q7" s="5"/>
      <c r="R7" s="5"/>
    </row>
    <row r="8" spans="1:23" s="4" customFormat="1" ht="16.5" customHeight="1" x14ac:dyDescent="0.25">
      <c r="A8" s="85">
        <v>4</v>
      </c>
      <c r="B8" s="86">
        <v>1331</v>
      </c>
      <c r="C8" s="91" t="e">
        <f>IF(ISBLANK(B8),"",VLOOKUP(B8,SÜRELER!$A:$B,2,FALSE))</f>
        <v>#N/A</v>
      </c>
      <c r="D8" s="80">
        <v>2048</v>
      </c>
      <c r="E8" s="92" t="e">
        <f>IF(ISBLANK($B8),"0",VLOOKUP($B8,SÜRELER!$A:$C,3,FALSE))*(D8-F8)</f>
        <v>#N/A</v>
      </c>
      <c r="F8" s="81">
        <v>0</v>
      </c>
      <c r="G8" s="93" t="e">
        <f>VLOOKUP(B8,'R.H.'!A$3:C$3974,3,FALSE)*D8/100</f>
        <v>#N/A</v>
      </c>
      <c r="H8" s="82">
        <f t="shared" si="1"/>
        <v>0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865</v>
      </c>
      <c r="M8" s="84"/>
      <c r="N8" s="94" t="e">
        <f t="shared" si="3"/>
        <v>#N/A</v>
      </c>
      <c r="O8" s="88" t="e">
        <f t="shared" si="0"/>
        <v>#N/A</v>
      </c>
      <c r="P8" s="119"/>
      <c r="Q8" s="5"/>
      <c r="R8" s="5"/>
    </row>
    <row r="9" spans="1:23" s="4" customFormat="1" ht="16.5" customHeight="1" x14ac:dyDescent="0.25">
      <c r="A9" s="90">
        <v>5</v>
      </c>
      <c r="B9" s="86">
        <v>97</v>
      </c>
      <c r="C9" s="91" t="e">
        <f>IF(ISBLANK(B9),"",VLOOKUP(B9,SÜRELER!$A:$B,2,FALSE))</f>
        <v>#N/A</v>
      </c>
      <c r="D9" s="80">
        <f>289+71</f>
        <v>360</v>
      </c>
      <c r="E9" s="92" t="e">
        <f>IF(ISBLANK($B9),"0",VLOOKUP($B9,SÜRELER!$A:$C,3,FALSE))*(D9-F9)</f>
        <v>#N/A</v>
      </c>
      <c r="F9" s="81">
        <v>60</v>
      </c>
      <c r="G9" s="93" t="e">
        <f>VLOOKUP(B9,'R.H.'!A$3:C$3974,3,FALSE)*D9/100</f>
        <v>#N/A</v>
      </c>
      <c r="H9" s="82">
        <f t="shared" si="1"/>
        <v>0.16666666666666666</v>
      </c>
      <c r="I9" s="87" t="e">
        <f>VLOOKUP(B9,'R.H.'!A$3:C$3974,3,FALSE)/100</f>
        <v>#N/A</v>
      </c>
      <c r="J9" s="83">
        <v>0.5</v>
      </c>
      <c r="K9" s="92" t="e">
        <f t="shared" si="2"/>
        <v>#N/A</v>
      </c>
      <c r="L9" s="84">
        <v>680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2179</v>
      </c>
      <c r="C10" s="91" t="e">
        <f>IF(ISBLANK(B10),"",VLOOKUP(B10,SÜRELER!$A:$B,2,FALSE))</f>
        <v>#N/A</v>
      </c>
      <c r="D10" s="80">
        <v>356</v>
      </c>
      <c r="E10" s="92" t="e">
        <f>IF(ISBLANK($B10),"0",VLOOKUP($B10,SÜRELER!$A:$C,3,FALSE))*(D10-F10)</f>
        <v>#N/A</v>
      </c>
      <c r="F10" s="81">
        <v>12</v>
      </c>
      <c r="G10" s="93" t="e">
        <f>VLOOKUP(B10,'R.H.'!A$3:C$3974,3,FALSE)*D10/100</f>
        <v>#N/A</v>
      </c>
      <c r="H10" s="82">
        <f t="shared" si="1"/>
        <v>3.3707865168539325E-2</v>
      </c>
      <c r="I10" s="87" t="e">
        <f>VLOOKUP(B10,'R.H.'!A$3:C$3974,3,FALSE)/100</f>
        <v>#N/A</v>
      </c>
      <c r="J10" s="83">
        <v>0.5</v>
      </c>
      <c r="K10" s="92" t="e">
        <f t="shared" si="2"/>
        <v>#N/A</v>
      </c>
      <c r="L10" s="84">
        <v>350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2180</v>
      </c>
      <c r="C11" s="91" t="e">
        <f>IF(ISBLANK(B11),"",VLOOKUP(B11,SÜRELER!$A:$B,2,FALSE))</f>
        <v>#N/A</v>
      </c>
      <c r="D11" s="80">
        <v>356</v>
      </c>
      <c r="E11" s="92" t="e">
        <f>IF(ISBLANK($B11),"0",VLOOKUP($B11,SÜRELER!$A:$C,3,FALSE))*(D11-F11)</f>
        <v>#N/A</v>
      </c>
      <c r="F11" s="81">
        <v>12</v>
      </c>
      <c r="G11" s="93" t="e">
        <f>VLOOKUP(B11,'R.H.'!A$3:C$3974,3,FALSE)*D11/100</f>
        <v>#N/A</v>
      </c>
      <c r="H11" s="82">
        <f t="shared" si="1"/>
        <v>3.3707865168539325E-2</v>
      </c>
      <c r="I11" s="87" t="e">
        <f>VLOOKUP(B11,'R.H.'!A$3:C$3974,3,FALSE)/100</f>
        <v>#N/A</v>
      </c>
      <c r="J11" s="83">
        <v>0.5</v>
      </c>
      <c r="K11" s="92" t="e">
        <f t="shared" si="2"/>
        <v>#N/A</v>
      </c>
      <c r="L11" s="84">
        <v>350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1960</v>
      </c>
      <c r="C12" s="91" t="e">
        <f>IF(ISBLANK(B12),"",VLOOKUP(B12,SÜRELER!$A:$B,2,FALSE))</f>
        <v>#N/A</v>
      </c>
      <c r="D12" s="80">
        <f>100+206</f>
        <v>306</v>
      </c>
      <c r="E12" s="92" t="e">
        <f>IF(ISBLANK($B12),"0",VLOOKUP($B12,SÜRELER!$A:$C,3,FALSE))*(D12-F12)</f>
        <v>#N/A</v>
      </c>
      <c r="F12" s="81">
        <v>10</v>
      </c>
      <c r="G12" s="93" t="e">
        <f>VLOOKUP(B12,'R.H.'!A$3:C$3974,3,FALSE)*D12/100</f>
        <v>#N/A</v>
      </c>
      <c r="H12" s="82">
        <f t="shared" si="1"/>
        <v>3.2679738562091505E-2</v>
      </c>
      <c r="I12" s="87" t="e">
        <f>VLOOKUP(B12,'R.H.'!A$3:C$3974,3,FALSE)/100</f>
        <v>#N/A</v>
      </c>
      <c r="J12" s="83">
        <v>0.5</v>
      </c>
      <c r="K12" s="92" t="e">
        <f t="shared" si="2"/>
        <v>#N/A</v>
      </c>
      <c r="L12" s="84">
        <v>2970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1961</v>
      </c>
      <c r="C13" s="91" t="e">
        <f>IF(ISBLANK(B13),"",VLOOKUP(B13,SÜRELER!$A:$B,2,FALSE))</f>
        <v>#N/A</v>
      </c>
      <c r="D13" s="80">
        <v>306</v>
      </c>
      <c r="E13" s="92" t="e">
        <f>IF(ISBLANK($B13),"0",VLOOKUP($B13,SÜRELER!$A:$C,3,FALSE))*(D13-F13)</f>
        <v>#N/A</v>
      </c>
      <c r="F13" s="81">
        <v>10</v>
      </c>
      <c r="G13" s="93" t="e">
        <f>VLOOKUP(B13,'R.H.'!A$3:C$3974,3,FALSE)*D13/100</f>
        <v>#N/A</v>
      </c>
      <c r="H13" s="82">
        <f t="shared" si="1"/>
        <v>3.2679738562091505E-2</v>
      </c>
      <c r="I13" s="87" t="e">
        <f>VLOOKUP(B13,'R.H.'!A$3:C$3974,3,FALSE)/100</f>
        <v>#N/A</v>
      </c>
      <c r="J13" s="83">
        <v>0.5</v>
      </c>
      <c r="K13" s="92" t="e">
        <f t="shared" si="2"/>
        <v>#N/A</v>
      </c>
      <c r="L13" s="84">
        <v>2970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1339</v>
      </c>
      <c r="C14" s="91" t="e">
        <f>IF(ISBLANK(B14),"",VLOOKUP(B14,SÜRELER!$A:$B,2,FALSE))</f>
        <v>#N/A</v>
      </c>
      <c r="D14" s="80">
        <f>534+516</f>
        <v>1050</v>
      </c>
      <c r="E14" s="92" t="e">
        <f>IF(ISBLANK($B14),"0",VLOOKUP($B14,SÜRELER!$A:$C,3,FALSE))*(D14-F14)</f>
        <v>#N/A</v>
      </c>
      <c r="F14" s="81">
        <v>6</v>
      </c>
      <c r="G14" s="93" t="e">
        <f>VLOOKUP(B14,'R.H.'!A$3:C$3974,3,FALSE)*D14/100</f>
        <v>#N/A</v>
      </c>
      <c r="H14" s="82">
        <f t="shared" si="1"/>
        <v>5.7142857142857143E-3</v>
      </c>
      <c r="I14" s="87" t="e">
        <f>VLOOKUP(B14,'R.H.'!A$3:C$3974,3,FALSE)/100</f>
        <v>#N/A</v>
      </c>
      <c r="J14" s="83">
        <v>0.5</v>
      </c>
      <c r="K14" s="92" t="e">
        <f t="shared" si="2"/>
        <v>#N/A</v>
      </c>
      <c r="L14" s="84">
        <v>2098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1360</v>
      </c>
      <c r="C15" s="91" t="e">
        <f>IF(ISBLANK(B15),"",VLOOKUP(B15,SÜRELER!$A:$B,2,FALSE))</f>
        <v>#N/A</v>
      </c>
      <c r="D15" s="80">
        <f>278+787</f>
        <v>1065</v>
      </c>
      <c r="E15" s="92" t="e">
        <f>IF(ISBLANK($B15),"0",VLOOKUP($B15,SÜRELER!$A:$C,3,FALSE))*(D15-F15)</f>
        <v>#N/A</v>
      </c>
      <c r="F15" s="81">
        <v>2</v>
      </c>
      <c r="G15" s="93" t="e">
        <f>VLOOKUP(B15,'R.H.'!A$3:C$3974,3,FALSE)*D15/100</f>
        <v>#N/A</v>
      </c>
      <c r="H15" s="82">
        <f t="shared" si="1"/>
        <v>1.8779342723004694E-3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1070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1361</v>
      </c>
      <c r="C16" s="91" t="e">
        <f>IF(ISBLANK(B16),"",VLOOKUP(B16,SÜRELER!$A:$B,2,FALSE))</f>
        <v>#N/A</v>
      </c>
      <c r="D16" s="80">
        <v>1065</v>
      </c>
      <c r="E16" s="92" t="e">
        <f>IF(ISBLANK($B16),"0",VLOOKUP($B16,SÜRELER!$A:$C,3,FALSE))*(D16-F16)</f>
        <v>#N/A</v>
      </c>
      <c r="F16" s="81">
        <v>2</v>
      </c>
      <c r="G16" s="93" t="e">
        <f>VLOOKUP(B16,'R.H.'!A$3:C$3974,3,FALSE)*D16/100</f>
        <v>#N/A</v>
      </c>
      <c r="H16" s="82">
        <f t="shared" si="1"/>
        <v>1.8779342723004694E-3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1070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2070</v>
      </c>
      <c r="C17" s="91" t="e">
        <f>IF(ISBLANK(B17),"",VLOOKUP(B17,SÜRELER!$A:$B,2,FALSE))</f>
        <v>#N/A</v>
      </c>
      <c r="D17" s="80">
        <f>232+502</f>
        <v>734</v>
      </c>
      <c r="E17" s="92" t="e">
        <f>IF(ISBLANK($B17),"0",VLOOKUP($B17,SÜRELER!$A:$C,3,FALSE))*(D17-F17)</f>
        <v>#N/A</v>
      </c>
      <c r="F17" s="81">
        <v>16</v>
      </c>
      <c r="G17" s="93" t="e">
        <f>VLOOKUP(B17,'R.H.'!A$3:C$3974,3,FALSE)*D17/100</f>
        <v>#N/A</v>
      </c>
      <c r="H17" s="82">
        <f t="shared" si="1"/>
        <v>2.1798365122615803E-2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670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2071</v>
      </c>
      <c r="C18" s="91" t="e">
        <f>IF(ISBLANK(B18),"",VLOOKUP(B18,SÜRELER!$A:$B,2,FALSE))</f>
        <v>#N/A</v>
      </c>
      <c r="D18" s="80">
        <v>734</v>
      </c>
      <c r="E18" s="92" t="e">
        <f>IF(ISBLANK($B18),"0",VLOOKUP($B18,SÜRELER!$A:$C,3,FALSE))*(D18-F18)</f>
        <v>#N/A</v>
      </c>
      <c r="F18" s="81">
        <v>16</v>
      </c>
      <c r="G18" s="93" t="e">
        <f>VLOOKUP(B18,'R.H.'!A$3:C$3974,3,FALSE)*D18/100</f>
        <v>#N/A</v>
      </c>
      <c r="H18" s="82">
        <f t="shared" si="1"/>
        <v>2.1798365122615803E-2</v>
      </c>
      <c r="I18" s="87" t="e">
        <f>VLOOKUP(B18,'R.H.'!A$3:C$3974,3,FALSE)/100</f>
        <v>#N/A</v>
      </c>
      <c r="J18" s="83">
        <v>0.5</v>
      </c>
      <c r="K18" s="92" t="e">
        <f t="shared" si="2"/>
        <v>#N/A</v>
      </c>
      <c r="L18" s="84">
        <v>670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77</v>
      </c>
      <c r="C19" s="91" t="e">
        <f>IF(ISBLANK(B19),"",VLOOKUP(B19,SÜRELER!$A:$B,2,FALSE))</f>
        <v>#N/A</v>
      </c>
      <c r="D19" s="80">
        <v>282</v>
      </c>
      <c r="E19" s="92" t="e">
        <f>IF(ISBLANK($B19),"0",VLOOKUP($B19,SÜRELER!$A:$C,3,FALSE))*(D19-F19)</f>
        <v>#N/A</v>
      </c>
      <c r="F19" s="81">
        <v>10</v>
      </c>
      <c r="G19" s="93" t="e">
        <f>VLOOKUP(B19,'R.H.'!A$3:C$3974,3,FALSE)*D19/100</f>
        <v>#N/A</v>
      </c>
      <c r="H19" s="82">
        <f t="shared" si="1"/>
        <v>3.5460992907801421E-2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340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78</v>
      </c>
      <c r="C20" s="91" t="e">
        <f>IF(ISBLANK(B20),"",VLOOKUP(B20,SÜRELER!$A:$B,2,FALSE))</f>
        <v>#N/A</v>
      </c>
      <c r="D20" s="80">
        <v>282</v>
      </c>
      <c r="E20" s="92" t="e">
        <f>IF(ISBLANK($B20),"0",VLOOKUP($B20,SÜRELER!$A:$C,3,FALSE))*(D20-F20)</f>
        <v>#N/A</v>
      </c>
      <c r="F20" s="81">
        <v>10</v>
      </c>
      <c r="G20" s="93" t="e">
        <f>VLOOKUP(B20,'R.H.'!A$3:C$3974,3,FALSE)*D20/100</f>
        <v>#N/A</v>
      </c>
      <c r="H20" s="82">
        <f t="shared" si="1"/>
        <v>3.5460992907801421E-2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340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1481</v>
      </c>
      <c r="C21" s="91" t="e">
        <f>IF(ISBLANK(B21),"",VLOOKUP(B21,SÜRELER!$A:$B,2,FALSE))</f>
        <v>#N/A</v>
      </c>
      <c r="D21" s="80">
        <v>423</v>
      </c>
      <c r="E21" s="92" t="e">
        <f>IF(ISBLANK($B21),"0",VLOOKUP($B21,SÜRELER!$A:$C,3,FALSE))*(D21-F21)</f>
        <v>#N/A</v>
      </c>
      <c r="F21" s="81">
        <v>4</v>
      </c>
      <c r="G21" s="93" t="e">
        <f>VLOOKUP(B21,'R.H.'!A$3:C$3974,3,FALSE)*D21/100</f>
        <v>#N/A</v>
      </c>
      <c r="H21" s="82">
        <f t="shared" si="1"/>
        <v>9.4562647754137114E-3</v>
      </c>
      <c r="I21" s="87" t="e">
        <f>VLOOKUP(B21,'R.H.'!A$3:C$3974,3,FALSE)/100</f>
        <v>#N/A</v>
      </c>
      <c r="J21" s="83">
        <v>0.5</v>
      </c>
      <c r="K21" s="92" t="e">
        <f t="shared" si="2"/>
        <v>#N/A</v>
      </c>
      <c r="L21" s="84">
        <v>340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1482</v>
      </c>
      <c r="C22" s="91" t="e">
        <f>IF(ISBLANK(B22),"",VLOOKUP(B22,SÜRELER!$A:$B,2,FALSE))</f>
        <v>#N/A</v>
      </c>
      <c r="D22" s="80">
        <v>423</v>
      </c>
      <c r="E22" s="92" t="e">
        <f>IF(ISBLANK($B22),"0",VLOOKUP($B22,SÜRELER!$A:$C,3,FALSE))*(D22-F22)</f>
        <v>#N/A</v>
      </c>
      <c r="F22" s="81">
        <v>4</v>
      </c>
      <c r="G22" s="93" t="e">
        <f>VLOOKUP(B22,'R.H.'!A$3:C$3974,3,FALSE)*D22/100</f>
        <v>#N/A</v>
      </c>
      <c r="H22" s="82">
        <f t="shared" si="1"/>
        <v>9.4562647754137114E-3</v>
      </c>
      <c r="I22" s="87" t="e">
        <f>VLOOKUP(B22,'R.H.'!A$3:C$3974,3,FALSE)/100</f>
        <v>#N/A</v>
      </c>
      <c r="J22" s="83">
        <v>0.5</v>
      </c>
      <c r="K22" s="92" t="e">
        <f t="shared" si="2"/>
        <v>#N/A</v>
      </c>
      <c r="L22" s="84">
        <v>340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1463</v>
      </c>
      <c r="C23" s="91" t="e">
        <f>IF(ISBLANK(B23),"",VLOOKUP(B23,SÜRELER!$A:$B,2,FALSE))</f>
        <v>#N/A</v>
      </c>
      <c r="D23" s="80">
        <v>325</v>
      </c>
      <c r="E23" s="92" t="e">
        <f>IF(ISBLANK($B23),"0",VLOOKUP($B23,SÜRELER!$A:$C,3,FALSE))*(D23-F23)</f>
        <v>#N/A</v>
      </c>
      <c r="F23" s="81">
        <v>6</v>
      </c>
      <c r="G23" s="93" t="e">
        <f>VLOOKUP(B23,'R.H.'!A$3:C$3974,3,FALSE)*D23/100</f>
        <v>#N/A</v>
      </c>
      <c r="H23" s="82">
        <f t="shared" si="1"/>
        <v>1.8461538461538463E-2</v>
      </c>
      <c r="I23" s="87" t="e">
        <f>VLOOKUP(B23,'R.H.'!A$3:C$3974,3,FALSE)/100</f>
        <v>#N/A</v>
      </c>
      <c r="J23" s="83">
        <v>0.5</v>
      </c>
      <c r="K23" s="92" t="e">
        <f t="shared" si="2"/>
        <v>#N/A</v>
      </c>
      <c r="L23" s="84">
        <v>490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1464</v>
      </c>
      <c r="C24" s="91" t="e">
        <f>IF(ISBLANK(B24),"",VLOOKUP(B24,SÜRELER!$A:$B,2,FALSE))</f>
        <v>#N/A</v>
      </c>
      <c r="D24" s="80">
        <v>325</v>
      </c>
      <c r="E24" s="92" t="e">
        <f>IF(ISBLANK($B24),"0",VLOOKUP($B24,SÜRELER!$A:$C,3,FALSE))*(D24-F24)</f>
        <v>#N/A</v>
      </c>
      <c r="F24" s="81">
        <v>6</v>
      </c>
      <c r="G24" s="93" t="e">
        <f>VLOOKUP(B24,'R.H.'!A$3:C$3974,3,FALSE)*D24/100</f>
        <v>#N/A</v>
      </c>
      <c r="H24" s="82">
        <f t="shared" si="1"/>
        <v>1.8461538461538463E-2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490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845</v>
      </c>
      <c r="C25" s="91" t="e">
        <f>IF(ISBLANK(B25),"",VLOOKUP(B25,SÜRELER!$A:$B,2,FALSE))</f>
        <v>#N/A</v>
      </c>
      <c r="D25" s="80">
        <f>822+576</f>
        <v>1398</v>
      </c>
      <c r="E25" s="92" t="e">
        <f>IF(ISBLANK($B25),"0",VLOOKUP($B25,SÜRELER!$A:$C,3,FALSE))*(D25-F25)</f>
        <v>#N/A</v>
      </c>
      <c r="F25" s="81">
        <v>6</v>
      </c>
      <c r="G25" s="93" t="e">
        <f>VLOOKUP(B25,'R.H.'!A$3:C$3974,3,FALSE)*D25/100</f>
        <v>#N/A</v>
      </c>
      <c r="H25" s="82">
        <f t="shared" si="1"/>
        <v>4.2918454935622317E-3</v>
      </c>
      <c r="I25" s="87" t="e">
        <f>VLOOKUP(B25,'R.H.'!A$3:C$3974,3,FALSE)/100</f>
        <v>#N/A</v>
      </c>
      <c r="J25" s="83">
        <v>1</v>
      </c>
      <c r="K25" s="92" t="e">
        <f t="shared" si="2"/>
        <v>#N/A</v>
      </c>
      <c r="L25" s="84">
        <v>870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2179</v>
      </c>
      <c r="C26" s="91" t="e">
        <f>IF(ISBLANK(B26),"",VLOOKUP(B26,SÜRELER!$A:$B,2,FALSE))</f>
        <v>#N/A</v>
      </c>
      <c r="D26" s="80">
        <f>472+356</f>
        <v>828</v>
      </c>
      <c r="E26" s="92" t="e">
        <f>IF(ISBLANK($B26),"0",VLOOKUP($B26,SÜRELER!$A:$C,3,FALSE))*(D26-F26)</f>
        <v>#N/A</v>
      </c>
      <c r="F26" s="81">
        <v>12</v>
      </c>
      <c r="G26" s="93" t="e">
        <f>VLOOKUP(B26,'R.H.'!A$3:C$3974,3,FALSE)*D26/100</f>
        <v>#N/A</v>
      </c>
      <c r="H26" s="82">
        <f t="shared" si="1"/>
        <v>1.4492753623188406E-2</v>
      </c>
      <c r="I26" s="87" t="e">
        <f>VLOOKUP(B26,'R.H.'!A$3:C$3974,3,FALSE)/100</f>
        <v>#N/A</v>
      </c>
      <c r="J26" s="83">
        <v>0.5</v>
      </c>
      <c r="K26" s="92" t="e">
        <f t="shared" si="2"/>
        <v>#N/A</v>
      </c>
      <c r="L26" s="84">
        <v>830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2180</v>
      </c>
      <c r="C27" s="91" t="e">
        <f>IF(ISBLANK(B27),"",VLOOKUP(B27,SÜRELER!$A:$B,2,FALSE))</f>
        <v>#N/A</v>
      </c>
      <c r="D27" s="80">
        <v>828</v>
      </c>
      <c r="E27" s="92" t="e">
        <f>IF(ISBLANK($B27),"0",VLOOKUP($B27,SÜRELER!$A:$C,3,FALSE))*(D27-F27)</f>
        <v>#N/A</v>
      </c>
      <c r="F27" s="81">
        <v>12</v>
      </c>
      <c r="G27" s="93" t="e">
        <f>VLOOKUP(B27,'R.H.'!A$3:C$3974,3,FALSE)*D27/100</f>
        <v>#N/A</v>
      </c>
      <c r="H27" s="82">
        <f t="shared" si="1"/>
        <v>1.4492753623188406E-2</v>
      </c>
      <c r="I27" s="87" t="e">
        <f>VLOOKUP(B27,'R.H.'!A$3:C$3974,3,FALSE)/100</f>
        <v>#N/A</v>
      </c>
      <c r="J27" s="83">
        <v>0.5</v>
      </c>
      <c r="K27" s="92" t="e">
        <f t="shared" si="2"/>
        <v>#N/A</v>
      </c>
      <c r="L27" s="84">
        <v>830</v>
      </c>
      <c r="M27" s="84"/>
      <c r="N27" s="94" t="e">
        <f t="shared" si="3"/>
        <v>#N/A</v>
      </c>
      <c r="O27" s="88" t="e">
        <f t="shared" si="0"/>
        <v>#N/A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/>
      <c r="C28" s="91" t="str">
        <f>IF(ISBLANK(B28),"",VLOOKUP(B28,SÜRELER!$A:$B,2,FALSE))</f>
        <v/>
      </c>
      <c r="D28" s="80"/>
      <c r="E28" s="92">
        <f>IF(ISBLANK($B28),"0",VLOOKUP($B28,SÜRELER!$A:$C,3,FALSE))*(D28-F28)</f>
        <v>0</v>
      </c>
      <c r="F28" s="81">
        <v>10</v>
      </c>
      <c r="G28" s="93" t="e">
        <f>VLOOKUP(B28,'R.H.'!A$3:C$3974,3,FALSE)*D28/100</f>
        <v>#N/A</v>
      </c>
      <c r="H28" s="82" t="e">
        <f t="shared" si="1"/>
        <v>#DIV/0!</v>
      </c>
      <c r="I28" s="87" t="e">
        <f>VLOOKUP(B28,'R.H.'!A$3:C$3974,3,FALSE)/100</f>
        <v>#N/A</v>
      </c>
      <c r="J28" s="83"/>
      <c r="K28" s="92" t="e">
        <f t="shared" si="2"/>
        <v>#DIV/0!</v>
      </c>
      <c r="L28" s="84"/>
      <c r="M28" s="84"/>
      <c r="N28" s="94" t="e">
        <f t="shared" si="3"/>
        <v>#DIV/0!</v>
      </c>
      <c r="O28" s="88" t="e">
        <f t="shared" si="0"/>
        <v>#DIV/0!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/>
      <c r="C29" s="91" t="str">
        <f>IF(ISBLANK(B29),"",VLOOKUP(B29,SÜRELER!$A:$B,2,FALSE))</f>
        <v/>
      </c>
      <c r="D29" s="80"/>
      <c r="E29" s="92">
        <f>IF(ISBLANK($B29),"0",VLOOKUP($B29,SÜRELER!$A:$C,3,FALSE))*(D29-F29)</f>
        <v>0</v>
      </c>
      <c r="F29" s="81">
        <v>8</v>
      </c>
      <c r="G29" s="93" t="e">
        <f>VLOOKUP(B29,'R.H.'!A$3:C$3974,3,FALSE)*D29/100</f>
        <v>#N/A</v>
      </c>
      <c r="H29" s="82" t="e">
        <f t="shared" si="1"/>
        <v>#DIV/0!</v>
      </c>
      <c r="I29" s="87" t="e">
        <f>VLOOKUP(B29,'R.H.'!A$3:C$3974,3,FALSE)/100</f>
        <v>#N/A</v>
      </c>
      <c r="J29" s="83"/>
      <c r="K29" s="92" t="e">
        <f t="shared" si="2"/>
        <v>#DIV/0!</v>
      </c>
      <c r="L29" s="84"/>
      <c r="M29" s="84"/>
      <c r="N29" s="94" t="e">
        <f t="shared" si="3"/>
        <v>#DIV/0!</v>
      </c>
      <c r="O29" s="88" t="e">
        <f t="shared" si="0"/>
        <v>#DIV/0!</v>
      </c>
      <c r="P29" s="119"/>
      <c r="Q29" s="5"/>
      <c r="R29" s="5"/>
    </row>
    <row r="30" spans="1:18" s="4" customFormat="1" ht="16.5" x14ac:dyDescent="0.25">
      <c r="A30" s="85">
        <v>26</v>
      </c>
      <c r="B30" s="86"/>
      <c r="C30" s="91" t="str">
        <f>IF(ISBLANK(B30),"",VLOOKUP(B30,SÜRELER!$A:$B,2,FALSE))</f>
        <v/>
      </c>
      <c r="D30" s="80"/>
      <c r="E30" s="92">
        <f>IF(ISBLANK($B30),"0",VLOOKUP($B30,SÜRELER!$A:$C,3,FALSE))*(D30-F30)</f>
        <v>0</v>
      </c>
      <c r="F30" s="81">
        <v>8</v>
      </c>
      <c r="G30" s="93" t="e">
        <f>VLOOKUP(B30,'R.H.'!A$3:C$3974,3,FALSE)*D30/100</f>
        <v>#N/A</v>
      </c>
      <c r="H30" s="82" t="e">
        <f t="shared" si="1"/>
        <v>#DIV/0!</v>
      </c>
      <c r="I30" s="87" t="e">
        <f>VLOOKUP(B30,'R.H.'!A$3:C$3974,3,FALSE)/100</f>
        <v>#N/A</v>
      </c>
      <c r="J30" s="83"/>
      <c r="K30" s="92" t="e">
        <f t="shared" si="2"/>
        <v>#DIV/0!</v>
      </c>
      <c r="L30" s="84"/>
      <c r="M30" s="84"/>
      <c r="N30" s="94" t="e">
        <f t="shared" si="3"/>
        <v>#DIV/0!</v>
      </c>
      <c r="O30" s="88" t="e">
        <f t="shared" si="0"/>
        <v>#DIV/0!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>
        <v>0</v>
      </c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>
        <v>0</v>
      </c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>
        <v>0</v>
      </c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>
        <v>3</v>
      </c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>
        <v>3</v>
      </c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16027</v>
      </c>
      <c r="E45" s="26" t="e">
        <f>SUM(E5:E44)</f>
        <v>#N/A</v>
      </c>
      <c r="F45" s="26">
        <f>SUM(F5:F44)</f>
        <v>252</v>
      </c>
      <c r="G45" s="26"/>
      <c r="H45" s="26"/>
      <c r="I45" s="26"/>
      <c r="J45" s="26"/>
      <c r="K45" s="26"/>
      <c r="L45" s="26">
        <f>SUM(L5:L44)</f>
        <v>20308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1.572346665002808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20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10680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>
        <v>150</v>
      </c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10530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150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16027</v>
      </c>
      <c r="F63" s="24">
        <f>F45</f>
        <v>252</v>
      </c>
      <c r="G63" s="23">
        <f>(F63*1000000)/E63</f>
        <v>15723.466650028078</v>
      </c>
      <c r="H63" s="22">
        <f>D59</f>
        <v>150</v>
      </c>
      <c r="I63" s="17" t="e">
        <f>N1</f>
        <v>#N/A</v>
      </c>
    </row>
  </sheetData>
  <mergeCells count="15">
    <mergeCell ref="N1:N3"/>
    <mergeCell ref="A2:B3"/>
    <mergeCell ref="E56:N56"/>
    <mergeCell ref="E57:N57"/>
    <mergeCell ref="E49:N49"/>
    <mergeCell ref="E50:N50"/>
    <mergeCell ref="E51:N51"/>
    <mergeCell ref="E53:N53"/>
    <mergeCell ref="E54:N54"/>
    <mergeCell ref="E55:N55"/>
    <mergeCell ref="D46:D47"/>
    <mergeCell ref="E46:F47"/>
    <mergeCell ref="A1:B1"/>
    <mergeCell ref="C1:D2"/>
    <mergeCell ref="H1:H3"/>
  </mergeCells>
  <conditionalFormatting sqref="D3">
    <cfRule type="cellIs" dxfId="114" priority="5" stopIfTrue="1" operator="lessThan">
      <formula>0.95</formula>
    </cfRule>
  </conditionalFormatting>
  <conditionalFormatting sqref="F5:F44">
    <cfRule type="cellIs" dxfId="113" priority="1" stopIfTrue="1" operator="greaterThan">
      <formula>$G5</formula>
    </cfRule>
  </conditionalFormatting>
  <conditionalFormatting sqref="H5:H44">
    <cfRule type="cellIs" dxfId="112" priority="2" stopIfTrue="1" operator="greaterThan">
      <formula>$I$5</formula>
    </cfRule>
  </conditionalFormatting>
  <conditionalFormatting sqref="N1:N3">
    <cfRule type="cellIs" dxfId="111" priority="4" stopIfTrue="1" operator="lessThan">
      <formula>0.8</formula>
    </cfRule>
  </conditionalFormatting>
  <conditionalFormatting sqref="N5:O44">
    <cfRule type="cellIs" dxfId="110" priority="3" stopIfTrue="1" operator="lessThan">
      <formula>0.85</formula>
    </cfRule>
  </conditionalFormatting>
  <hyperlinks>
    <hyperlink ref="P1:P3" location="'Ana Sayfa'!A1" display="ANA SAYFA" xr:uid="{C404FF9C-05CF-4756-AD1A-58023AF6ED35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9AB8-E8A1-438C-9291-CFE887D2F4E0}">
  <sheetPr codeName="Sayfa10">
    <tabColor theme="0" tint="-0.14999847407452621"/>
    <pageSetUpPr fitToPage="1"/>
  </sheetPr>
  <dimension ref="A1:W63"/>
  <sheetViews>
    <sheetView workbookViewId="0">
      <selection activeCell="I1" sqref="I1:M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'9'!A1+1</f>
        <v>46213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Cuma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29675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102</v>
      </c>
      <c r="C5" s="91" t="e">
        <f>IF(ISBLANK(B5),"",VLOOKUP(B5,SÜRELER!$A:$B,2,FALSE))</f>
        <v>#N/A</v>
      </c>
      <c r="D5" s="80">
        <v>5</v>
      </c>
      <c r="E5" s="92" t="e">
        <f>IF(ISBLANK($B5),"0",VLOOKUP($B5,SÜRELER!$A:$C,3,FALSE))*(D5-F5)</f>
        <v>#N/A</v>
      </c>
      <c r="F5" s="81">
        <v>5</v>
      </c>
      <c r="G5" s="93" t="e">
        <f>VLOOKUP(B5,'R.H.'!A$3:C$3974,3,FALSE)*D5/100</f>
        <v>#N/A</v>
      </c>
      <c r="H5" s="82">
        <f>F5/D5</f>
        <v>1</v>
      </c>
      <c r="I5" s="87" t="e">
        <f>VLOOKUP(B5,'R.H.'!A$3:C$3974,3,FALSE)/100</f>
        <v>#N/A</v>
      </c>
      <c r="J5" s="83">
        <v>1</v>
      </c>
      <c r="K5" s="92" t="e">
        <f>E5/J5</f>
        <v>#N/A</v>
      </c>
      <c r="L5" s="84">
        <v>60</v>
      </c>
      <c r="M5" s="84"/>
      <c r="N5" s="94" t="e">
        <f>K5/L5</f>
        <v>#N/A</v>
      </c>
      <c r="O5" s="88" t="e">
        <f t="shared" ref="O5:O44" si="0">K5/(L5-M5)</f>
        <v>#N/A</v>
      </c>
      <c r="P5" s="164" t="s">
        <v>3425</v>
      </c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835</v>
      </c>
      <c r="C6" s="91" t="e">
        <f>IF(ISBLANK(B6),"",VLOOKUP(B6,SÜRELER!$A:$B,2,FALSE))</f>
        <v>#N/A</v>
      </c>
      <c r="D6" s="80">
        <v>440</v>
      </c>
      <c r="E6" s="92" t="e">
        <f>IF(ISBLANK($B6),"0",VLOOKUP($B6,SÜRELER!$A:$C,3,FALSE))*(D6-F6)</f>
        <v>#N/A</v>
      </c>
      <c r="F6" s="81">
        <v>0</v>
      </c>
      <c r="G6" s="93" t="e">
        <f>VLOOKUP(B6,'R.H.'!A$3:C$3974,3,FALSE)*D6/100</f>
        <v>#N/A</v>
      </c>
      <c r="H6" s="82">
        <f t="shared" ref="H6:H44" si="1">F6/D6</f>
        <v>0</v>
      </c>
      <c r="I6" s="87" t="e">
        <f>VLOOKUP(B6,'R.H.'!A$3:C$3974,3,FALSE)/100</f>
        <v>#N/A</v>
      </c>
      <c r="J6" s="83">
        <v>0.5</v>
      </c>
      <c r="K6" s="92" t="e">
        <f t="shared" ref="K6:K44" si="2">E6/J6</f>
        <v>#N/A</v>
      </c>
      <c r="L6" s="84">
        <v>670</v>
      </c>
      <c r="M6" s="84"/>
      <c r="N6" s="94" t="e">
        <f t="shared" ref="N6:N44" si="3">K6/L6</f>
        <v>#N/A</v>
      </c>
      <c r="O6" s="88" t="e">
        <f t="shared" si="0"/>
        <v>#N/A</v>
      </c>
      <c r="P6" s="119"/>
      <c r="Q6" s="5"/>
      <c r="R6" s="5"/>
    </row>
    <row r="7" spans="1:23" s="4" customFormat="1" ht="16.5" customHeight="1" x14ac:dyDescent="0.25">
      <c r="A7" s="90">
        <v>3</v>
      </c>
      <c r="B7" s="86">
        <v>1360</v>
      </c>
      <c r="C7" s="91" t="e">
        <f>IF(ISBLANK(B7),"",VLOOKUP(B7,SÜRELER!$A:$B,2,FALSE))</f>
        <v>#N/A</v>
      </c>
      <c r="D7" s="80">
        <f>843+749</f>
        <v>1592</v>
      </c>
      <c r="E7" s="92" t="e">
        <f>IF(ISBLANK($B7),"0",VLOOKUP($B7,SÜRELER!$A:$C,3,FALSE))*(D7-F7)</f>
        <v>#N/A</v>
      </c>
      <c r="F7" s="81">
        <v>7</v>
      </c>
      <c r="G7" s="93" t="e">
        <f>VLOOKUP(B7,'R.H.'!A$3:C$3974,3,FALSE)*D7/100</f>
        <v>#N/A</v>
      </c>
      <c r="H7" s="82">
        <f t="shared" si="1"/>
        <v>4.3969849246231155E-3</v>
      </c>
      <c r="I7" s="87" t="e">
        <f>VLOOKUP(B7,'R.H.'!A$3:C$3974,3,FALSE)/100</f>
        <v>#N/A</v>
      </c>
      <c r="J7" s="83">
        <v>0.5</v>
      </c>
      <c r="K7" s="92" t="e">
        <f t="shared" si="2"/>
        <v>#N/A</v>
      </c>
      <c r="L7" s="84">
        <v>1595</v>
      </c>
      <c r="M7" s="84"/>
      <c r="N7" s="94" t="e">
        <f t="shared" si="3"/>
        <v>#N/A</v>
      </c>
      <c r="O7" s="88" t="e">
        <f t="shared" si="0"/>
        <v>#N/A</v>
      </c>
      <c r="P7" s="193" t="s">
        <v>3426</v>
      </c>
      <c r="Q7" s="5"/>
      <c r="R7" s="5"/>
    </row>
    <row r="8" spans="1:23" s="4" customFormat="1" ht="16.5" customHeight="1" x14ac:dyDescent="0.25">
      <c r="A8" s="85">
        <v>4</v>
      </c>
      <c r="B8" s="86">
        <v>1361</v>
      </c>
      <c r="C8" s="91" t="e">
        <f>IF(ISBLANK(B8),"",VLOOKUP(B8,SÜRELER!$A:$B,2,FALSE))</f>
        <v>#N/A</v>
      </c>
      <c r="D8" s="80">
        <v>1592</v>
      </c>
      <c r="E8" s="92" t="e">
        <f>IF(ISBLANK($B8),"0",VLOOKUP($B8,SÜRELER!$A:$C,3,FALSE))*(D8-F8)</f>
        <v>#N/A</v>
      </c>
      <c r="F8" s="81">
        <v>7</v>
      </c>
      <c r="G8" s="93" t="e">
        <f>VLOOKUP(B8,'R.H.'!A$3:C$3974,3,FALSE)*D8/100</f>
        <v>#N/A</v>
      </c>
      <c r="H8" s="82">
        <f t="shared" si="1"/>
        <v>4.3969849246231155E-3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1595</v>
      </c>
      <c r="M8" s="84"/>
      <c r="N8" s="94" t="e">
        <f t="shared" si="3"/>
        <v>#N/A</v>
      </c>
      <c r="O8" s="88" t="e">
        <f t="shared" si="0"/>
        <v>#N/A</v>
      </c>
      <c r="P8" s="194"/>
      <c r="Q8" s="5"/>
      <c r="R8" s="5"/>
    </row>
    <row r="9" spans="1:23" s="4" customFormat="1" ht="16.5" x14ac:dyDescent="0.25">
      <c r="A9" s="90">
        <v>5</v>
      </c>
      <c r="B9" s="86">
        <v>2070</v>
      </c>
      <c r="C9" s="91" t="e">
        <f>IF(ISBLANK(B9),"",VLOOKUP(B9,SÜRELER!$A:$B,2,FALSE))</f>
        <v>#N/A</v>
      </c>
      <c r="D9" s="80">
        <f>1044+378</f>
        <v>1422</v>
      </c>
      <c r="E9" s="92" t="e">
        <f>IF(ISBLANK($B9),"0",VLOOKUP($B9,SÜRELER!$A:$C,3,FALSE))*(D9-F9)</f>
        <v>#N/A</v>
      </c>
      <c r="F9" s="81">
        <v>2</v>
      </c>
      <c r="G9" s="93" t="e">
        <f>VLOOKUP(B9,'R.H.'!A$3:C$3974,3,FALSE)*D9/100</f>
        <v>#N/A</v>
      </c>
      <c r="H9" s="82">
        <f t="shared" si="1"/>
        <v>1.4064697609001407E-3</v>
      </c>
      <c r="I9" s="87" t="e">
        <f>VLOOKUP(B9,'R.H.'!A$3:C$3974,3,FALSE)/100</f>
        <v>#N/A</v>
      </c>
      <c r="J9" s="83">
        <v>0.5</v>
      </c>
      <c r="K9" s="92" t="e">
        <f t="shared" si="2"/>
        <v>#N/A</v>
      </c>
      <c r="L9" s="84">
        <v>1310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2071</v>
      </c>
      <c r="C10" s="91" t="e">
        <f>IF(ISBLANK(B10),"",VLOOKUP(B10,SÜRELER!$A:$B,2,FALSE))</f>
        <v>#N/A</v>
      </c>
      <c r="D10" s="80">
        <v>1422</v>
      </c>
      <c r="E10" s="92" t="e">
        <f>IF(ISBLANK($B10),"0",VLOOKUP($B10,SÜRELER!$A:$C,3,FALSE))*(D10-F10)</f>
        <v>#N/A</v>
      </c>
      <c r="F10" s="81">
        <v>2</v>
      </c>
      <c r="G10" s="93" t="e">
        <f>VLOOKUP(B10,'R.H.'!A$3:C$3974,3,FALSE)*D10/100</f>
        <v>#N/A</v>
      </c>
      <c r="H10" s="82">
        <f t="shared" si="1"/>
        <v>1.4064697609001407E-3</v>
      </c>
      <c r="I10" s="87" t="e">
        <f>VLOOKUP(B10,'R.H.'!A$3:C$3974,3,FALSE)/100</f>
        <v>#N/A</v>
      </c>
      <c r="J10" s="83">
        <v>0.5</v>
      </c>
      <c r="K10" s="92" t="e">
        <f t="shared" si="2"/>
        <v>#N/A</v>
      </c>
      <c r="L10" s="84">
        <v>1310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1277</v>
      </c>
      <c r="C11" s="91" t="e">
        <f>IF(ISBLANK(B11),"",VLOOKUP(B11,SÜRELER!$A:$B,2,FALSE))</f>
        <v>#N/A</v>
      </c>
      <c r="D11" s="80">
        <f>260+223</f>
        <v>483</v>
      </c>
      <c r="E11" s="92" t="e">
        <f>IF(ISBLANK($B11),"0",VLOOKUP($B11,SÜRELER!$A:$C,3,FALSE))*(D11-F11)</f>
        <v>#N/A</v>
      </c>
      <c r="F11" s="81">
        <v>20</v>
      </c>
      <c r="G11" s="93" t="e">
        <f>VLOOKUP(B11,'R.H.'!A$3:C$3974,3,FALSE)*D11/100</f>
        <v>#N/A</v>
      </c>
      <c r="H11" s="82">
        <f t="shared" si="1"/>
        <v>4.1407867494824016E-2</v>
      </c>
      <c r="I11" s="87" t="e">
        <f>VLOOKUP(B11,'R.H.'!A$3:C$3974,3,FALSE)/100</f>
        <v>#N/A</v>
      </c>
      <c r="J11" s="83">
        <v>0.5</v>
      </c>
      <c r="K11" s="92" t="e">
        <f t="shared" si="2"/>
        <v>#N/A</v>
      </c>
      <c r="L11" s="84">
        <v>475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1278</v>
      </c>
      <c r="C12" s="91" t="e">
        <f>IF(ISBLANK(B12),"",VLOOKUP(B12,SÜRELER!$A:$B,2,FALSE))</f>
        <v>#N/A</v>
      </c>
      <c r="D12" s="80">
        <v>483</v>
      </c>
      <c r="E12" s="92" t="e">
        <f>IF(ISBLANK($B12),"0",VLOOKUP($B12,SÜRELER!$A:$C,3,FALSE))*(D12-F12)</f>
        <v>#N/A</v>
      </c>
      <c r="F12" s="81">
        <v>20</v>
      </c>
      <c r="G12" s="93" t="e">
        <f>VLOOKUP(B12,'R.H.'!A$3:C$3974,3,FALSE)*D12/100</f>
        <v>#N/A</v>
      </c>
      <c r="H12" s="82">
        <f t="shared" si="1"/>
        <v>4.1407867494824016E-2</v>
      </c>
      <c r="I12" s="87" t="e">
        <f>VLOOKUP(B12,'R.H.'!A$3:C$3974,3,FALSE)/100</f>
        <v>#N/A</v>
      </c>
      <c r="J12" s="83">
        <v>0.5</v>
      </c>
      <c r="K12" s="92" t="e">
        <f t="shared" si="2"/>
        <v>#N/A</v>
      </c>
      <c r="L12" s="84">
        <v>630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1481</v>
      </c>
      <c r="C13" s="91" t="e">
        <f>IF(ISBLANK(B13),"",VLOOKUP(B13,SÜRELER!$A:$B,2,FALSE))</f>
        <v>#N/A</v>
      </c>
      <c r="D13" s="80">
        <f>652+712</f>
        <v>1364</v>
      </c>
      <c r="E13" s="92" t="e">
        <f>IF(ISBLANK($B13),"0",VLOOKUP($B13,SÜRELER!$A:$C,3,FALSE))*(D13-F13)</f>
        <v>#N/A</v>
      </c>
      <c r="F13" s="81">
        <v>3</v>
      </c>
      <c r="G13" s="93" t="e">
        <f>VLOOKUP(B13,'R.H.'!A$3:C$3974,3,FALSE)*D13/100</f>
        <v>#N/A</v>
      </c>
      <c r="H13" s="82">
        <f t="shared" si="1"/>
        <v>2.1994134897360706E-3</v>
      </c>
      <c r="I13" s="87" t="e">
        <f>VLOOKUP(B13,'R.H.'!A$3:C$3974,3,FALSE)/100</f>
        <v>#N/A</v>
      </c>
      <c r="J13" s="83">
        <v>0.5</v>
      </c>
      <c r="K13" s="92" t="e">
        <f t="shared" si="2"/>
        <v>#N/A</v>
      </c>
      <c r="L13" s="84">
        <v>1095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1482</v>
      </c>
      <c r="C14" s="91" t="e">
        <f>IF(ISBLANK(B14),"",VLOOKUP(B14,SÜRELER!$A:$B,2,FALSE))</f>
        <v>#N/A</v>
      </c>
      <c r="D14" s="80">
        <v>1364</v>
      </c>
      <c r="E14" s="92" t="e">
        <f>IF(ISBLANK($B14),"0",VLOOKUP($B14,SÜRELER!$A:$C,3,FALSE))*(D14-F14)</f>
        <v>#N/A</v>
      </c>
      <c r="F14" s="81">
        <v>3</v>
      </c>
      <c r="G14" s="93" t="e">
        <f>VLOOKUP(B14,'R.H.'!A$3:C$3974,3,FALSE)*D14/100</f>
        <v>#N/A</v>
      </c>
      <c r="H14" s="82">
        <f t="shared" si="1"/>
        <v>2.1994134897360706E-3</v>
      </c>
      <c r="I14" s="87" t="e">
        <f>VLOOKUP(B14,'R.H.'!A$3:C$3974,3,FALSE)/100</f>
        <v>#N/A</v>
      </c>
      <c r="J14" s="83">
        <v>0.5</v>
      </c>
      <c r="K14" s="92" t="e">
        <f t="shared" si="2"/>
        <v>#N/A</v>
      </c>
      <c r="L14" s="84">
        <v>1095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1339</v>
      </c>
      <c r="C15" s="91" t="e">
        <f>IF(ISBLANK(B15),"",VLOOKUP(B15,SÜRELER!$A:$B,2,FALSE))</f>
        <v>#N/A</v>
      </c>
      <c r="D15" s="80">
        <f>364+369</f>
        <v>733</v>
      </c>
      <c r="E15" s="92" t="e">
        <f>IF(ISBLANK($B15),"0",VLOOKUP($B15,SÜRELER!$A:$C,3,FALSE))*(D15-F15)</f>
        <v>#N/A</v>
      </c>
      <c r="F15" s="81">
        <v>0</v>
      </c>
      <c r="G15" s="93" t="e">
        <f>VLOOKUP(B15,'R.H.'!A$3:C$3974,3,FALSE)*D15/100</f>
        <v>#N/A</v>
      </c>
      <c r="H15" s="82">
        <f t="shared" si="1"/>
        <v>0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1480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2082</v>
      </c>
      <c r="C16" s="91" t="e">
        <f>IF(ISBLANK(B16),"",VLOOKUP(B16,SÜRELER!$A:$B,2,FALSE))</f>
        <v>#N/A</v>
      </c>
      <c r="D16" s="80">
        <f>1284+435</f>
        <v>1719</v>
      </c>
      <c r="E16" s="92" t="e">
        <f>IF(ISBLANK($B16),"0",VLOOKUP($B16,SÜRELER!$A:$C,3,FALSE))*(D16-F16)</f>
        <v>#N/A</v>
      </c>
      <c r="F16" s="81">
        <v>35</v>
      </c>
      <c r="G16" s="93" t="e">
        <f>VLOOKUP(B16,'R.H.'!A$3:C$3974,3,FALSE)*D16/100</f>
        <v>#N/A</v>
      </c>
      <c r="H16" s="82">
        <f t="shared" si="1"/>
        <v>2.0360674810936591E-2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3950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73</v>
      </c>
      <c r="C17" s="91" t="e">
        <f>IF(ISBLANK(B17),"",VLOOKUP(B17,SÜRELER!$A:$B,2,FALSE))</f>
        <v>#N/A</v>
      </c>
      <c r="D17" s="80">
        <f>260+392</f>
        <v>652</v>
      </c>
      <c r="E17" s="92" t="e">
        <f>IF(ISBLANK($B17),"0",VLOOKUP($B17,SÜRELER!$A:$C,3,FALSE))*(D17-F17)</f>
        <v>#N/A</v>
      </c>
      <c r="F17" s="81">
        <v>2</v>
      </c>
      <c r="G17" s="93" t="e">
        <f>VLOOKUP(B17,'R.H.'!A$3:C$3974,3,FALSE)*D17/100</f>
        <v>#N/A</v>
      </c>
      <c r="H17" s="82">
        <f t="shared" si="1"/>
        <v>3.0674846625766872E-3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765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74</v>
      </c>
      <c r="C18" s="91" t="e">
        <f>IF(ISBLANK(B18),"",VLOOKUP(B18,SÜRELER!$A:$B,2,FALSE))</f>
        <v>#N/A</v>
      </c>
      <c r="D18" s="80">
        <v>652</v>
      </c>
      <c r="E18" s="92" t="e">
        <f>IF(ISBLANK($B18),"0",VLOOKUP($B18,SÜRELER!$A:$C,3,FALSE))*(D18-F18)</f>
        <v>#N/A</v>
      </c>
      <c r="F18" s="81">
        <v>2</v>
      </c>
      <c r="G18" s="93" t="e">
        <f>VLOOKUP(B18,'R.H.'!A$3:C$3974,3,FALSE)*D18/100</f>
        <v>#N/A</v>
      </c>
      <c r="H18" s="82">
        <f t="shared" si="1"/>
        <v>3.0674846625766872E-3</v>
      </c>
      <c r="I18" s="87" t="e">
        <f>VLOOKUP(B18,'R.H.'!A$3:C$3974,3,FALSE)/100</f>
        <v>#N/A</v>
      </c>
      <c r="J18" s="83">
        <v>0.5</v>
      </c>
      <c r="K18" s="92" t="e">
        <f t="shared" si="2"/>
        <v>#N/A</v>
      </c>
      <c r="L18" s="84">
        <v>765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1960</v>
      </c>
      <c r="C19" s="91" t="e">
        <f>IF(ISBLANK(B19),"",VLOOKUP(B19,SÜRELER!$A:$B,2,FALSE))</f>
        <v>#N/A</v>
      </c>
      <c r="D19" s="80">
        <v>20</v>
      </c>
      <c r="E19" s="92" t="e">
        <f>IF(ISBLANK($B19),"0",VLOOKUP($B19,SÜRELER!$A:$C,3,FALSE))*(D19-F19)</f>
        <v>#N/A</v>
      </c>
      <c r="F19" s="81">
        <v>0</v>
      </c>
      <c r="G19" s="93" t="e">
        <f>VLOOKUP(B19,'R.H.'!A$3:C$3974,3,FALSE)*D19/100</f>
        <v>#N/A</v>
      </c>
      <c r="H19" s="82">
        <f t="shared" si="1"/>
        <v>0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205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1961</v>
      </c>
      <c r="C20" s="91" t="e">
        <f>IF(ISBLANK(B20),"",VLOOKUP(B20,SÜRELER!$A:$B,2,FALSE))</f>
        <v>#N/A</v>
      </c>
      <c r="D20" s="80">
        <v>20</v>
      </c>
      <c r="E20" s="92" t="e">
        <f>IF(ISBLANK($B20),"0",VLOOKUP($B20,SÜRELER!$A:$C,3,FALSE))*(D20-F20)</f>
        <v>#N/A</v>
      </c>
      <c r="F20" s="81">
        <v>0</v>
      </c>
      <c r="G20" s="93" t="e">
        <f>VLOOKUP(B20,'R.H.'!A$3:C$3974,3,FALSE)*D20/100</f>
        <v>#N/A</v>
      </c>
      <c r="H20" s="82">
        <f t="shared" si="1"/>
        <v>0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205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1478</v>
      </c>
      <c r="C21" s="91" t="e">
        <f>IF(ISBLANK(B21),"",VLOOKUP(B21,SÜRELER!$A:$B,2,FALSE))</f>
        <v>#N/A</v>
      </c>
      <c r="D21" s="80">
        <f>1326+696</f>
        <v>2022</v>
      </c>
      <c r="E21" s="92" t="e">
        <f>IF(ISBLANK($B21),"0",VLOOKUP($B21,SÜRELER!$A:$C,3,FALSE))*(D21-F21)</f>
        <v>#N/A</v>
      </c>
      <c r="F21" s="81">
        <v>10</v>
      </c>
      <c r="G21" s="93" t="e">
        <f>VLOOKUP(B21,'R.H.'!A$3:C$3974,3,FALSE)*D21/100</f>
        <v>#N/A</v>
      </c>
      <c r="H21" s="82">
        <f t="shared" si="1"/>
        <v>4.945598417408506E-3</v>
      </c>
      <c r="I21" s="87" t="e">
        <f>VLOOKUP(B21,'R.H.'!A$3:C$3974,3,FALSE)/100</f>
        <v>#N/A</v>
      </c>
      <c r="J21" s="83">
        <v>1</v>
      </c>
      <c r="K21" s="92" t="e">
        <f t="shared" si="2"/>
        <v>#N/A</v>
      </c>
      <c r="L21" s="84">
        <v>930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472</v>
      </c>
      <c r="C22" s="91" t="e">
        <f>IF(ISBLANK(B22),"",VLOOKUP(B22,SÜRELER!$A:$B,2,FALSE))</f>
        <v>#N/A</v>
      </c>
      <c r="D22" s="80">
        <v>164</v>
      </c>
      <c r="E22" s="92" t="e">
        <f>IF(ISBLANK($B22),"0",VLOOKUP($B22,SÜRELER!$A:$C,3,FALSE))*(D22-F22)</f>
        <v>#N/A</v>
      </c>
      <c r="F22" s="81">
        <v>0</v>
      </c>
      <c r="G22" s="93" t="e">
        <f>VLOOKUP(B22,'R.H.'!A$3:C$3974,3,FALSE)*D22/100</f>
        <v>#N/A</v>
      </c>
      <c r="H22" s="82">
        <f t="shared" si="1"/>
        <v>0</v>
      </c>
      <c r="I22" s="87" t="e">
        <f>VLOOKUP(B22,'R.H.'!A$3:C$3974,3,FALSE)/100</f>
        <v>#N/A</v>
      </c>
      <c r="J22" s="83">
        <v>0.5</v>
      </c>
      <c r="K22" s="92" t="e">
        <f t="shared" si="2"/>
        <v>#N/A</v>
      </c>
      <c r="L22" s="84">
        <v>130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473</v>
      </c>
      <c r="C23" s="91" t="e">
        <f>IF(ISBLANK(B23),"",VLOOKUP(B23,SÜRELER!$A:$B,2,FALSE))</f>
        <v>#N/A</v>
      </c>
      <c r="D23" s="80">
        <v>164</v>
      </c>
      <c r="E23" s="92" t="e">
        <f>IF(ISBLANK($B23),"0",VLOOKUP($B23,SÜRELER!$A:$C,3,FALSE))*(D23-F23)</f>
        <v>#N/A</v>
      </c>
      <c r="F23" s="81">
        <v>0</v>
      </c>
      <c r="G23" s="93" t="e">
        <f>VLOOKUP(B23,'R.H.'!A$3:C$3974,3,FALSE)*D23/100</f>
        <v>#N/A</v>
      </c>
      <c r="H23" s="82">
        <f t="shared" si="1"/>
        <v>0</v>
      </c>
      <c r="I23" s="87" t="e">
        <f>VLOOKUP(B23,'R.H.'!A$3:C$3974,3,FALSE)/100</f>
        <v>#N/A</v>
      </c>
      <c r="J23" s="83">
        <v>0.5</v>
      </c>
      <c r="K23" s="92" t="e">
        <f t="shared" si="2"/>
        <v>#N/A</v>
      </c>
      <c r="L23" s="84">
        <v>130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1674</v>
      </c>
      <c r="C24" s="91" t="e">
        <f>IF(ISBLANK(B24),"",VLOOKUP(B24,SÜRELER!$A:$B,2,FALSE))</f>
        <v>#N/A</v>
      </c>
      <c r="D24" s="80">
        <v>8000</v>
      </c>
      <c r="E24" s="92" t="e">
        <f>IF(ISBLANK($B24),"0",VLOOKUP($B24,SÜRELER!$A:$C,3,FALSE))*(D24-F24)</f>
        <v>#N/A</v>
      </c>
      <c r="F24" s="81">
        <v>0</v>
      </c>
      <c r="G24" s="93" t="e">
        <f>VLOOKUP(B24,'R.H.'!A$3:C$3974,3,FALSE)*D24/100</f>
        <v>#N/A</v>
      </c>
      <c r="H24" s="82">
        <f t="shared" si="1"/>
        <v>0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3685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1487</v>
      </c>
      <c r="C25" s="91" t="e">
        <f>IF(ISBLANK(B25),"",VLOOKUP(B25,SÜRELER!$A:$B,2,FALSE))</f>
        <v>#N/A</v>
      </c>
      <c r="D25" s="80">
        <v>245</v>
      </c>
      <c r="E25" s="92" t="e">
        <f>IF(ISBLANK($B25),"0",VLOOKUP($B25,SÜRELER!$A:$C,3,FALSE))*(D25-F25)</f>
        <v>#N/A</v>
      </c>
      <c r="F25" s="81">
        <v>5</v>
      </c>
      <c r="G25" s="93" t="e">
        <f>VLOOKUP(B25,'R.H.'!A$3:C$3974,3,FALSE)*D25/100</f>
        <v>#N/A</v>
      </c>
      <c r="H25" s="82">
        <f t="shared" si="1"/>
        <v>2.0408163265306121E-2</v>
      </c>
      <c r="I25" s="87" t="e">
        <f>VLOOKUP(B25,'R.H.'!A$3:C$3974,3,FALSE)/100</f>
        <v>#N/A</v>
      </c>
      <c r="J25" s="83">
        <v>0.5</v>
      </c>
      <c r="K25" s="92" t="e">
        <f t="shared" si="2"/>
        <v>#N/A</v>
      </c>
      <c r="L25" s="84">
        <v>810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311</v>
      </c>
      <c r="C26" s="91" t="e">
        <f>IF(ISBLANK(B26),"",VLOOKUP(B26,SÜRELER!$A:$B,2,FALSE))</f>
        <v>#N/A</v>
      </c>
      <c r="D26" s="80">
        <v>235</v>
      </c>
      <c r="E26" s="92" t="e">
        <f>IF(ISBLANK($B26),"0",VLOOKUP($B26,SÜRELER!$A:$C,3,FALSE))*(D26-F26)</f>
        <v>#N/A</v>
      </c>
      <c r="F26" s="81">
        <v>0</v>
      </c>
      <c r="G26" s="93" t="e">
        <f>VLOOKUP(B26,'R.H.'!A$3:C$3974,3,FALSE)*D26/100</f>
        <v>#N/A</v>
      </c>
      <c r="H26" s="82">
        <f t="shared" si="1"/>
        <v>0</v>
      </c>
      <c r="I26" s="87" t="e">
        <f>VLOOKUP(B26,'R.H.'!A$3:C$3974,3,FALSE)/100</f>
        <v>#N/A</v>
      </c>
      <c r="J26" s="83">
        <v>0.5</v>
      </c>
      <c r="K26" s="92" t="e">
        <f t="shared" si="2"/>
        <v>#N/A</v>
      </c>
      <c r="L26" s="84">
        <v>335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1108</v>
      </c>
      <c r="C27" s="91" t="e">
        <f>IF(ISBLANK(B27),"",VLOOKUP(B27,SÜRELER!$A:$B,2,FALSE))</f>
        <v>#N/A</v>
      </c>
      <c r="D27" s="80">
        <f>1550+1400</f>
        <v>2950</v>
      </c>
      <c r="E27" s="92" t="e">
        <f>IF(ISBLANK($B27),"0",VLOOKUP($B27,SÜRELER!$A:$C,3,FALSE))*(D27-F27)</f>
        <v>#N/A</v>
      </c>
      <c r="F27" s="81">
        <v>4</v>
      </c>
      <c r="G27" s="93" t="e">
        <f>VLOOKUP(B27,'R.H.'!A$3:C$3974,3,FALSE)*D27/100</f>
        <v>#N/A</v>
      </c>
      <c r="H27" s="82">
        <f t="shared" si="1"/>
        <v>1.3559322033898306E-3</v>
      </c>
      <c r="I27" s="87" t="e">
        <f>VLOOKUP(B27,'R.H.'!A$3:C$3974,3,FALSE)/100</f>
        <v>#N/A</v>
      </c>
      <c r="J27" s="83">
        <v>0.5</v>
      </c>
      <c r="K27" s="92" t="e">
        <f t="shared" si="2"/>
        <v>#N/A</v>
      </c>
      <c r="L27" s="84">
        <v>2795</v>
      </c>
      <c r="M27" s="84"/>
      <c r="N27" s="94" t="e">
        <f t="shared" si="3"/>
        <v>#N/A</v>
      </c>
      <c r="O27" s="88" t="e">
        <f t="shared" si="0"/>
        <v>#N/A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>
        <v>1330</v>
      </c>
      <c r="C28" s="91" t="e">
        <f>IF(ISBLANK(B28),"",VLOOKUP(B28,SÜRELER!$A:$B,2,FALSE))</f>
        <v>#N/A</v>
      </c>
      <c r="D28" s="80">
        <v>816</v>
      </c>
      <c r="E28" s="92" t="e">
        <f>IF(ISBLANK($B28),"0",VLOOKUP($B28,SÜRELER!$A:$C,3,FALSE))*(D28-F28)</f>
        <v>#N/A</v>
      </c>
      <c r="F28" s="81">
        <v>0</v>
      </c>
      <c r="G28" s="93" t="e">
        <f>VLOOKUP(B28,'R.H.'!A$3:C$3974,3,FALSE)*D28/100</f>
        <v>#N/A</v>
      </c>
      <c r="H28" s="82">
        <f t="shared" si="1"/>
        <v>0</v>
      </c>
      <c r="I28" s="87" t="e">
        <f>VLOOKUP(B28,'R.H.'!A$3:C$3974,3,FALSE)/100</f>
        <v>#N/A</v>
      </c>
      <c r="J28" s="83">
        <v>0.5</v>
      </c>
      <c r="K28" s="92" t="e">
        <f t="shared" si="2"/>
        <v>#N/A</v>
      </c>
      <c r="L28" s="84">
        <v>350</v>
      </c>
      <c r="M28" s="84"/>
      <c r="N28" s="94" t="e">
        <f t="shared" si="3"/>
        <v>#N/A</v>
      </c>
      <c r="O28" s="88" t="e">
        <f t="shared" si="0"/>
        <v>#N/A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>
        <v>1331</v>
      </c>
      <c r="C29" s="91" t="e">
        <f>IF(ISBLANK(B29),"",VLOOKUP(B29,SÜRELER!$A:$B,2,FALSE))</f>
        <v>#N/A</v>
      </c>
      <c r="D29" s="80">
        <v>816</v>
      </c>
      <c r="E29" s="92" t="e">
        <f>IF(ISBLANK($B29),"0",VLOOKUP($B29,SÜRELER!$A:$C,3,FALSE))*(D29-F29)</f>
        <v>#N/A</v>
      </c>
      <c r="F29" s="81">
        <v>0</v>
      </c>
      <c r="G29" s="93" t="e">
        <f>VLOOKUP(B29,'R.H.'!A$3:C$3974,3,FALSE)*D29/100</f>
        <v>#N/A</v>
      </c>
      <c r="H29" s="82">
        <f t="shared" si="1"/>
        <v>0</v>
      </c>
      <c r="I29" s="87" t="e">
        <f>VLOOKUP(B29,'R.H.'!A$3:C$3974,3,FALSE)/100</f>
        <v>#N/A</v>
      </c>
      <c r="J29" s="83">
        <v>0.5</v>
      </c>
      <c r="K29" s="92" t="e">
        <f t="shared" si="2"/>
        <v>#N/A</v>
      </c>
      <c r="L29" s="84">
        <v>350</v>
      </c>
      <c r="M29" s="84"/>
      <c r="N29" s="94" t="e">
        <f t="shared" si="3"/>
        <v>#N/A</v>
      </c>
      <c r="O29" s="88" t="e">
        <f t="shared" si="0"/>
        <v>#N/A</v>
      </c>
      <c r="P29" s="119"/>
      <c r="Q29" s="5"/>
      <c r="R29" s="5"/>
    </row>
    <row r="30" spans="1:18" s="4" customFormat="1" ht="16.5" x14ac:dyDescent="0.25">
      <c r="A30" s="85">
        <v>26</v>
      </c>
      <c r="B30" s="86">
        <v>1960</v>
      </c>
      <c r="C30" s="91" t="e">
        <f>IF(ISBLANK(B30),"",VLOOKUP(B30,SÜRELER!$A:$B,2,FALSE))</f>
        <v>#N/A</v>
      </c>
      <c r="D30" s="80">
        <v>150</v>
      </c>
      <c r="E30" s="92" t="e">
        <f>IF(ISBLANK($B30),"0",VLOOKUP($B30,SÜRELER!$A:$C,3,FALSE))*(D30-F30)</f>
        <v>#N/A</v>
      </c>
      <c r="F30" s="81">
        <v>0</v>
      </c>
      <c r="G30" s="93" t="e">
        <f>VLOOKUP(B30,'R.H.'!A$3:C$3974,3,FALSE)*D30/100</f>
        <v>#N/A</v>
      </c>
      <c r="H30" s="82">
        <f t="shared" si="1"/>
        <v>0</v>
      </c>
      <c r="I30" s="87" t="e">
        <f>VLOOKUP(B30,'R.H.'!A$3:C$3974,3,FALSE)/100</f>
        <v>#N/A</v>
      </c>
      <c r="J30" s="83">
        <v>1</v>
      </c>
      <c r="K30" s="92" t="e">
        <f t="shared" si="2"/>
        <v>#N/A</v>
      </c>
      <c r="L30" s="84">
        <v>760</v>
      </c>
      <c r="M30" s="84"/>
      <c r="N30" s="94" t="e">
        <f t="shared" si="3"/>
        <v>#N/A</v>
      </c>
      <c r="O30" s="88" t="e">
        <f t="shared" si="0"/>
        <v>#N/A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>
        <v>1961</v>
      </c>
      <c r="C31" s="91" t="e">
        <f>IF(ISBLANK(B31),"",VLOOKUP(B31,SÜRELER!$A:$B,2,FALSE))</f>
        <v>#N/A</v>
      </c>
      <c r="D31" s="80">
        <v>150</v>
      </c>
      <c r="E31" s="92" t="e">
        <f>IF(ISBLANK($B31),"0",VLOOKUP($B31,SÜRELER!$A:$C,3,FALSE))*(D31-F31)</f>
        <v>#N/A</v>
      </c>
      <c r="F31" s="81">
        <v>0</v>
      </c>
      <c r="G31" s="93" t="e">
        <f>VLOOKUP(B31,'R.H.'!A$3:C$3974,3,FALSE)*D31/100</f>
        <v>#N/A</v>
      </c>
      <c r="H31" s="82">
        <f t="shared" si="1"/>
        <v>0</v>
      </c>
      <c r="I31" s="87" t="e">
        <f>VLOOKUP(B31,'R.H.'!A$3:C$3974,3,FALSE)/100</f>
        <v>#N/A</v>
      </c>
      <c r="J31" s="83">
        <v>1</v>
      </c>
      <c r="K31" s="92" t="e">
        <f t="shared" si="2"/>
        <v>#N/A</v>
      </c>
      <c r="L31" s="84">
        <v>760</v>
      </c>
      <c r="M31" s="84"/>
      <c r="N31" s="94" t="e">
        <f t="shared" si="3"/>
        <v>#N/A</v>
      </c>
      <c r="O31" s="88" t="e">
        <f t="shared" si="0"/>
        <v>#N/A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29675</v>
      </c>
      <c r="E45" s="26" t="e">
        <f>SUM(E5:E44)</f>
        <v>#N/A</v>
      </c>
      <c r="F45" s="26">
        <f>SUM(F5:F44)</f>
        <v>127</v>
      </c>
      <c r="G45" s="26"/>
      <c r="H45" s="26"/>
      <c r="I45" s="26"/>
      <c r="J45" s="26"/>
      <c r="K45" s="26"/>
      <c r="L45" s="26">
        <f>SUM(L5:L44)</f>
        <v>28240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0.4279696714406066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33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16070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>
        <v>180</v>
      </c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15890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180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29675</v>
      </c>
      <c r="F63" s="24">
        <f>F45</f>
        <v>127</v>
      </c>
      <c r="G63" s="23">
        <f>(F63*1000000)/E63</f>
        <v>4279.6967144060654</v>
      </c>
      <c r="H63" s="22">
        <f>D59</f>
        <v>180</v>
      </c>
      <c r="I63" s="17" t="e">
        <f>N1</f>
        <v>#N/A</v>
      </c>
    </row>
  </sheetData>
  <mergeCells count="16">
    <mergeCell ref="P7:P8"/>
    <mergeCell ref="N1:N3"/>
    <mergeCell ref="A2:B3"/>
    <mergeCell ref="E56:N56"/>
    <mergeCell ref="E57:N57"/>
    <mergeCell ref="E49:N49"/>
    <mergeCell ref="E50:N50"/>
    <mergeCell ref="E51:N51"/>
    <mergeCell ref="E53:N53"/>
    <mergeCell ref="E54:N54"/>
    <mergeCell ref="E55:N55"/>
    <mergeCell ref="D46:D47"/>
    <mergeCell ref="E46:F47"/>
    <mergeCell ref="A1:B1"/>
    <mergeCell ref="C1:D2"/>
    <mergeCell ref="H1:H3"/>
  </mergeCells>
  <conditionalFormatting sqref="D3">
    <cfRule type="cellIs" dxfId="109" priority="5" stopIfTrue="1" operator="lessThan">
      <formula>0.95</formula>
    </cfRule>
  </conditionalFormatting>
  <conditionalFormatting sqref="F5:F44">
    <cfRule type="cellIs" dxfId="108" priority="1" stopIfTrue="1" operator="greaterThan">
      <formula>$G5</formula>
    </cfRule>
  </conditionalFormatting>
  <conditionalFormatting sqref="H5:H44">
    <cfRule type="cellIs" dxfId="107" priority="2" stopIfTrue="1" operator="greaterThan">
      <formula>$I$5</formula>
    </cfRule>
  </conditionalFormatting>
  <conditionalFormatting sqref="N1:N3">
    <cfRule type="cellIs" dxfId="106" priority="4" stopIfTrue="1" operator="lessThan">
      <formula>0.8</formula>
    </cfRule>
  </conditionalFormatting>
  <conditionalFormatting sqref="N5:O44">
    <cfRule type="cellIs" dxfId="105" priority="3" stopIfTrue="1" operator="lessThan">
      <formula>0.85</formula>
    </cfRule>
  </conditionalFormatting>
  <hyperlinks>
    <hyperlink ref="P1:P3" location="'Ana Sayfa'!A1" display="ANA SAYFA" xr:uid="{1E0E756F-3F45-4EC9-A1FC-F4AD806C19C2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7DB65-EA48-4C84-B4AF-321B28DEBF9D}">
  <sheetPr codeName="Sayfa11">
    <tabColor theme="0" tint="-0.14999847407452621"/>
    <pageSetUpPr fitToPage="1"/>
  </sheetPr>
  <dimension ref="A1:W63"/>
  <sheetViews>
    <sheetView workbookViewId="0">
      <selection activeCell="I1" sqref="I1:M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'10'!A1+1</f>
        <v>46214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Cumartesi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8854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97</v>
      </c>
      <c r="C5" s="91" t="e">
        <f>IF(ISBLANK(B5),"",VLOOKUP(B5,SÜRELER!$A:$B,2,FALSE))</f>
        <v>#N/A</v>
      </c>
      <c r="D5" s="80">
        <v>225</v>
      </c>
      <c r="E5" s="92" t="e">
        <f>IF(ISBLANK($B5),"0",VLOOKUP($B5,SÜRELER!$A:$C,3,FALSE))*(D5-F5)</f>
        <v>#N/A</v>
      </c>
      <c r="F5" s="81">
        <v>41</v>
      </c>
      <c r="G5" s="93" t="e">
        <f>VLOOKUP(B5,'R.H.'!A$3:C$3974,3,FALSE)*D5/100</f>
        <v>#N/A</v>
      </c>
      <c r="H5" s="82">
        <f>F5/D5</f>
        <v>0.18222222222222223</v>
      </c>
      <c r="I5" s="87" t="e">
        <f>VLOOKUP(B5,'R.H.'!A$3:C$3974,3,FALSE)/100</f>
        <v>#N/A</v>
      </c>
      <c r="J5" s="83">
        <v>0.5</v>
      </c>
      <c r="K5" s="92" t="e">
        <f>E5/J5</f>
        <v>#N/A</v>
      </c>
      <c r="L5" s="84">
        <v>600</v>
      </c>
      <c r="M5" s="84"/>
      <c r="N5" s="94" t="e">
        <f>K5/L5</f>
        <v>#N/A</v>
      </c>
      <c r="O5" s="88" t="e">
        <f t="shared" ref="O5:O44" si="0">K5/(L5-M5)</f>
        <v>#N/A</v>
      </c>
      <c r="P5" s="193" t="s">
        <v>3373</v>
      </c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103</v>
      </c>
      <c r="C6" s="91" t="e">
        <f>IF(ISBLANK(B6),"",VLOOKUP(B6,SÜRELER!$A:$B,2,FALSE))</f>
        <v>#N/A</v>
      </c>
      <c r="D6" s="80">
        <f>85+181</f>
        <v>266</v>
      </c>
      <c r="E6" s="92" t="e">
        <f>IF(ISBLANK($B6),"0",VLOOKUP($B6,SÜRELER!$A:$C,3,FALSE))*(D6-F6)</f>
        <v>#N/A</v>
      </c>
      <c r="F6" s="81">
        <v>41</v>
      </c>
      <c r="G6" s="93" t="e">
        <f>VLOOKUP(B6,'R.H.'!A$3:C$3974,3,FALSE)*D6/100</f>
        <v>#N/A</v>
      </c>
      <c r="H6" s="82">
        <f t="shared" ref="H6:H44" si="1">F6/D6</f>
        <v>0.15413533834586465</v>
      </c>
      <c r="I6" s="87" t="e">
        <f>VLOOKUP(B6,'R.H.'!A$3:C$3974,3,FALSE)/100</f>
        <v>#N/A</v>
      </c>
      <c r="J6" s="83">
        <v>0.5</v>
      </c>
      <c r="K6" s="92" t="e">
        <f t="shared" ref="K6:K44" si="2">E6/J6</f>
        <v>#N/A</v>
      </c>
      <c r="L6" s="84">
        <v>600</v>
      </c>
      <c r="M6" s="84"/>
      <c r="N6" s="94" t="e">
        <f t="shared" ref="N6:N44" si="3">K6/L6</f>
        <v>#N/A</v>
      </c>
      <c r="O6" s="88" t="e">
        <f t="shared" si="0"/>
        <v>#N/A</v>
      </c>
      <c r="P6" s="194"/>
      <c r="Q6" s="5"/>
      <c r="R6" s="5"/>
    </row>
    <row r="7" spans="1:23" s="4" customFormat="1" ht="16.5" customHeight="1" x14ac:dyDescent="0.25">
      <c r="A7" s="90">
        <v>3</v>
      </c>
      <c r="B7" s="86">
        <v>1332</v>
      </c>
      <c r="C7" s="91" t="e">
        <f>IF(ISBLANK(B7),"",VLOOKUP(B7,SÜRELER!$A:$B,2,FALSE))</f>
        <v>#N/A</v>
      </c>
      <c r="D7" s="80">
        <f>421+404</f>
        <v>825</v>
      </c>
      <c r="E7" s="92" t="e">
        <f>IF(ISBLANK($B7),"0",VLOOKUP($B7,SÜRELER!$A:$C,3,FALSE))*(D7-F7)</f>
        <v>#N/A</v>
      </c>
      <c r="F7" s="81">
        <v>8</v>
      </c>
      <c r="G7" s="93" t="e">
        <f>VLOOKUP(B7,'R.H.'!A$3:C$3974,3,FALSE)*D7/100</f>
        <v>#N/A</v>
      </c>
      <c r="H7" s="82">
        <f t="shared" si="1"/>
        <v>9.696969696969697E-3</v>
      </c>
      <c r="I7" s="87" t="e">
        <f>VLOOKUP(B7,'R.H.'!A$3:C$3974,3,FALSE)/100</f>
        <v>#N/A</v>
      </c>
      <c r="J7" s="83">
        <v>0.5</v>
      </c>
      <c r="K7" s="92" t="e">
        <f t="shared" si="2"/>
        <v>#N/A</v>
      </c>
      <c r="L7" s="84">
        <v>875</v>
      </c>
      <c r="M7" s="84"/>
      <c r="N7" s="94" t="e">
        <f t="shared" si="3"/>
        <v>#N/A</v>
      </c>
      <c r="O7" s="88" t="e">
        <f t="shared" si="0"/>
        <v>#N/A</v>
      </c>
      <c r="P7" s="119"/>
      <c r="Q7" s="5"/>
      <c r="R7" s="5"/>
    </row>
    <row r="8" spans="1:23" s="4" customFormat="1" ht="16.5" customHeight="1" x14ac:dyDescent="0.25">
      <c r="A8" s="85">
        <v>4</v>
      </c>
      <c r="B8" s="86">
        <v>1333</v>
      </c>
      <c r="C8" s="91" t="e">
        <f>IF(ISBLANK(B8),"",VLOOKUP(B8,SÜRELER!$A:$B,2,FALSE))</f>
        <v>#N/A</v>
      </c>
      <c r="D8" s="80">
        <v>825</v>
      </c>
      <c r="E8" s="92" t="e">
        <f>IF(ISBLANK($B8),"0",VLOOKUP($B8,SÜRELER!$A:$C,3,FALSE))*(D8-F8)</f>
        <v>#N/A</v>
      </c>
      <c r="F8" s="81">
        <v>8</v>
      </c>
      <c r="G8" s="93" t="e">
        <f>VLOOKUP(B8,'R.H.'!A$3:C$3974,3,FALSE)*D8/100</f>
        <v>#N/A</v>
      </c>
      <c r="H8" s="82">
        <f t="shared" si="1"/>
        <v>9.696969696969697E-3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875</v>
      </c>
      <c r="M8" s="84"/>
      <c r="N8" s="94" t="e">
        <f t="shared" si="3"/>
        <v>#N/A</v>
      </c>
      <c r="O8" s="88" t="e">
        <f t="shared" si="0"/>
        <v>#N/A</v>
      </c>
      <c r="P8" s="119"/>
      <c r="Q8" s="5"/>
      <c r="R8" s="5"/>
    </row>
    <row r="9" spans="1:23" s="4" customFormat="1" ht="16.5" x14ac:dyDescent="0.25">
      <c r="A9" s="90">
        <v>5</v>
      </c>
      <c r="B9" s="86">
        <v>1334</v>
      </c>
      <c r="C9" s="91" t="e">
        <f>IF(ISBLANK(B9),"",VLOOKUP(B9,SÜRELER!$A:$B,2,FALSE))</f>
        <v>#N/A</v>
      </c>
      <c r="D9" s="80">
        <v>585</v>
      </c>
      <c r="E9" s="92" t="e">
        <f>IF(ISBLANK($B9),"0",VLOOKUP($B9,SÜRELER!$A:$C,3,FALSE))*(D9-F9)</f>
        <v>#N/A</v>
      </c>
      <c r="F9" s="81">
        <v>4</v>
      </c>
      <c r="G9" s="93" t="e">
        <f>VLOOKUP(B9,'R.H.'!A$3:C$3974,3,FALSE)*D9/100</f>
        <v>#N/A</v>
      </c>
      <c r="H9" s="82">
        <f t="shared" si="1"/>
        <v>6.8376068376068376E-3</v>
      </c>
      <c r="I9" s="87" t="e">
        <f>VLOOKUP(B9,'R.H.'!A$3:C$3974,3,FALSE)/100</f>
        <v>#N/A</v>
      </c>
      <c r="J9" s="83">
        <v>1</v>
      </c>
      <c r="K9" s="92" t="e">
        <f t="shared" si="2"/>
        <v>#N/A</v>
      </c>
      <c r="L9" s="84">
        <v>245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1335</v>
      </c>
      <c r="C10" s="91" t="e">
        <f>IF(ISBLANK(B10),"",VLOOKUP(B10,SÜRELER!$A:$B,2,FALSE))</f>
        <v>#N/A</v>
      </c>
      <c r="D10" s="80">
        <v>585</v>
      </c>
      <c r="E10" s="92" t="e">
        <f>IF(ISBLANK($B10),"0",VLOOKUP($B10,SÜRELER!$A:$C,3,FALSE))*(D10-F10)</f>
        <v>#N/A</v>
      </c>
      <c r="F10" s="81">
        <v>3</v>
      </c>
      <c r="G10" s="93" t="e">
        <f>VLOOKUP(B10,'R.H.'!A$3:C$3974,3,FALSE)*D10/100</f>
        <v>#N/A</v>
      </c>
      <c r="H10" s="82">
        <f t="shared" si="1"/>
        <v>5.1282051282051282E-3</v>
      </c>
      <c r="I10" s="87" t="e">
        <f>VLOOKUP(B10,'R.H.'!A$3:C$3974,3,FALSE)/100</f>
        <v>#N/A</v>
      </c>
      <c r="J10" s="83">
        <v>0.5</v>
      </c>
      <c r="K10" s="92" t="e">
        <f t="shared" si="2"/>
        <v>#N/A</v>
      </c>
      <c r="L10" s="84">
        <v>490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82</v>
      </c>
      <c r="C11" s="91" t="e">
        <f>IF(ISBLANK(B11),"",VLOOKUP(B11,SÜRELER!$A:$B,2,FALSE))</f>
        <v>#N/A</v>
      </c>
      <c r="D11" s="80">
        <v>242</v>
      </c>
      <c r="E11" s="92" t="e">
        <f>IF(ISBLANK($B11),"0",VLOOKUP($B11,SÜRELER!$A:$C,3,FALSE))*(D11-F11)</f>
        <v>#N/A</v>
      </c>
      <c r="F11" s="81">
        <v>14</v>
      </c>
      <c r="G11" s="93" t="e">
        <f>VLOOKUP(B11,'R.H.'!A$3:C$3974,3,FALSE)*D11/100</f>
        <v>#N/A</v>
      </c>
      <c r="H11" s="82">
        <f t="shared" si="1"/>
        <v>5.7851239669421489E-2</v>
      </c>
      <c r="I11" s="87" t="e">
        <f>VLOOKUP(B11,'R.H.'!A$3:C$3974,3,FALSE)/100</f>
        <v>#N/A</v>
      </c>
      <c r="J11" s="83">
        <v>0.5</v>
      </c>
      <c r="K11" s="92" t="e">
        <f t="shared" si="2"/>
        <v>#N/A</v>
      </c>
      <c r="L11" s="84">
        <v>385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81</v>
      </c>
      <c r="C12" s="91" t="e">
        <f>IF(ISBLANK(B12),"",VLOOKUP(B12,SÜRELER!$A:$B,2,FALSE))</f>
        <v>#N/A</v>
      </c>
      <c r="D12" s="80">
        <v>242</v>
      </c>
      <c r="E12" s="92" t="e">
        <f>IF(ISBLANK($B12),"0",VLOOKUP($B12,SÜRELER!$A:$C,3,FALSE))*(D12-F12)</f>
        <v>#N/A</v>
      </c>
      <c r="F12" s="81">
        <v>14</v>
      </c>
      <c r="G12" s="93" t="e">
        <f>VLOOKUP(B12,'R.H.'!A$3:C$3974,3,FALSE)*D12/100</f>
        <v>#N/A</v>
      </c>
      <c r="H12" s="82">
        <f t="shared" si="1"/>
        <v>5.7851239669421489E-2</v>
      </c>
      <c r="I12" s="87" t="e">
        <f>VLOOKUP(B12,'R.H.'!A$3:C$3974,3,FALSE)/100</f>
        <v>#N/A</v>
      </c>
      <c r="J12" s="83">
        <v>0.5</v>
      </c>
      <c r="K12" s="92" t="e">
        <f t="shared" si="2"/>
        <v>#N/A</v>
      </c>
      <c r="L12" s="84">
        <v>385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1726</v>
      </c>
      <c r="C13" s="91" t="e">
        <f>IF(ISBLANK(B13),"",VLOOKUP(B13,SÜRELER!$A:$B,2,FALSE))</f>
        <v>#N/A</v>
      </c>
      <c r="D13" s="80">
        <v>328</v>
      </c>
      <c r="E13" s="92" t="e">
        <f>IF(ISBLANK($B13),"0",VLOOKUP($B13,SÜRELER!$A:$C,3,FALSE))*(D13-F13)</f>
        <v>#N/A</v>
      </c>
      <c r="F13" s="81">
        <v>8</v>
      </c>
      <c r="G13" s="93" t="e">
        <f>VLOOKUP(B13,'R.H.'!A$3:C$3974,3,FALSE)*D13/100</f>
        <v>#N/A</v>
      </c>
      <c r="H13" s="82">
        <f t="shared" si="1"/>
        <v>2.4390243902439025E-2</v>
      </c>
      <c r="I13" s="87" t="e">
        <f>VLOOKUP(B13,'R.H.'!A$3:C$3974,3,FALSE)/100</f>
        <v>#N/A</v>
      </c>
      <c r="J13" s="83">
        <v>0.5</v>
      </c>
      <c r="K13" s="92" t="e">
        <f t="shared" si="2"/>
        <v>#N/A</v>
      </c>
      <c r="L13" s="84">
        <v>380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1727</v>
      </c>
      <c r="C14" s="91" t="e">
        <f>IF(ISBLANK(B14),"",VLOOKUP(B14,SÜRELER!$A:$B,2,FALSE))</f>
        <v>#N/A</v>
      </c>
      <c r="D14" s="80">
        <v>328</v>
      </c>
      <c r="E14" s="92" t="e">
        <f>IF(ISBLANK($B14),"0",VLOOKUP($B14,SÜRELER!$A:$C,3,FALSE))*(D14-F14)</f>
        <v>#N/A</v>
      </c>
      <c r="F14" s="81">
        <v>8</v>
      </c>
      <c r="G14" s="93" t="e">
        <f>VLOOKUP(B14,'R.H.'!A$3:C$3974,3,FALSE)*D14/100</f>
        <v>#N/A</v>
      </c>
      <c r="H14" s="82">
        <f t="shared" si="1"/>
        <v>2.4390243902439025E-2</v>
      </c>
      <c r="I14" s="87" t="e">
        <f>VLOOKUP(B14,'R.H.'!A$3:C$3974,3,FALSE)/100</f>
        <v>#N/A</v>
      </c>
      <c r="J14" s="83">
        <v>1</v>
      </c>
      <c r="K14" s="92" t="e">
        <f t="shared" si="2"/>
        <v>#N/A</v>
      </c>
      <c r="L14" s="84">
        <v>195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1493</v>
      </c>
      <c r="C15" s="91" t="e">
        <f>IF(ISBLANK(B15),"",VLOOKUP(B15,SÜRELER!$A:$B,2,FALSE))</f>
        <v>#N/A</v>
      </c>
      <c r="D15" s="80">
        <f>88+143</f>
        <v>231</v>
      </c>
      <c r="E15" s="92" t="e">
        <f>IF(ISBLANK($B15),"0",VLOOKUP($B15,SÜRELER!$A:$C,3,FALSE))*(D15-F15)</f>
        <v>#N/A</v>
      </c>
      <c r="F15" s="81">
        <v>3</v>
      </c>
      <c r="G15" s="93" t="e">
        <f>VLOOKUP(B15,'R.H.'!A$3:C$3974,3,FALSE)*D15/100</f>
        <v>#N/A</v>
      </c>
      <c r="H15" s="82">
        <f t="shared" si="1"/>
        <v>1.2987012987012988E-2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235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1494</v>
      </c>
      <c r="C16" s="91" t="e">
        <f>IF(ISBLANK(B16),"",VLOOKUP(B16,SÜRELER!$A:$B,2,FALSE))</f>
        <v>#N/A</v>
      </c>
      <c r="D16" s="80">
        <v>231</v>
      </c>
      <c r="E16" s="92" t="e">
        <f>IF(ISBLANK($B16),"0",VLOOKUP($B16,SÜRELER!$A:$C,3,FALSE))*(D16-F16)</f>
        <v>#N/A</v>
      </c>
      <c r="F16" s="81">
        <v>3</v>
      </c>
      <c r="G16" s="93" t="e">
        <f>VLOOKUP(B16,'R.H.'!A$3:C$3974,3,FALSE)*D16/100</f>
        <v>#N/A</v>
      </c>
      <c r="H16" s="82">
        <f t="shared" si="1"/>
        <v>1.2987012987012988E-2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235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1294</v>
      </c>
      <c r="C17" s="91" t="e">
        <f>IF(ISBLANK(B17),"",VLOOKUP(B17,SÜRELER!$A:$B,2,FALSE))</f>
        <v>#N/A</v>
      </c>
      <c r="D17" s="80">
        <v>350</v>
      </c>
      <c r="E17" s="92" t="e">
        <f>IF(ISBLANK($B17),"0",VLOOKUP($B17,SÜRELER!$A:$C,3,FALSE))*(D17-F17)</f>
        <v>#N/A</v>
      </c>
      <c r="F17" s="81">
        <v>4</v>
      </c>
      <c r="G17" s="93" t="e">
        <f>VLOOKUP(B17,'R.H.'!A$3:C$3974,3,FALSE)*D17/100</f>
        <v>#N/A</v>
      </c>
      <c r="H17" s="82">
        <f t="shared" si="1"/>
        <v>1.1428571428571429E-2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320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1295</v>
      </c>
      <c r="C18" s="91" t="e">
        <f>IF(ISBLANK(B18),"",VLOOKUP(B18,SÜRELER!$A:$B,2,FALSE))</f>
        <v>#N/A</v>
      </c>
      <c r="D18" s="80">
        <v>350</v>
      </c>
      <c r="E18" s="92" t="e">
        <f>IF(ISBLANK($B18),"0",VLOOKUP($B18,SÜRELER!$A:$C,3,FALSE))*(D18-F18)</f>
        <v>#N/A</v>
      </c>
      <c r="F18" s="81">
        <v>4</v>
      </c>
      <c r="G18" s="93" t="e">
        <f>VLOOKUP(B18,'R.H.'!A$3:C$3974,3,FALSE)*D18/100</f>
        <v>#N/A</v>
      </c>
      <c r="H18" s="82">
        <f t="shared" si="1"/>
        <v>1.1428571428571429E-2</v>
      </c>
      <c r="I18" s="87" t="e">
        <f>VLOOKUP(B18,'R.H.'!A$3:C$3974,3,FALSE)/100</f>
        <v>#N/A</v>
      </c>
      <c r="J18" s="83">
        <v>0.5</v>
      </c>
      <c r="K18" s="92" t="e">
        <f t="shared" si="2"/>
        <v>#N/A</v>
      </c>
      <c r="L18" s="84">
        <v>320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951</v>
      </c>
      <c r="C19" s="91" t="e">
        <f>IF(ISBLANK(B19),"",VLOOKUP(B19,SÜRELER!$A:$B,2,FALSE))</f>
        <v>#N/A</v>
      </c>
      <c r="D19" s="80">
        <v>648</v>
      </c>
      <c r="E19" s="92" t="e">
        <f>IF(ISBLANK($B19),"0",VLOOKUP($B19,SÜRELER!$A:$C,3,FALSE))*(D19-F19)</f>
        <v>#N/A</v>
      </c>
      <c r="F19" s="81">
        <v>0</v>
      </c>
      <c r="G19" s="93" t="e">
        <f>VLOOKUP(B19,'R.H.'!A$3:C$3974,3,FALSE)*D19/100</f>
        <v>#N/A</v>
      </c>
      <c r="H19" s="82">
        <f t="shared" si="1"/>
        <v>0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500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2150</v>
      </c>
      <c r="C20" s="91" t="e">
        <f>IF(ISBLANK(B20),"",VLOOKUP(B20,SÜRELER!$A:$B,2,FALSE))</f>
        <v>#N/A</v>
      </c>
      <c r="D20" s="80">
        <v>95</v>
      </c>
      <c r="E20" s="92" t="e">
        <f>IF(ISBLANK($B20),"0",VLOOKUP($B20,SÜRELER!$A:$C,3,FALSE))*(D20-F20)</f>
        <v>#N/A</v>
      </c>
      <c r="F20" s="81">
        <v>3</v>
      </c>
      <c r="G20" s="93" t="e">
        <f>VLOOKUP(B20,'R.H.'!A$3:C$3974,3,FALSE)*D20/100</f>
        <v>#N/A</v>
      </c>
      <c r="H20" s="82">
        <f t="shared" si="1"/>
        <v>3.1578947368421054E-2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75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248</v>
      </c>
      <c r="C21" s="91" t="e">
        <f>IF(ISBLANK(B21),"",VLOOKUP(B21,SÜRELER!$A:$B,2,FALSE))</f>
        <v>#N/A</v>
      </c>
      <c r="D21" s="80">
        <v>488</v>
      </c>
      <c r="E21" s="92" t="e">
        <f>IF(ISBLANK($B21),"0",VLOOKUP($B21,SÜRELER!$A:$C,3,FALSE))*(D21-F21)</f>
        <v>#N/A</v>
      </c>
      <c r="F21" s="81">
        <v>2</v>
      </c>
      <c r="G21" s="93" t="e">
        <f>VLOOKUP(B21,'R.H.'!A$3:C$3974,3,FALSE)*D21/100</f>
        <v>#N/A</v>
      </c>
      <c r="H21" s="82">
        <f t="shared" si="1"/>
        <v>4.0983606557377051E-3</v>
      </c>
      <c r="I21" s="87" t="e">
        <f>VLOOKUP(B21,'R.H.'!A$3:C$3974,3,FALSE)/100</f>
        <v>#N/A</v>
      </c>
      <c r="J21" s="83">
        <v>1</v>
      </c>
      <c r="K21" s="92" t="e">
        <f t="shared" si="2"/>
        <v>#N/A</v>
      </c>
      <c r="L21" s="84">
        <v>230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249</v>
      </c>
      <c r="C22" s="91" t="e">
        <f>IF(ISBLANK(B22),"",VLOOKUP(B22,SÜRELER!$A:$B,2,FALSE))</f>
        <v>#N/A</v>
      </c>
      <c r="D22" s="80">
        <v>488</v>
      </c>
      <c r="E22" s="92" t="e">
        <f>IF(ISBLANK($B22),"0",VLOOKUP($B22,SÜRELER!$A:$C,3,FALSE))*(D22-F22)</f>
        <v>#N/A</v>
      </c>
      <c r="F22" s="81">
        <v>2</v>
      </c>
      <c r="G22" s="93" t="e">
        <f>VLOOKUP(B22,'R.H.'!A$3:C$3974,3,FALSE)*D22/100</f>
        <v>#N/A</v>
      </c>
      <c r="H22" s="82">
        <f t="shared" si="1"/>
        <v>4.0983606557377051E-3</v>
      </c>
      <c r="I22" s="87" t="e">
        <f>VLOOKUP(B22,'R.H.'!A$3:C$3974,3,FALSE)/100</f>
        <v>#N/A</v>
      </c>
      <c r="J22" s="83">
        <v>1</v>
      </c>
      <c r="K22" s="92" t="e">
        <f t="shared" si="2"/>
        <v>#N/A</v>
      </c>
      <c r="L22" s="84">
        <v>230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750</v>
      </c>
      <c r="C23" s="91" t="e">
        <f>IF(ISBLANK(B23),"",VLOOKUP(B23,SÜRELER!$A:$B,2,FALSE))</f>
        <v>#N/A</v>
      </c>
      <c r="D23" s="80">
        <v>107</v>
      </c>
      <c r="E23" s="92" t="e">
        <f>IF(ISBLANK($B23),"0",VLOOKUP($B23,SÜRELER!$A:$C,3,FALSE))*(D23-F23)</f>
        <v>#N/A</v>
      </c>
      <c r="F23" s="81">
        <v>4</v>
      </c>
      <c r="G23" s="93" t="e">
        <f>VLOOKUP(B23,'R.H.'!A$3:C$3974,3,FALSE)*D23/100</f>
        <v>#N/A</v>
      </c>
      <c r="H23" s="82">
        <f t="shared" si="1"/>
        <v>3.7383177570093455E-2</v>
      </c>
      <c r="I23" s="87" t="e">
        <f>VLOOKUP(B23,'R.H.'!A$3:C$3974,3,FALSE)/100</f>
        <v>#N/A</v>
      </c>
      <c r="J23" s="83">
        <v>0.5</v>
      </c>
      <c r="K23" s="92" t="e">
        <f t="shared" si="2"/>
        <v>#N/A</v>
      </c>
      <c r="L23" s="84">
        <v>82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751</v>
      </c>
      <c r="C24" s="91" t="e">
        <f>IF(ISBLANK(B24),"",VLOOKUP(B24,SÜRELER!$A:$B,2,FALSE))</f>
        <v>#N/A</v>
      </c>
      <c r="D24" s="80">
        <v>107</v>
      </c>
      <c r="E24" s="92" t="e">
        <f>IF(ISBLANK($B24),"0",VLOOKUP($B24,SÜRELER!$A:$C,3,FALSE))*(D24-F24)</f>
        <v>#N/A</v>
      </c>
      <c r="F24" s="81">
        <v>4</v>
      </c>
      <c r="G24" s="93" t="e">
        <f>VLOOKUP(B24,'R.H.'!A$3:C$3974,3,FALSE)*D24/100</f>
        <v>#N/A</v>
      </c>
      <c r="H24" s="82">
        <f t="shared" si="1"/>
        <v>3.7383177570093455E-2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82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891</v>
      </c>
      <c r="C25" s="91" t="e">
        <f>IF(ISBLANK(B25),"",VLOOKUP(B25,SÜRELER!$A:$B,2,FALSE))</f>
        <v>#N/A</v>
      </c>
      <c r="D25" s="80">
        <v>544</v>
      </c>
      <c r="E25" s="92" t="e">
        <f>IF(ISBLANK($B25),"0",VLOOKUP($B25,SÜRELER!$A:$C,3,FALSE))*(D25-F25)</f>
        <v>#N/A</v>
      </c>
      <c r="F25" s="81">
        <v>2</v>
      </c>
      <c r="G25" s="93" t="e">
        <f>VLOOKUP(B25,'R.H.'!A$3:C$3974,3,FALSE)*D25/100</f>
        <v>#N/A</v>
      </c>
      <c r="H25" s="82">
        <f t="shared" si="1"/>
        <v>3.6764705882352941E-3</v>
      </c>
      <c r="I25" s="87" t="e">
        <f>VLOOKUP(B25,'R.H.'!A$3:C$3974,3,FALSE)/100</f>
        <v>#N/A</v>
      </c>
      <c r="J25" s="83">
        <v>1</v>
      </c>
      <c r="K25" s="92" t="e">
        <f t="shared" si="2"/>
        <v>#N/A</v>
      </c>
      <c r="L25" s="84">
        <v>445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2131</v>
      </c>
      <c r="C26" s="91" t="e">
        <f>IF(ISBLANK(B26),"",VLOOKUP(B26,SÜRELER!$A:$B,2,FALSE))</f>
        <v>#N/A</v>
      </c>
      <c r="D26" s="80">
        <v>382</v>
      </c>
      <c r="E26" s="92" t="e">
        <f>IF(ISBLANK($B26),"0",VLOOKUP($B26,SÜRELER!$A:$C,3,FALSE))*(D26-F26)</f>
        <v>#N/A</v>
      </c>
      <c r="F26" s="81">
        <v>8</v>
      </c>
      <c r="G26" s="93" t="e">
        <f>VLOOKUP(B26,'R.H.'!A$3:C$3974,3,FALSE)*D26/100</f>
        <v>#N/A</v>
      </c>
      <c r="H26" s="82">
        <f t="shared" si="1"/>
        <v>2.0942408376963352E-2</v>
      </c>
      <c r="I26" s="87" t="e">
        <f>VLOOKUP(B26,'R.H.'!A$3:C$3974,3,FALSE)/100</f>
        <v>#N/A</v>
      </c>
      <c r="J26" s="83">
        <v>3</v>
      </c>
      <c r="K26" s="92" t="e">
        <f t="shared" si="2"/>
        <v>#N/A</v>
      </c>
      <c r="L26" s="84">
        <v>90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2132</v>
      </c>
      <c r="C27" s="91" t="e">
        <f>IF(ISBLANK(B27),"",VLOOKUP(B27,SÜRELER!$A:$B,2,FALSE))</f>
        <v>#N/A</v>
      </c>
      <c r="D27" s="80">
        <v>382</v>
      </c>
      <c r="E27" s="92" t="e">
        <f>IF(ISBLANK($B27),"0",VLOOKUP($B27,SÜRELER!$A:$C,3,FALSE))*(D27-F27)</f>
        <v>#N/A</v>
      </c>
      <c r="F27" s="81">
        <v>8</v>
      </c>
      <c r="G27" s="93" t="e">
        <f>VLOOKUP(B27,'R.H.'!A$3:C$3974,3,FALSE)*D27/100</f>
        <v>#N/A</v>
      </c>
      <c r="H27" s="82">
        <f t="shared" si="1"/>
        <v>2.0942408376963352E-2</v>
      </c>
      <c r="I27" s="87" t="e">
        <f>VLOOKUP(B27,'R.H.'!A$3:C$3974,3,FALSE)/100</f>
        <v>#N/A</v>
      </c>
      <c r="J27" s="83"/>
      <c r="K27" s="92" t="e">
        <f t="shared" si="2"/>
        <v>#N/A</v>
      </c>
      <c r="L27" s="84"/>
      <c r="M27" s="84"/>
      <c r="N27" s="94" t="e">
        <f t="shared" si="3"/>
        <v>#N/A</v>
      </c>
      <c r="O27" s="88" t="e">
        <f t="shared" si="0"/>
        <v>#N/A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/>
      <c r="C28" s="91" t="str">
        <f>IF(ISBLANK(B28),"",VLOOKUP(B28,SÜRELER!$A:$B,2,FALSE))</f>
        <v/>
      </c>
      <c r="D28" s="80"/>
      <c r="E28" s="92">
        <f>IF(ISBLANK($B28),"0",VLOOKUP($B28,SÜRELER!$A:$C,3,FALSE))*(D28-F28)</f>
        <v>0</v>
      </c>
      <c r="F28" s="81"/>
      <c r="G28" s="93" t="e">
        <f>VLOOKUP(B28,'R.H.'!A$3:C$3974,3,FALSE)*D28/100</f>
        <v>#N/A</v>
      </c>
      <c r="H28" s="82" t="e">
        <f t="shared" si="1"/>
        <v>#DIV/0!</v>
      </c>
      <c r="I28" s="87" t="e">
        <f>VLOOKUP(B28,'R.H.'!A$3:C$3974,3,FALSE)/100</f>
        <v>#N/A</v>
      </c>
      <c r="J28" s="83"/>
      <c r="K28" s="92" t="e">
        <f t="shared" si="2"/>
        <v>#DIV/0!</v>
      </c>
      <c r="L28" s="84"/>
      <c r="M28" s="84"/>
      <c r="N28" s="94" t="e">
        <f t="shared" si="3"/>
        <v>#DIV/0!</v>
      </c>
      <c r="O28" s="88" t="e">
        <f t="shared" si="0"/>
        <v>#DIV/0!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/>
      <c r="C29" s="91" t="str">
        <f>IF(ISBLANK(B29),"",VLOOKUP(B29,SÜRELER!$A:$B,2,FALSE))</f>
        <v/>
      </c>
      <c r="D29" s="80"/>
      <c r="E29" s="92">
        <f>IF(ISBLANK($B29),"0",VLOOKUP($B29,SÜRELER!$A:$C,3,FALSE))*(D29-F29)</f>
        <v>0</v>
      </c>
      <c r="F29" s="81"/>
      <c r="G29" s="93" t="e">
        <f>VLOOKUP(B29,'R.H.'!A$3:C$3974,3,FALSE)*D29/100</f>
        <v>#N/A</v>
      </c>
      <c r="H29" s="82" t="e">
        <f t="shared" si="1"/>
        <v>#DIV/0!</v>
      </c>
      <c r="I29" s="87" t="e">
        <f>VLOOKUP(B29,'R.H.'!A$3:C$3974,3,FALSE)/100</f>
        <v>#N/A</v>
      </c>
      <c r="J29" s="83"/>
      <c r="K29" s="92" t="e">
        <f t="shared" si="2"/>
        <v>#DIV/0!</v>
      </c>
      <c r="L29" s="84"/>
      <c r="M29" s="84"/>
      <c r="N29" s="94" t="e">
        <f t="shared" si="3"/>
        <v>#DIV/0!</v>
      </c>
      <c r="O29" s="88" t="e">
        <f t="shared" si="0"/>
        <v>#DIV/0!</v>
      </c>
      <c r="P29" s="119"/>
      <c r="Q29" s="5"/>
      <c r="R29" s="5"/>
    </row>
    <row r="30" spans="1:18" s="4" customFormat="1" ht="16.5" x14ac:dyDescent="0.25">
      <c r="A30" s="85">
        <v>26</v>
      </c>
      <c r="B30" s="86"/>
      <c r="C30" s="91" t="str">
        <f>IF(ISBLANK(B30),"",VLOOKUP(B30,SÜRELER!$A:$B,2,FALSE))</f>
        <v/>
      </c>
      <c r="D30" s="80"/>
      <c r="E30" s="92">
        <f>IF(ISBLANK($B30),"0",VLOOKUP($B30,SÜRELER!$A:$C,3,FALSE))*(D30-F30)</f>
        <v>0</v>
      </c>
      <c r="F30" s="81"/>
      <c r="G30" s="93" t="e">
        <f>VLOOKUP(B30,'R.H.'!A$3:C$3974,3,FALSE)*D30/100</f>
        <v>#N/A</v>
      </c>
      <c r="H30" s="82" t="e">
        <f t="shared" si="1"/>
        <v>#DIV/0!</v>
      </c>
      <c r="I30" s="87" t="e">
        <f>VLOOKUP(B30,'R.H.'!A$3:C$3974,3,FALSE)/100</f>
        <v>#N/A</v>
      </c>
      <c r="J30" s="83"/>
      <c r="K30" s="92" t="e">
        <f t="shared" si="2"/>
        <v>#DIV/0!</v>
      </c>
      <c r="L30" s="84"/>
      <c r="M30" s="84"/>
      <c r="N30" s="94" t="e">
        <f t="shared" si="3"/>
        <v>#DIV/0!</v>
      </c>
      <c r="O30" s="88" t="e">
        <f t="shared" si="0"/>
        <v>#DIV/0!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8854</v>
      </c>
      <c r="E45" s="26" t="e">
        <f>SUM(E5:E44)</f>
        <v>#N/A</v>
      </c>
      <c r="F45" s="26">
        <f>SUM(F5:F44)</f>
        <v>196</v>
      </c>
      <c r="G45" s="26"/>
      <c r="H45" s="26"/>
      <c r="I45" s="26"/>
      <c r="J45" s="26"/>
      <c r="K45" s="26"/>
      <c r="L45" s="26">
        <f>SUM(L5:L44)</f>
        <v>7874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2.2136887282584139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7.5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5305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>
        <v>120</v>
      </c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5185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120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8854</v>
      </c>
      <c r="F63" s="24">
        <f>F45</f>
        <v>196</v>
      </c>
      <c r="G63" s="23">
        <f>(F63*1000000)/E63</f>
        <v>22136.887282584143</v>
      </c>
      <c r="H63" s="22">
        <f>D59</f>
        <v>120</v>
      </c>
      <c r="I63" s="17" t="e">
        <f>N1</f>
        <v>#N/A</v>
      </c>
    </row>
  </sheetData>
  <mergeCells count="16">
    <mergeCell ref="P5:P6"/>
    <mergeCell ref="N1:N3"/>
    <mergeCell ref="A2:B3"/>
    <mergeCell ref="E56:N56"/>
    <mergeCell ref="E57:N57"/>
    <mergeCell ref="E49:N49"/>
    <mergeCell ref="E50:N50"/>
    <mergeCell ref="E51:N51"/>
    <mergeCell ref="E53:N53"/>
    <mergeCell ref="E54:N54"/>
    <mergeCell ref="E55:N55"/>
    <mergeCell ref="D46:D47"/>
    <mergeCell ref="E46:F47"/>
    <mergeCell ref="A1:B1"/>
    <mergeCell ref="C1:D2"/>
    <mergeCell ref="H1:H3"/>
  </mergeCells>
  <conditionalFormatting sqref="D3">
    <cfRule type="cellIs" dxfId="104" priority="5" stopIfTrue="1" operator="lessThan">
      <formula>0.95</formula>
    </cfRule>
  </conditionalFormatting>
  <conditionalFormatting sqref="F5:F44">
    <cfRule type="cellIs" dxfId="103" priority="1" stopIfTrue="1" operator="greaterThan">
      <formula>$G5</formula>
    </cfRule>
  </conditionalFormatting>
  <conditionalFormatting sqref="H5:H44">
    <cfRule type="cellIs" dxfId="102" priority="2" stopIfTrue="1" operator="greaterThan">
      <formula>$I$5</formula>
    </cfRule>
  </conditionalFormatting>
  <conditionalFormatting sqref="N1:N3">
    <cfRule type="cellIs" dxfId="101" priority="4" stopIfTrue="1" operator="lessThan">
      <formula>0.8</formula>
    </cfRule>
  </conditionalFormatting>
  <conditionalFormatting sqref="N5:O44">
    <cfRule type="cellIs" dxfId="100" priority="3" stopIfTrue="1" operator="lessThan">
      <formula>0.85</formula>
    </cfRule>
  </conditionalFormatting>
  <hyperlinks>
    <hyperlink ref="P1:P3" location="'Ana Sayfa'!A1" display="ANA SAYFA" xr:uid="{688360A3-93D2-445F-8B43-BE28E05A03E6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B057-2E18-472E-9D84-0926D01F3AB1}">
  <sheetPr codeName="Sayfa12">
    <tabColor theme="0" tint="-0.14999847407452621"/>
    <pageSetUpPr fitToPage="1"/>
  </sheetPr>
  <dimension ref="A1:W63"/>
  <sheetViews>
    <sheetView workbookViewId="0">
      <selection activeCell="M10" sqref="M10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customWidth="1"/>
    <col min="6" max="6" width="5.1796875" style="2" customWidth="1"/>
    <col min="7" max="7" width="8.26953125" style="8" customWidth="1"/>
    <col min="8" max="8" width="11.1796875" style="15" customWidth="1"/>
    <col min="9" max="9" width="8.1796875" style="8" customWidth="1"/>
    <col min="10" max="10" width="6.81640625" style="66" customWidth="1"/>
    <col min="11" max="11" width="10.26953125" style="2" customWidth="1"/>
    <col min="12" max="13" width="7" style="2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'11'!A1+1</f>
        <v>46215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Pazar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22840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1985</v>
      </c>
      <c r="C5" s="91" t="e">
        <f>IF(ISBLANK(B5),"",VLOOKUP(B5,SÜRELER!$A:$B,2,FALSE))</f>
        <v>#N/A</v>
      </c>
      <c r="D5" s="80">
        <f>307+423</f>
        <v>730</v>
      </c>
      <c r="E5" s="92" t="e">
        <f>IF(ISBLANK($B5),"0",VLOOKUP($B5,SÜRELER!$A:$C,3,FALSE))*(D5-F5)</f>
        <v>#N/A</v>
      </c>
      <c r="F5" s="81">
        <v>4</v>
      </c>
      <c r="G5" s="93" t="e">
        <f>VLOOKUP(B5,'R.H.'!A$3:C$3974,3,FALSE)*D5/100</f>
        <v>#N/A</v>
      </c>
      <c r="H5" s="82">
        <f>F5/D5</f>
        <v>5.4794520547945206E-3</v>
      </c>
      <c r="I5" s="87" t="e">
        <f>VLOOKUP(B5,'R.H.'!A$3:C$3974,3,FALSE)/100</f>
        <v>#N/A</v>
      </c>
      <c r="J5" s="83">
        <v>0.5</v>
      </c>
      <c r="K5" s="92" t="e">
        <f>E5/J5</f>
        <v>#N/A</v>
      </c>
      <c r="L5" s="84">
        <v>590</v>
      </c>
      <c r="M5" s="84"/>
      <c r="N5" s="94" t="e">
        <f>K5/L5</f>
        <v>#N/A</v>
      </c>
      <c r="O5" s="88" t="e">
        <f t="shared" ref="O5:O44" si="0">K5/(L5-M5)</f>
        <v>#N/A</v>
      </c>
      <c r="P5" s="119"/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1986</v>
      </c>
      <c r="C6" s="91" t="e">
        <f>IF(ISBLANK(B6),"",VLOOKUP(B6,SÜRELER!$A:$B,2,FALSE))</f>
        <v>#N/A</v>
      </c>
      <c r="D6" s="80">
        <v>730</v>
      </c>
      <c r="E6" s="92" t="e">
        <f>IF(ISBLANK($B6),"0",VLOOKUP($B6,SÜRELER!$A:$C,3,FALSE))*(D6-F6)</f>
        <v>#N/A</v>
      </c>
      <c r="F6" s="81">
        <v>4</v>
      </c>
      <c r="G6" s="93" t="e">
        <f>VLOOKUP(B6,'R.H.'!A$3:C$3974,3,FALSE)*D6/100</f>
        <v>#N/A</v>
      </c>
      <c r="H6" s="82">
        <f t="shared" ref="H6:H44" si="1">F6/D6</f>
        <v>5.4794520547945206E-3</v>
      </c>
      <c r="I6" s="87" t="e">
        <f>VLOOKUP(B6,'R.H.'!A$3:C$3974,3,FALSE)/100</f>
        <v>#N/A</v>
      </c>
      <c r="J6" s="83">
        <v>0.5</v>
      </c>
      <c r="K6" s="92" t="e">
        <f t="shared" ref="K6:K44" si="2">E6/J6</f>
        <v>#N/A</v>
      </c>
      <c r="L6" s="84">
        <v>590</v>
      </c>
      <c r="M6" s="84"/>
      <c r="N6" s="94" t="e">
        <f t="shared" ref="N6:N44" si="3">K6/L6</f>
        <v>#N/A</v>
      </c>
      <c r="O6" s="88" t="e">
        <f t="shared" si="0"/>
        <v>#N/A</v>
      </c>
      <c r="P6" s="119"/>
      <c r="Q6" s="5"/>
      <c r="R6" s="5"/>
    </row>
    <row r="7" spans="1:23" s="4" customFormat="1" ht="16.5" customHeight="1" x14ac:dyDescent="0.25">
      <c r="A7" s="90">
        <v>3</v>
      </c>
      <c r="B7" s="86">
        <v>710</v>
      </c>
      <c r="C7" s="91" t="e">
        <f>IF(ISBLANK(B7),"",VLOOKUP(B7,SÜRELER!$A:$B,2,FALSE))</f>
        <v>#N/A</v>
      </c>
      <c r="D7" s="80">
        <v>306</v>
      </c>
      <c r="E7" s="92" t="e">
        <f>IF(ISBLANK($B7),"0",VLOOKUP($B7,SÜRELER!$A:$C,3,FALSE))*(D7-F7)</f>
        <v>#N/A</v>
      </c>
      <c r="F7" s="81">
        <v>6</v>
      </c>
      <c r="G7" s="93" t="e">
        <f>VLOOKUP(B7,'R.H.'!A$3:C$3974,3,FALSE)*D7/100</f>
        <v>#N/A</v>
      </c>
      <c r="H7" s="82">
        <f t="shared" si="1"/>
        <v>1.9607843137254902E-2</v>
      </c>
      <c r="I7" s="87" t="e">
        <f>VLOOKUP(B7,'R.H.'!A$3:C$3974,3,FALSE)/100</f>
        <v>#N/A</v>
      </c>
      <c r="J7" s="83">
        <v>0.5</v>
      </c>
      <c r="K7" s="92" t="e">
        <f t="shared" si="2"/>
        <v>#N/A</v>
      </c>
      <c r="L7" s="84">
        <v>330</v>
      </c>
      <c r="M7" s="84"/>
      <c r="N7" s="94" t="e">
        <f t="shared" si="3"/>
        <v>#N/A</v>
      </c>
      <c r="O7" s="88" t="e">
        <f t="shared" si="0"/>
        <v>#N/A</v>
      </c>
      <c r="P7" s="119"/>
      <c r="Q7" s="5"/>
      <c r="R7" s="5"/>
    </row>
    <row r="8" spans="1:23" s="4" customFormat="1" ht="16.5" customHeight="1" x14ac:dyDescent="0.25">
      <c r="A8" s="85">
        <v>4</v>
      </c>
      <c r="B8" s="86">
        <v>711</v>
      </c>
      <c r="C8" s="91" t="e">
        <f>IF(ISBLANK(B8),"",VLOOKUP(B8,SÜRELER!$A:$B,2,FALSE))</f>
        <v>#N/A</v>
      </c>
      <c r="D8" s="80">
        <v>306</v>
      </c>
      <c r="E8" s="92" t="e">
        <f>IF(ISBLANK($B8),"0",VLOOKUP($B8,SÜRELER!$A:$C,3,FALSE))*(D8-F8)</f>
        <v>#N/A</v>
      </c>
      <c r="F8" s="81">
        <v>6</v>
      </c>
      <c r="G8" s="93" t="e">
        <f>VLOOKUP(B8,'R.H.'!A$3:C$3974,3,FALSE)*D8/100</f>
        <v>#N/A</v>
      </c>
      <c r="H8" s="82">
        <f t="shared" si="1"/>
        <v>1.9607843137254902E-2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330</v>
      </c>
      <c r="M8" s="84"/>
      <c r="N8" s="94" t="e">
        <f t="shared" si="3"/>
        <v>#N/A</v>
      </c>
      <c r="O8" s="88" t="e">
        <f t="shared" si="0"/>
        <v>#N/A</v>
      </c>
      <c r="P8" s="119"/>
      <c r="Q8" s="5"/>
      <c r="R8" s="5"/>
    </row>
    <row r="9" spans="1:23" s="4" customFormat="1" ht="16.5" x14ac:dyDescent="0.25">
      <c r="A9" s="90">
        <v>5</v>
      </c>
      <c r="B9" s="86">
        <v>97</v>
      </c>
      <c r="C9" s="91" t="e">
        <f>IF(ISBLANK(B9),"",VLOOKUP(B9,SÜRELER!$A:$B,2,FALSE))</f>
        <v>#N/A</v>
      </c>
      <c r="D9" s="80">
        <f>333+205</f>
        <v>538</v>
      </c>
      <c r="E9" s="92" t="e">
        <f>IF(ISBLANK($B9),"0",VLOOKUP($B9,SÜRELER!$A:$C,3,FALSE))*(D9-F9)</f>
        <v>#N/A</v>
      </c>
      <c r="F9" s="81">
        <v>24</v>
      </c>
      <c r="G9" s="93" t="e">
        <f>VLOOKUP(B9,'R.H.'!A$3:C$3974,3,FALSE)*D9/100</f>
        <v>#N/A</v>
      </c>
      <c r="H9" s="82">
        <f t="shared" si="1"/>
        <v>4.4609665427509292E-2</v>
      </c>
      <c r="I9" s="87" t="e">
        <f>VLOOKUP(B9,'R.H.'!A$3:C$3974,3,FALSE)/100</f>
        <v>#N/A</v>
      </c>
      <c r="J9" s="83">
        <v>1</v>
      </c>
      <c r="K9" s="92" t="e">
        <f t="shared" si="2"/>
        <v>#N/A</v>
      </c>
      <c r="L9" s="84">
        <v>600</v>
      </c>
      <c r="M9" s="84"/>
      <c r="N9" s="94" t="e">
        <f t="shared" si="3"/>
        <v>#N/A</v>
      </c>
      <c r="O9" s="88" t="e">
        <f t="shared" si="0"/>
        <v>#N/A</v>
      </c>
      <c r="P9" s="193" t="s">
        <v>3375</v>
      </c>
      <c r="Q9" s="5"/>
      <c r="R9" s="5"/>
    </row>
    <row r="10" spans="1:23" s="4" customFormat="1" ht="16.5" customHeight="1" x14ac:dyDescent="0.25">
      <c r="A10" s="85">
        <v>6</v>
      </c>
      <c r="B10" s="86">
        <v>103</v>
      </c>
      <c r="C10" s="91" t="e">
        <f>IF(ISBLANK(B10),"",VLOOKUP(B10,SÜRELER!$A:$B,2,FALSE))</f>
        <v>#N/A</v>
      </c>
      <c r="D10" s="80">
        <f>98+88</f>
        <v>186</v>
      </c>
      <c r="E10" s="92" t="e">
        <f>IF(ISBLANK($B10),"0",VLOOKUP($B10,SÜRELER!$A:$C,3,FALSE))*(D10-F10)</f>
        <v>#N/A</v>
      </c>
      <c r="F10" s="81">
        <v>21</v>
      </c>
      <c r="G10" s="93" t="e">
        <f>VLOOKUP(B10,'R.H.'!A$3:C$3974,3,FALSE)*D10/100</f>
        <v>#N/A</v>
      </c>
      <c r="H10" s="82">
        <f t="shared" si="1"/>
        <v>0.11290322580645161</v>
      </c>
      <c r="I10" s="87" t="e">
        <f>VLOOKUP(B10,'R.H.'!A$3:C$3974,3,FALSE)/100</f>
        <v>#N/A</v>
      </c>
      <c r="J10" s="83">
        <v>1</v>
      </c>
      <c r="K10" s="92" t="e">
        <f t="shared" si="2"/>
        <v>#N/A</v>
      </c>
      <c r="L10" s="84">
        <v>200</v>
      </c>
      <c r="M10" s="84"/>
      <c r="N10" s="94" t="e">
        <f t="shared" si="3"/>
        <v>#N/A</v>
      </c>
      <c r="O10" s="88" t="e">
        <f t="shared" si="0"/>
        <v>#N/A</v>
      </c>
      <c r="P10" s="194"/>
      <c r="Q10" s="5"/>
      <c r="R10" s="5"/>
    </row>
    <row r="11" spans="1:23" s="4" customFormat="1" ht="16.75" customHeight="1" x14ac:dyDescent="0.25">
      <c r="A11" s="90">
        <v>7</v>
      </c>
      <c r="B11" s="86">
        <v>1989</v>
      </c>
      <c r="C11" s="91" t="e">
        <f>IF(ISBLANK(B11),"",VLOOKUP(B11,SÜRELER!$A:$B,2,FALSE))</f>
        <v>#N/A</v>
      </c>
      <c r="D11" s="80">
        <v>153</v>
      </c>
      <c r="E11" s="92" t="e">
        <f>IF(ISBLANK($B11),"0",VLOOKUP($B11,SÜRELER!$A:$C,3,FALSE))*(D11-F11)</f>
        <v>#N/A</v>
      </c>
      <c r="F11" s="81">
        <v>3</v>
      </c>
      <c r="G11" s="93" t="e">
        <f>VLOOKUP(B11,'R.H.'!A$3:C$3974,3,FALSE)*D11/100</f>
        <v>#N/A</v>
      </c>
      <c r="H11" s="82">
        <f t="shared" si="1"/>
        <v>1.9607843137254902E-2</v>
      </c>
      <c r="I11" s="87" t="e">
        <f>VLOOKUP(B11,'R.H.'!A$3:C$3974,3,FALSE)/100</f>
        <v>#N/A</v>
      </c>
      <c r="J11" s="83">
        <v>0.25</v>
      </c>
      <c r="K11" s="92" t="e">
        <f t="shared" si="2"/>
        <v>#N/A</v>
      </c>
      <c r="L11" s="84">
        <v>335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1990</v>
      </c>
      <c r="C12" s="91" t="e">
        <f>IF(ISBLANK(B12),"",VLOOKUP(B12,SÜRELER!$A:$B,2,FALSE))</f>
        <v>#N/A</v>
      </c>
      <c r="D12" s="80">
        <v>153</v>
      </c>
      <c r="E12" s="92" t="e">
        <f>IF(ISBLANK($B12),"0",VLOOKUP($B12,SÜRELER!$A:$C,3,FALSE))*(D12-F12)</f>
        <v>#N/A</v>
      </c>
      <c r="F12" s="81">
        <v>3</v>
      </c>
      <c r="G12" s="93" t="e">
        <f>VLOOKUP(B12,'R.H.'!A$3:C$3974,3,FALSE)*D12/100</f>
        <v>#N/A</v>
      </c>
      <c r="H12" s="82">
        <f t="shared" si="1"/>
        <v>1.9607843137254902E-2</v>
      </c>
      <c r="I12" s="87" t="e">
        <f>VLOOKUP(B12,'R.H.'!A$3:C$3974,3,FALSE)/100</f>
        <v>#N/A</v>
      </c>
      <c r="J12" s="83">
        <v>0.25</v>
      </c>
      <c r="K12" s="92" t="e">
        <f t="shared" si="2"/>
        <v>#N/A</v>
      </c>
      <c r="L12" s="84">
        <v>335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1991</v>
      </c>
      <c r="C13" s="91" t="e">
        <f>IF(ISBLANK(B13),"",VLOOKUP(B13,SÜRELER!$A:$B,2,FALSE))</f>
        <v>#N/A</v>
      </c>
      <c r="D13" s="80">
        <v>153</v>
      </c>
      <c r="E13" s="92" t="e">
        <f>IF(ISBLANK($B13),"0",VLOOKUP($B13,SÜRELER!$A:$C,3,FALSE))*(D13-F13)</f>
        <v>#N/A</v>
      </c>
      <c r="F13" s="81">
        <v>3</v>
      </c>
      <c r="G13" s="93" t="e">
        <f>VLOOKUP(B13,'R.H.'!A$3:C$3974,3,FALSE)*D13/100</f>
        <v>#N/A</v>
      </c>
      <c r="H13" s="82">
        <f t="shared" si="1"/>
        <v>1.9607843137254902E-2</v>
      </c>
      <c r="I13" s="87" t="e">
        <f>VLOOKUP(B13,'R.H.'!A$3:C$3974,3,FALSE)/100</f>
        <v>#N/A</v>
      </c>
      <c r="J13" s="83">
        <v>0.25</v>
      </c>
      <c r="K13" s="92" t="e">
        <f t="shared" si="2"/>
        <v>#N/A</v>
      </c>
      <c r="L13" s="84">
        <v>335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1992</v>
      </c>
      <c r="C14" s="91" t="e">
        <f>IF(ISBLANK(B14),"",VLOOKUP(B14,SÜRELER!$A:$B,2,FALSE))</f>
        <v>#N/A</v>
      </c>
      <c r="D14" s="80">
        <v>153</v>
      </c>
      <c r="E14" s="92" t="e">
        <f>IF(ISBLANK($B14),"0",VLOOKUP($B14,SÜRELER!$A:$C,3,FALSE))*(D14-F14)</f>
        <v>#N/A</v>
      </c>
      <c r="F14" s="81">
        <v>3</v>
      </c>
      <c r="G14" s="93" t="e">
        <f>VLOOKUP(B14,'R.H.'!A$3:C$3974,3,FALSE)*D14/100</f>
        <v>#N/A</v>
      </c>
      <c r="H14" s="82">
        <f t="shared" si="1"/>
        <v>1.9607843137254902E-2</v>
      </c>
      <c r="I14" s="87" t="e">
        <f>VLOOKUP(B14,'R.H.'!A$3:C$3974,3,FALSE)/100</f>
        <v>#N/A</v>
      </c>
      <c r="J14" s="83">
        <v>0.25</v>
      </c>
      <c r="K14" s="92" t="e">
        <f t="shared" si="2"/>
        <v>#N/A</v>
      </c>
      <c r="L14" s="84">
        <v>335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1320</v>
      </c>
      <c r="C15" s="91" t="e">
        <f>IF(ISBLANK(B15),"",VLOOKUP(B15,SÜRELER!$A:$B,2,FALSE))</f>
        <v>#N/A</v>
      </c>
      <c r="D15" s="80">
        <v>571</v>
      </c>
      <c r="E15" s="92" t="e">
        <f>IF(ISBLANK($B15),"0",VLOOKUP($B15,SÜRELER!$A:$C,3,FALSE))*(D15-F15)</f>
        <v>#N/A</v>
      </c>
      <c r="F15" s="81">
        <v>4</v>
      </c>
      <c r="G15" s="93" t="e">
        <f>VLOOKUP(B15,'R.H.'!A$3:C$3974,3,FALSE)*D15/100</f>
        <v>#N/A</v>
      </c>
      <c r="H15" s="82">
        <f t="shared" si="1"/>
        <v>7.0052539404553416E-3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460</v>
      </c>
      <c r="M15" s="84"/>
      <c r="N15" s="94" t="e">
        <f t="shared" si="3"/>
        <v>#N/A</v>
      </c>
      <c r="O15" s="88" t="e">
        <f t="shared" si="0"/>
        <v>#N/A</v>
      </c>
      <c r="P15" s="193" t="s">
        <v>3374</v>
      </c>
      <c r="Q15" s="5"/>
      <c r="R15" s="5"/>
    </row>
    <row r="16" spans="1:23" s="4" customFormat="1" ht="16.5" customHeight="1" x14ac:dyDescent="0.25">
      <c r="A16" s="85">
        <v>12</v>
      </c>
      <c r="B16" s="86">
        <v>1321</v>
      </c>
      <c r="C16" s="91" t="e">
        <f>IF(ISBLANK(B16),"",VLOOKUP(B16,SÜRELER!$A:$B,2,FALSE))</f>
        <v>#N/A</v>
      </c>
      <c r="D16" s="80">
        <v>571</v>
      </c>
      <c r="E16" s="92" t="e">
        <f>IF(ISBLANK($B16),"0",VLOOKUP($B16,SÜRELER!$A:$C,3,FALSE))*(D16-F16)</f>
        <v>#N/A</v>
      </c>
      <c r="F16" s="81">
        <v>4</v>
      </c>
      <c r="G16" s="93" t="e">
        <f>VLOOKUP(B16,'R.H.'!A$3:C$3974,3,FALSE)*D16/100</f>
        <v>#N/A</v>
      </c>
      <c r="H16" s="82">
        <f t="shared" si="1"/>
        <v>7.0052539404553416E-3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460</v>
      </c>
      <c r="M16" s="84"/>
      <c r="N16" s="94" t="e">
        <f t="shared" si="3"/>
        <v>#N/A</v>
      </c>
      <c r="O16" s="88" t="e">
        <f t="shared" si="0"/>
        <v>#N/A</v>
      </c>
      <c r="P16" s="194"/>
      <c r="Q16" s="5"/>
      <c r="R16" s="5"/>
    </row>
    <row r="17" spans="1:18" s="4" customFormat="1" ht="16.75" customHeight="1" x14ac:dyDescent="0.25">
      <c r="A17" s="90">
        <v>13</v>
      </c>
      <c r="B17" s="86">
        <v>1989</v>
      </c>
      <c r="C17" s="91" t="e">
        <f>IF(ISBLANK(B17),"",VLOOKUP(B17,SÜRELER!$A:$B,2,FALSE))</f>
        <v>#N/A</v>
      </c>
      <c r="D17" s="80">
        <v>210</v>
      </c>
      <c r="E17" s="92" t="e">
        <f>IF(ISBLANK($B17),"0",VLOOKUP($B17,SÜRELER!$A:$C,3,FALSE))*(D17-F17)</f>
        <v>#N/A</v>
      </c>
      <c r="F17" s="81">
        <v>0</v>
      </c>
      <c r="G17" s="93" t="e">
        <f>VLOOKUP(B17,'R.H.'!A$3:C$3974,3,FALSE)*D17/100</f>
        <v>#N/A</v>
      </c>
      <c r="H17" s="82">
        <f t="shared" si="1"/>
        <v>0</v>
      </c>
      <c r="I17" s="87" t="e">
        <f>VLOOKUP(B17,'R.H.'!A$3:C$3974,3,FALSE)/100</f>
        <v>#N/A</v>
      </c>
      <c r="J17" s="83">
        <v>0.25</v>
      </c>
      <c r="K17" s="92" t="e">
        <f t="shared" si="2"/>
        <v>#N/A</v>
      </c>
      <c r="L17" s="84">
        <v>470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1990</v>
      </c>
      <c r="C18" s="91" t="e">
        <f>IF(ISBLANK(B18),"",VLOOKUP(B18,SÜRELER!$A:$B,2,FALSE))</f>
        <v>#N/A</v>
      </c>
      <c r="D18" s="80">
        <v>210</v>
      </c>
      <c r="E18" s="92" t="e">
        <f>IF(ISBLANK($B18),"0",VLOOKUP($B18,SÜRELER!$A:$C,3,FALSE))*(D18-F18)</f>
        <v>#N/A</v>
      </c>
      <c r="F18" s="81">
        <v>0</v>
      </c>
      <c r="G18" s="93" t="e">
        <f>VLOOKUP(B18,'R.H.'!A$3:C$3974,3,FALSE)*D18/100</f>
        <v>#N/A</v>
      </c>
      <c r="H18" s="82">
        <f t="shared" si="1"/>
        <v>0</v>
      </c>
      <c r="I18" s="87" t="e">
        <f>VLOOKUP(B18,'R.H.'!A$3:C$3974,3,FALSE)/100</f>
        <v>#N/A</v>
      </c>
      <c r="J18" s="83">
        <v>0.25</v>
      </c>
      <c r="K18" s="92" t="e">
        <f t="shared" si="2"/>
        <v>#N/A</v>
      </c>
      <c r="L18" s="84">
        <v>470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1991</v>
      </c>
      <c r="C19" s="91" t="e">
        <f>IF(ISBLANK(B19),"",VLOOKUP(B19,SÜRELER!$A:$B,2,FALSE))</f>
        <v>#N/A</v>
      </c>
      <c r="D19" s="80">
        <v>210</v>
      </c>
      <c r="E19" s="92" t="e">
        <f>IF(ISBLANK($B19),"0",VLOOKUP($B19,SÜRELER!$A:$C,3,FALSE))*(D19-F19)</f>
        <v>#N/A</v>
      </c>
      <c r="F19" s="81">
        <v>0</v>
      </c>
      <c r="G19" s="93" t="e">
        <f>VLOOKUP(B19,'R.H.'!A$3:C$3974,3,FALSE)*D19/100</f>
        <v>#N/A</v>
      </c>
      <c r="H19" s="82">
        <f t="shared" si="1"/>
        <v>0</v>
      </c>
      <c r="I19" s="87" t="e">
        <f>VLOOKUP(B19,'R.H.'!A$3:C$3974,3,FALSE)/100</f>
        <v>#N/A</v>
      </c>
      <c r="J19" s="83">
        <v>0.25</v>
      </c>
      <c r="K19" s="92" t="e">
        <f t="shared" si="2"/>
        <v>#N/A</v>
      </c>
      <c r="L19" s="84">
        <v>470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1992</v>
      </c>
      <c r="C20" s="91" t="e">
        <f>IF(ISBLANK(B20),"",VLOOKUP(B20,SÜRELER!$A:$B,2,FALSE))</f>
        <v>#N/A</v>
      </c>
      <c r="D20" s="80">
        <v>210</v>
      </c>
      <c r="E20" s="92" t="e">
        <f>IF(ISBLANK($B20),"0",VLOOKUP($B20,SÜRELER!$A:$C,3,FALSE))*(D20-F20)</f>
        <v>#N/A</v>
      </c>
      <c r="F20" s="81">
        <v>0</v>
      </c>
      <c r="G20" s="93" t="e">
        <f>VLOOKUP(B20,'R.H.'!A$3:C$3974,3,FALSE)*D20/100</f>
        <v>#N/A</v>
      </c>
      <c r="H20" s="82">
        <f t="shared" si="1"/>
        <v>0</v>
      </c>
      <c r="I20" s="87" t="e">
        <f>VLOOKUP(B20,'R.H.'!A$3:C$3974,3,FALSE)/100</f>
        <v>#N/A</v>
      </c>
      <c r="J20" s="83">
        <v>0.25</v>
      </c>
      <c r="K20" s="92" t="e">
        <f t="shared" si="2"/>
        <v>#N/A</v>
      </c>
      <c r="L20" s="84">
        <v>470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1294</v>
      </c>
      <c r="C21" s="91" t="e">
        <f>IF(ISBLANK(B21),"",VLOOKUP(B21,SÜRELER!$A:$B,2,FALSE))</f>
        <v>#N/A</v>
      </c>
      <c r="D21" s="80">
        <v>59</v>
      </c>
      <c r="E21" s="92" t="e">
        <f>IF(ISBLANK($B21),"0",VLOOKUP($B21,SÜRELER!$A:$C,3,FALSE))*(D21-F21)</f>
        <v>#N/A</v>
      </c>
      <c r="F21" s="81">
        <v>0</v>
      </c>
      <c r="G21" s="93" t="e">
        <f>VLOOKUP(B21,'R.H.'!A$3:C$3974,3,FALSE)*D21/100</f>
        <v>#N/A</v>
      </c>
      <c r="H21" s="82">
        <f t="shared" si="1"/>
        <v>0</v>
      </c>
      <c r="I21" s="87" t="e">
        <f>VLOOKUP(B21,'R.H.'!A$3:C$3974,3,FALSE)/100</f>
        <v>#N/A</v>
      </c>
      <c r="J21" s="83">
        <v>0.5</v>
      </c>
      <c r="K21" s="92" t="e">
        <f t="shared" si="2"/>
        <v>#N/A</v>
      </c>
      <c r="L21" s="84">
        <v>55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1295</v>
      </c>
      <c r="C22" s="91" t="e">
        <f>IF(ISBLANK(B22),"",VLOOKUP(B22,SÜRELER!$A:$B,2,FALSE))</f>
        <v>#N/A</v>
      </c>
      <c r="D22" s="80">
        <f>59+287+75</f>
        <v>421</v>
      </c>
      <c r="E22" s="92" t="e">
        <f>IF(ISBLANK($B22),"0",VLOOKUP($B22,SÜRELER!$A:$C,3,FALSE))*(D22-F22)</f>
        <v>#N/A</v>
      </c>
      <c r="F22" s="81">
        <v>2</v>
      </c>
      <c r="G22" s="93" t="e">
        <f>VLOOKUP(B22,'R.H.'!A$3:C$3974,3,FALSE)*D22/100</f>
        <v>#N/A</v>
      </c>
      <c r="H22" s="82">
        <f t="shared" si="1"/>
        <v>4.7505938242280287E-3</v>
      </c>
      <c r="I22" s="87" t="e">
        <f>VLOOKUP(B22,'R.H.'!A$3:C$3974,3,FALSE)/100</f>
        <v>#N/A</v>
      </c>
      <c r="J22" s="83">
        <v>0.5</v>
      </c>
      <c r="K22" s="92" t="e">
        <f t="shared" si="2"/>
        <v>#N/A</v>
      </c>
      <c r="L22" s="84">
        <v>390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1806</v>
      </c>
      <c r="C23" s="91" t="e">
        <f>IF(ISBLANK(B23),"",VLOOKUP(B23,SÜRELER!$A:$B,2,FALSE))</f>
        <v>#N/A</v>
      </c>
      <c r="D23" s="80">
        <v>480</v>
      </c>
      <c r="E23" s="92" t="e">
        <f>IF(ISBLANK($B23),"0",VLOOKUP($B23,SÜRELER!$A:$C,3,FALSE))*(D23-F23)</f>
        <v>#N/A</v>
      </c>
      <c r="F23" s="81">
        <v>0</v>
      </c>
      <c r="G23" s="93" t="e">
        <f>VLOOKUP(B23,'R.H.'!A$3:C$3974,3,FALSE)*D23/100</f>
        <v>#N/A</v>
      </c>
      <c r="H23" s="82">
        <f t="shared" si="1"/>
        <v>0</v>
      </c>
      <c r="I23" s="87" t="e">
        <f>VLOOKUP(B23,'R.H.'!A$3:C$3974,3,FALSE)/100</f>
        <v>#N/A</v>
      </c>
      <c r="J23" s="83">
        <v>0.5</v>
      </c>
      <c r="K23" s="92" t="e">
        <f t="shared" si="2"/>
        <v>#N/A</v>
      </c>
      <c r="L23" s="84">
        <v>660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1807</v>
      </c>
      <c r="C24" s="91" t="e">
        <f>IF(ISBLANK(B24),"",VLOOKUP(B24,SÜRELER!$A:$B,2,FALSE))</f>
        <v>#N/A</v>
      </c>
      <c r="D24" s="80">
        <v>480</v>
      </c>
      <c r="E24" s="92" t="e">
        <f>IF(ISBLANK($B24),"0",VLOOKUP($B24,SÜRELER!$A:$C,3,FALSE))*(D24-F24)</f>
        <v>#N/A</v>
      </c>
      <c r="F24" s="81">
        <v>0</v>
      </c>
      <c r="G24" s="93" t="e">
        <f>VLOOKUP(B24,'R.H.'!A$3:C$3974,3,FALSE)*D24/100</f>
        <v>#N/A</v>
      </c>
      <c r="H24" s="82">
        <f t="shared" si="1"/>
        <v>0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660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1332</v>
      </c>
      <c r="C25" s="91" t="e">
        <f>IF(ISBLANK(B25),"",VLOOKUP(B25,SÜRELER!$A:$B,2,FALSE))</f>
        <v>#N/A</v>
      </c>
      <c r="D25" s="80">
        <f>336+387+40</f>
        <v>763</v>
      </c>
      <c r="E25" s="92" t="e">
        <f>IF(ISBLANK($B25),"0",VLOOKUP($B25,SÜRELER!$A:$C,3,FALSE))*(D25-F25)</f>
        <v>#N/A</v>
      </c>
      <c r="F25" s="81">
        <v>3</v>
      </c>
      <c r="G25" s="93" t="e">
        <f>VLOOKUP(B25,'R.H.'!A$3:C$3974,3,FALSE)*D25/100</f>
        <v>#N/A</v>
      </c>
      <c r="H25" s="82">
        <f t="shared" si="1"/>
        <v>3.9318479685452159E-3</v>
      </c>
      <c r="I25" s="87" t="e">
        <f>VLOOKUP(B25,'R.H.'!A$3:C$3974,3,FALSE)/100</f>
        <v>#N/A</v>
      </c>
      <c r="J25" s="83">
        <v>0.5</v>
      </c>
      <c r="K25" s="92" t="e">
        <f t="shared" si="2"/>
        <v>#N/A</v>
      </c>
      <c r="L25" s="84">
        <v>815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1333</v>
      </c>
      <c r="C26" s="91" t="e">
        <f>IF(ISBLANK(B26),"",VLOOKUP(B26,SÜRELER!$A:$B,2,FALSE))</f>
        <v>#N/A</v>
      </c>
      <c r="D26" s="80">
        <v>763</v>
      </c>
      <c r="E26" s="92" t="e">
        <f>IF(ISBLANK($B26),"0",VLOOKUP($B26,SÜRELER!$A:$C,3,FALSE))*(D26-F26)</f>
        <v>#N/A</v>
      </c>
      <c r="F26" s="81">
        <v>3</v>
      </c>
      <c r="G26" s="93" t="e">
        <f>VLOOKUP(B26,'R.H.'!A$3:C$3974,3,FALSE)*D26/100</f>
        <v>#N/A</v>
      </c>
      <c r="H26" s="82">
        <f t="shared" si="1"/>
        <v>3.9318479685452159E-3</v>
      </c>
      <c r="I26" s="87" t="e">
        <f>VLOOKUP(B26,'R.H.'!A$3:C$3974,3,FALSE)/100</f>
        <v>#N/A</v>
      </c>
      <c r="J26" s="83">
        <v>0.5</v>
      </c>
      <c r="K26" s="92" t="e">
        <f t="shared" si="2"/>
        <v>#N/A</v>
      </c>
      <c r="L26" s="84">
        <v>815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287</v>
      </c>
      <c r="C27" s="91" t="e">
        <f>IF(ISBLANK(B27),"",VLOOKUP(B27,SÜRELER!$A:$B,2,FALSE))</f>
        <v>#N/A</v>
      </c>
      <c r="D27" s="80">
        <f>500+525+420</f>
        <v>1445</v>
      </c>
      <c r="E27" s="92" t="e">
        <f>IF(ISBLANK($B27),"0",VLOOKUP($B27,SÜRELER!$A:$C,3,FALSE))*(D27-F27)</f>
        <v>#N/A</v>
      </c>
      <c r="F27" s="81">
        <v>8</v>
      </c>
      <c r="G27" s="93" t="e">
        <f>VLOOKUP(B27,'R.H.'!A$3:C$3974,3,FALSE)*D27/100</f>
        <v>#N/A</v>
      </c>
      <c r="H27" s="82">
        <f t="shared" si="1"/>
        <v>5.5363321799307957E-3</v>
      </c>
      <c r="I27" s="87" t="e">
        <f>VLOOKUP(B27,'R.H.'!A$3:C$3974,3,FALSE)/100</f>
        <v>#N/A</v>
      </c>
      <c r="J27" s="83">
        <v>0.5</v>
      </c>
      <c r="K27" s="92" t="e">
        <f t="shared" si="2"/>
        <v>#N/A</v>
      </c>
      <c r="L27" s="84">
        <v>1240</v>
      </c>
      <c r="M27" s="84"/>
      <c r="N27" s="94" t="e">
        <f t="shared" si="3"/>
        <v>#N/A</v>
      </c>
      <c r="O27" s="88" t="e">
        <f t="shared" si="0"/>
        <v>#N/A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>
        <v>288</v>
      </c>
      <c r="C28" s="91" t="e">
        <f>IF(ISBLANK(B28),"",VLOOKUP(B28,SÜRELER!$A:$B,2,FALSE))</f>
        <v>#N/A</v>
      </c>
      <c r="D28" s="80">
        <v>1445</v>
      </c>
      <c r="E28" s="92" t="e">
        <f>IF(ISBLANK($B28),"0",VLOOKUP($B28,SÜRELER!$A:$C,3,FALSE))*(D28-F28)</f>
        <v>#N/A</v>
      </c>
      <c r="F28" s="81">
        <v>8</v>
      </c>
      <c r="G28" s="93" t="e">
        <f>VLOOKUP(B28,'R.H.'!A$3:C$3974,3,FALSE)*D28/100</f>
        <v>#N/A</v>
      </c>
      <c r="H28" s="82">
        <f t="shared" si="1"/>
        <v>5.5363321799307957E-3</v>
      </c>
      <c r="I28" s="87" t="e">
        <f>VLOOKUP(B28,'R.H.'!A$3:C$3974,3,FALSE)/100</f>
        <v>#N/A</v>
      </c>
      <c r="J28" s="83">
        <v>0.5</v>
      </c>
      <c r="K28" s="92" t="e">
        <f t="shared" si="2"/>
        <v>#N/A</v>
      </c>
      <c r="L28" s="84">
        <v>1240</v>
      </c>
      <c r="M28" s="84"/>
      <c r="N28" s="94" t="e">
        <f t="shared" si="3"/>
        <v>#N/A</v>
      </c>
      <c r="O28" s="88" t="e">
        <f t="shared" si="0"/>
        <v>#N/A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>
        <v>1740</v>
      </c>
      <c r="C29" s="91" t="e">
        <f>IF(ISBLANK(B29),"",VLOOKUP(B29,SÜRELER!$A:$B,2,FALSE))</f>
        <v>#N/A</v>
      </c>
      <c r="D29" s="80">
        <v>327</v>
      </c>
      <c r="E29" s="92" t="e">
        <f>IF(ISBLANK($B29),"0",VLOOKUP($B29,SÜRELER!$A:$C,3,FALSE))*(D29-F29)</f>
        <v>#N/A</v>
      </c>
      <c r="F29" s="81">
        <v>3</v>
      </c>
      <c r="G29" s="93" t="e">
        <f>VLOOKUP(B29,'R.H.'!A$3:C$3974,3,FALSE)*D29/100</f>
        <v>#N/A</v>
      </c>
      <c r="H29" s="82">
        <f t="shared" si="1"/>
        <v>9.1743119266055051E-3</v>
      </c>
      <c r="I29" s="87" t="e">
        <f>VLOOKUP(B29,'R.H.'!A$3:C$3974,3,FALSE)/100</f>
        <v>#N/A</v>
      </c>
      <c r="J29" s="83">
        <v>0.5</v>
      </c>
      <c r="K29" s="92" t="e">
        <f t="shared" si="2"/>
        <v>#N/A</v>
      </c>
      <c r="L29" s="84">
        <v>360</v>
      </c>
      <c r="M29" s="84"/>
      <c r="N29" s="94" t="e">
        <f t="shared" si="3"/>
        <v>#N/A</v>
      </c>
      <c r="O29" s="88" t="e">
        <f t="shared" si="0"/>
        <v>#N/A</v>
      </c>
      <c r="P29" s="119"/>
      <c r="Q29" s="5"/>
      <c r="R29" s="5"/>
    </row>
    <row r="30" spans="1:18" s="4" customFormat="1" ht="16.5" x14ac:dyDescent="0.25">
      <c r="A30" s="85">
        <v>26</v>
      </c>
      <c r="B30" s="86">
        <v>1741</v>
      </c>
      <c r="C30" s="91" t="e">
        <f>IF(ISBLANK(B30),"",VLOOKUP(B30,SÜRELER!$A:$B,2,FALSE))</f>
        <v>#N/A</v>
      </c>
      <c r="D30" s="80">
        <v>327</v>
      </c>
      <c r="E30" s="92" t="e">
        <f>IF(ISBLANK($B30),"0",VLOOKUP($B30,SÜRELER!$A:$C,3,FALSE))*(D30-F30)</f>
        <v>#N/A</v>
      </c>
      <c r="F30" s="81">
        <v>3</v>
      </c>
      <c r="G30" s="93" t="e">
        <f>VLOOKUP(B30,'R.H.'!A$3:C$3974,3,FALSE)*D30/100</f>
        <v>#N/A</v>
      </c>
      <c r="H30" s="82">
        <f t="shared" si="1"/>
        <v>9.1743119266055051E-3</v>
      </c>
      <c r="I30" s="87" t="e">
        <f>VLOOKUP(B30,'R.H.'!A$3:C$3974,3,FALSE)/100</f>
        <v>#N/A</v>
      </c>
      <c r="J30" s="83">
        <v>0.5</v>
      </c>
      <c r="K30" s="92" t="e">
        <f t="shared" si="2"/>
        <v>#N/A</v>
      </c>
      <c r="L30" s="84">
        <v>360</v>
      </c>
      <c r="M30" s="84"/>
      <c r="N30" s="94" t="e">
        <f t="shared" si="3"/>
        <v>#N/A</v>
      </c>
      <c r="O30" s="88" t="e">
        <f t="shared" si="0"/>
        <v>#N/A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>
        <v>1298</v>
      </c>
      <c r="C31" s="91" t="e">
        <f>IF(ISBLANK(B31),"",VLOOKUP(B31,SÜRELER!$A:$B,2,FALSE))</f>
        <v>#N/A</v>
      </c>
      <c r="D31" s="80">
        <v>30</v>
      </c>
      <c r="E31" s="92" t="e">
        <f>IF(ISBLANK($B31),"0",VLOOKUP($B31,SÜRELER!$A:$C,3,FALSE))*(D31-F31)</f>
        <v>#N/A</v>
      </c>
      <c r="F31" s="81">
        <v>0</v>
      </c>
      <c r="G31" s="93" t="e">
        <f>VLOOKUP(B31,'R.H.'!A$3:C$3974,3,FALSE)*D31/100</f>
        <v>#N/A</v>
      </c>
      <c r="H31" s="82">
        <f t="shared" si="1"/>
        <v>0</v>
      </c>
      <c r="I31" s="87" t="e">
        <f>VLOOKUP(B31,'R.H.'!A$3:C$3974,3,FALSE)/100</f>
        <v>#N/A</v>
      </c>
      <c r="J31" s="83">
        <v>0.5</v>
      </c>
      <c r="K31" s="92" t="e">
        <f t="shared" si="2"/>
        <v>#N/A</v>
      </c>
      <c r="L31" s="84">
        <v>35</v>
      </c>
      <c r="M31" s="84"/>
      <c r="N31" s="94" t="e">
        <f t="shared" si="3"/>
        <v>#N/A</v>
      </c>
      <c r="O31" s="88" t="e">
        <f t="shared" si="0"/>
        <v>#N/A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>
        <v>1299</v>
      </c>
      <c r="C32" s="91" t="e">
        <f>IF(ISBLANK(B32),"",VLOOKUP(B32,SÜRELER!$A:$B,2,FALSE))</f>
        <v>#N/A</v>
      </c>
      <c r="D32" s="80">
        <v>30</v>
      </c>
      <c r="E32" s="92" t="e">
        <f>IF(ISBLANK($B32),"0",VLOOKUP($B32,SÜRELER!$A:$C,3,FALSE))*(D32-F32)</f>
        <v>#N/A</v>
      </c>
      <c r="F32" s="81">
        <v>0</v>
      </c>
      <c r="G32" s="93" t="e">
        <f>VLOOKUP(B32,'R.H.'!A$3:C$3974,3,FALSE)*D32/100</f>
        <v>#N/A</v>
      </c>
      <c r="H32" s="82">
        <f t="shared" si="1"/>
        <v>0</v>
      </c>
      <c r="I32" s="87" t="e">
        <f>VLOOKUP(B32,'R.H.'!A$3:C$3974,3,FALSE)/100</f>
        <v>#N/A</v>
      </c>
      <c r="J32" s="83">
        <v>0.5</v>
      </c>
      <c r="K32" s="92" t="e">
        <f t="shared" si="2"/>
        <v>#N/A</v>
      </c>
      <c r="L32" s="84">
        <v>35</v>
      </c>
      <c r="M32" s="84"/>
      <c r="N32" s="94" t="e">
        <f t="shared" si="3"/>
        <v>#N/A</v>
      </c>
      <c r="O32" s="88" t="e">
        <f t="shared" si="0"/>
        <v>#N/A</v>
      </c>
      <c r="P32" s="119"/>
      <c r="Q32" s="5"/>
      <c r="R32" s="5"/>
    </row>
    <row r="33" spans="1:18" s="4" customFormat="1" ht="16.5" x14ac:dyDescent="0.25">
      <c r="A33" s="90">
        <v>29</v>
      </c>
      <c r="B33" s="86">
        <v>81</v>
      </c>
      <c r="C33" s="91" t="e">
        <f>IF(ISBLANK(B33),"",VLOOKUP(B33,SÜRELER!$A:$B,2,FALSE))</f>
        <v>#N/A</v>
      </c>
      <c r="D33" s="80">
        <f>185+268</f>
        <v>453</v>
      </c>
      <c r="E33" s="92" t="e">
        <f>IF(ISBLANK($B33),"0",VLOOKUP($B33,SÜRELER!$A:$C,3,FALSE))*(D33-F33)</f>
        <v>#N/A</v>
      </c>
      <c r="F33" s="81">
        <v>25</v>
      </c>
      <c r="G33" s="93" t="e">
        <f>VLOOKUP(B33,'R.H.'!A$3:C$3974,3,FALSE)*D33/100</f>
        <v>#N/A</v>
      </c>
      <c r="H33" s="82">
        <f t="shared" si="1"/>
        <v>5.518763796909492E-2</v>
      </c>
      <c r="I33" s="87" t="e">
        <f>VLOOKUP(B33,'R.H.'!A$3:C$3974,3,FALSE)/100</f>
        <v>#N/A</v>
      </c>
      <c r="J33" s="83">
        <v>0.5</v>
      </c>
      <c r="K33" s="92" t="e">
        <f t="shared" si="2"/>
        <v>#N/A</v>
      </c>
      <c r="L33" s="84">
        <v>720</v>
      </c>
      <c r="M33" s="84"/>
      <c r="N33" s="94" t="e">
        <f t="shared" si="3"/>
        <v>#N/A</v>
      </c>
      <c r="O33" s="88" t="e">
        <f t="shared" si="0"/>
        <v>#N/A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>
        <v>82</v>
      </c>
      <c r="C34" s="91" t="e">
        <f>IF(ISBLANK(B34),"",VLOOKUP(B34,SÜRELER!$A:$B,2,FALSE))</f>
        <v>#N/A</v>
      </c>
      <c r="D34" s="80">
        <v>453</v>
      </c>
      <c r="E34" s="92" t="e">
        <f>IF(ISBLANK($B34),"0",VLOOKUP($B34,SÜRELER!$A:$C,3,FALSE))*(D34-F34)</f>
        <v>#N/A</v>
      </c>
      <c r="F34" s="81">
        <v>25</v>
      </c>
      <c r="G34" s="93" t="e">
        <f>VLOOKUP(B34,'R.H.'!A$3:C$3974,3,FALSE)*D34/100</f>
        <v>#N/A</v>
      </c>
      <c r="H34" s="82">
        <f t="shared" si="1"/>
        <v>5.518763796909492E-2</v>
      </c>
      <c r="I34" s="87" t="e">
        <f>VLOOKUP(B34,'R.H.'!A$3:C$3974,3,FALSE)/100</f>
        <v>#N/A</v>
      </c>
      <c r="J34" s="83">
        <v>0.5</v>
      </c>
      <c r="K34" s="92" t="e">
        <f t="shared" si="2"/>
        <v>#N/A</v>
      </c>
      <c r="L34" s="84">
        <v>720</v>
      </c>
      <c r="M34" s="84"/>
      <c r="N34" s="94" t="e">
        <f t="shared" si="3"/>
        <v>#N/A</v>
      </c>
      <c r="O34" s="88" t="e">
        <f t="shared" si="0"/>
        <v>#N/A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>
        <v>1330</v>
      </c>
      <c r="C35" s="91" t="e">
        <f>IF(ISBLANK(B35),"",VLOOKUP(B35,SÜRELER!$A:$B,2,FALSE))</f>
        <v>#N/A</v>
      </c>
      <c r="D35" s="80">
        <f>2072+992</f>
        <v>3064</v>
      </c>
      <c r="E35" s="92" t="e">
        <f>IF(ISBLANK($B35),"0",VLOOKUP($B35,SÜRELER!$A:$C,3,FALSE))*(D35-F35)</f>
        <v>#N/A</v>
      </c>
      <c r="F35" s="81">
        <v>8</v>
      </c>
      <c r="G35" s="93" t="e">
        <f>VLOOKUP(B35,'R.H.'!A$3:C$3974,3,FALSE)*D35/100</f>
        <v>#N/A</v>
      </c>
      <c r="H35" s="82">
        <f t="shared" si="1"/>
        <v>2.6109660574412533E-3</v>
      </c>
      <c r="I35" s="87" t="e">
        <f>VLOOKUP(B35,'R.H.'!A$3:C$3974,3,FALSE)/100</f>
        <v>#N/A</v>
      </c>
      <c r="J35" s="83">
        <v>0.5</v>
      </c>
      <c r="K35" s="92" t="e">
        <f t="shared" si="2"/>
        <v>#N/A</v>
      </c>
      <c r="L35" s="84">
        <v>1294</v>
      </c>
      <c r="M35" s="84"/>
      <c r="N35" s="94" t="e">
        <f t="shared" si="3"/>
        <v>#N/A</v>
      </c>
      <c r="O35" s="88" t="e">
        <f t="shared" si="0"/>
        <v>#N/A</v>
      </c>
      <c r="P35" s="119"/>
      <c r="Q35" s="5"/>
      <c r="R35" s="5"/>
    </row>
    <row r="36" spans="1:18" s="4" customFormat="1" ht="16.5" x14ac:dyDescent="0.25">
      <c r="A36" s="85">
        <v>32</v>
      </c>
      <c r="B36" s="86">
        <v>1331</v>
      </c>
      <c r="C36" s="91" t="e">
        <f>IF(ISBLANK(B36),"",VLOOKUP(B36,SÜRELER!$A:$B,2,FALSE))</f>
        <v>#N/A</v>
      </c>
      <c r="D36" s="80">
        <v>3064</v>
      </c>
      <c r="E36" s="92" t="e">
        <f>IF(ISBLANK($B36),"0",VLOOKUP($B36,SÜRELER!$A:$C,3,FALSE))*(D36-F36)</f>
        <v>#N/A</v>
      </c>
      <c r="F36" s="81">
        <v>8</v>
      </c>
      <c r="G36" s="93" t="e">
        <f>VLOOKUP(B36,'R.H.'!A$3:C$3974,3,FALSE)*D36/100</f>
        <v>#N/A</v>
      </c>
      <c r="H36" s="82">
        <f t="shared" si="1"/>
        <v>2.6109660574412533E-3</v>
      </c>
      <c r="I36" s="87" t="e">
        <f>VLOOKUP(B36,'R.H.'!A$3:C$3974,3,FALSE)/100</f>
        <v>#N/A</v>
      </c>
      <c r="J36" s="83">
        <v>0.5</v>
      </c>
      <c r="K36" s="92" t="e">
        <f t="shared" si="2"/>
        <v>#N/A</v>
      </c>
      <c r="L36" s="84">
        <v>1294</v>
      </c>
      <c r="M36" s="84"/>
      <c r="N36" s="94" t="e">
        <f t="shared" si="3"/>
        <v>#N/A</v>
      </c>
      <c r="O36" s="88" t="e">
        <f t="shared" si="0"/>
        <v>#N/A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>
        <v>712</v>
      </c>
      <c r="C37" s="91" t="e">
        <f>IF(ISBLANK(B37),"",VLOOKUP(B37,SÜRELER!$A:$B,2,FALSE))</f>
        <v>#N/A</v>
      </c>
      <c r="D37" s="80">
        <f>262+315</f>
        <v>577</v>
      </c>
      <c r="E37" s="92" t="e">
        <f>IF(ISBLANK($B37),"0",VLOOKUP($B37,SÜRELER!$A:$C,3,FALSE))*(D37-F37)</f>
        <v>#N/A</v>
      </c>
      <c r="F37" s="81">
        <v>15</v>
      </c>
      <c r="G37" s="93" t="e">
        <f>VLOOKUP(B37,'R.H.'!A$3:C$3974,3,FALSE)*D37/100</f>
        <v>#N/A</v>
      </c>
      <c r="H37" s="82">
        <f t="shared" si="1"/>
        <v>2.5996533795493933E-2</v>
      </c>
      <c r="I37" s="87" t="e">
        <f>VLOOKUP(B37,'R.H.'!A$3:C$3974,3,FALSE)/100</f>
        <v>#N/A</v>
      </c>
      <c r="J37" s="83">
        <v>0.5</v>
      </c>
      <c r="K37" s="92" t="e">
        <f t="shared" si="2"/>
        <v>#N/A</v>
      </c>
      <c r="L37" s="84">
        <v>760</v>
      </c>
      <c r="M37" s="84"/>
      <c r="N37" s="94" t="e">
        <f t="shared" si="3"/>
        <v>#N/A</v>
      </c>
      <c r="O37" s="88" t="e">
        <f t="shared" si="0"/>
        <v>#N/A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>
        <v>713</v>
      </c>
      <c r="C38" s="91" t="e">
        <f>IF(ISBLANK(B38),"",VLOOKUP(B38,SÜRELER!$A:$B,2,FALSE))</f>
        <v>#N/A</v>
      </c>
      <c r="D38" s="80">
        <v>577</v>
      </c>
      <c r="E38" s="92" t="e">
        <f>IF(ISBLANK($B38),"0",VLOOKUP($B38,SÜRELER!$A:$C,3,FALSE))*(D38-F38)</f>
        <v>#N/A</v>
      </c>
      <c r="F38" s="81">
        <v>15</v>
      </c>
      <c r="G38" s="93" t="e">
        <f>VLOOKUP(B38,'R.H.'!A$3:C$3974,3,FALSE)*D38/100</f>
        <v>#N/A</v>
      </c>
      <c r="H38" s="82">
        <f t="shared" si="1"/>
        <v>2.5996533795493933E-2</v>
      </c>
      <c r="I38" s="87" t="e">
        <f>VLOOKUP(B38,'R.H.'!A$3:C$3974,3,FALSE)/100</f>
        <v>#N/A</v>
      </c>
      <c r="J38" s="83">
        <v>0.5</v>
      </c>
      <c r="K38" s="92" t="e">
        <f t="shared" si="2"/>
        <v>#N/A</v>
      </c>
      <c r="L38" s="84">
        <v>765</v>
      </c>
      <c r="M38" s="84"/>
      <c r="N38" s="94" t="e">
        <f t="shared" si="3"/>
        <v>#N/A</v>
      </c>
      <c r="O38" s="88" t="e">
        <f t="shared" si="0"/>
        <v>#N/A</v>
      </c>
      <c r="P38" s="119"/>
      <c r="Q38" s="5"/>
      <c r="R38" s="5"/>
    </row>
    <row r="39" spans="1:18" s="4" customFormat="1" ht="16.5" x14ac:dyDescent="0.25">
      <c r="A39" s="90">
        <v>35</v>
      </c>
      <c r="B39" s="86">
        <v>1657</v>
      </c>
      <c r="C39" s="91" t="e">
        <f>IF(ISBLANK(B39),"",VLOOKUP(B39,SÜRELER!$A:$B,2,FALSE))</f>
        <v>#N/A</v>
      </c>
      <c r="D39" s="80">
        <v>772</v>
      </c>
      <c r="E39" s="92" t="e">
        <f>IF(ISBLANK($B39),"0",VLOOKUP($B39,SÜRELER!$A:$C,3,FALSE))*(D39-F39)</f>
        <v>#N/A</v>
      </c>
      <c r="F39" s="81">
        <v>4</v>
      </c>
      <c r="G39" s="93" t="e">
        <f>VLOOKUP(B39,'R.H.'!A$3:C$3974,3,FALSE)*D39/100</f>
        <v>#N/A</v>
      </c>
      <c r="H39" s="82">
        <f t="shared" si="1"/>
        <v>5.1813471502590676E-3</v>
      </c>
      <c r="I39" s="87" t="e">
        <f>VLOOKUP(B39,'R.H.'!A$3:C$3974,3,FALSE)/100</f>
        <v>#N/A</v>
      </c>
      <c r="J39" s="83">
        <v>1</v>
      </c>
      <c r="K39" s="92" t="e">
        <f t="shared" si="2"/>
        <v>#N/A</v>
      </c>
      <c r="L39" s="84">
        <v>315</v>
      </c>
      <c r="M39" s="84"/>
      <c r="N39" s="94" t="e">
        <f t="shared" si="3"/>
        <v>#N/A</v>
      </c>
      <c r="O39" s="88" t="e">
        <f t="shared" si="0"/>
        <v>#N/A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>
        <v>1993</v>
      </c>
      <c r="C40" s="91" t="e">
        <f>IF(ISBLANK(B40),"",VLOOKUP(B40,SÜRELER!$A:$B,2,FALSE))</f>
        <v>#N/A</v>
      </c>
      <c r="D40" s="80">
        <v>274</v>
      </c>
      <c r="E40" s="92" t="e">
        <f>IF(ISBLANK($B40),"0",VLOOKUP($B40,SÜRELER!$A:$C,3,FALSE))*(D40-F40)</f>
        <v>#N/A</v>
      </c>
      <c r="F40" s="81">
        <v>4</v>
      </c>
      <c r="G40" s="93" t="e">
        <f>VLOOKUP(B40,'R.H.'!A$3:C$3974,3,FALSE)*D40/100</f>
        <v>#N/A</v>
      </c>
      <c r="H40" s="82">
        <f t="shared" si="1"/>
        <v>1.4598540145985401E-2</v>
      </c>
      <c r="I40" s="87" t="e">
        <f>VLOOKUP(B40,'R.H.'!A$3:C$3974,3,FALSE)/100</f>
        <v>#N/A</v>
      </c>
      <c r="J40" s="83">
        <v>0.5</v>
      </c>
      <c r="K40" s="92" t="e">
        <f t="shared" si="2"/>
        <v>#N/A</v>
      </c>
      <c r="L40" s="84">
        <v>275</v>
      </c>
      <c r="M40" s="84"/>
      <c r="N40" s="94" t="e">
        <f t="shared" si="3"/>
        <v>#N/A</v>
      </c>
      <c r="O40" s="88" t="e">
        <f t="shared" si="0"/>
        <v>#N/A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>
        <v>1994</v>
      </c>
      <c r="C41" s="91" t="e">
        <f>IF(ISBLANK(B41),"",VLOOKUP(B41,SÜRELER!$A:$B,2,FALSE))</f>
        <v>#N/A</v>
      </c>
      <c r="D41" s="80">
        <v>274</v>
      </c>
      <c r="E41" s="92" t="e">
        <f>IF(ISBLANK($B41),"0",VLOOKUP($B41,SÜRELER!$A:$C,3,FALSE))*(D41-F41)</f>
        <v>#N/A</v>
      </c>
      <c r="F41" s="81">
        <v>4</v>
      </c>
      <c r="G41" s="93" t="e">
        <f>VLOOKUP(B41,'R.H.'!A$3:C$3974,3,FALSE)*D41/100</f>
        <v>#N/A</v>
      </c>
      <c r="H41" s="82">
        <f t="shared" si="1"/>
        <v>1.4598540145985401E-2</v>
      </c>
      <c r="I41" s="87" t="e">
        <f>VLOOKUP(B41,'R.H.'!A$3:C$3974,3,FALSE)/100</f>
        <v>#N/A</v>
      </c>
      <c r="J41" s="83">
        <v>0.5</v>
      </c>
      <c r="K41" s="92" t="e">
        <f t="shared" si="2"/>
        <v>#N/A</v>
      </c>
      <c r="L41" s="84">
        <v>275</v>
      </c>
      <c r="M41" s="84"/>
      <c r="N41" s="94" t="e">
        <f t="shared" si="3"/>
        <v>#N/A</v>
      </c>
      <c r="O41" s="88" t="e">
        <f>K41/(L41-M41)</f>
        <v>#N/A</v>
      </c>
      <c r="P41" s="119"/>
      <c r="Q41" s="5"/>
      <c r="R41" s="5"/>
    </row>
    <row r="42" spans="1:18" s="4" customFormat="1" ht="16.5" x14ac:dyDescent="0.25">
      <c r="A42" s="85">
        <v>38</v>
      </c>
      <c r="B42" s="86">
        <v>96</v>
      </c>
      <c r="C42" s="91" t="e">
        <f>IF(ISBLANK(B42),"",VLOOKUP(B42,SÜRELER!$A:$B,2,FALSE))</f>
        <v>#N/A</v>
      </c>
      <c r="D42" s="80">
        <v>116</v>
      </c>
      <c r="E42" s="92" t="e">
        <f>IF(ISBLANK($B42),"0",VLOOKUP($B42,SÜRELER!$A:$C,3,FALSE))*(D42-F42)</f>
        <v>#N/A</v>
      </c>
      <c r="F42" s="81"/>
      <c r="G42" s="93" t="e">
        <f>VLOOKUP(B42,'R.H.'!A$3:C$3974,3,FALSE)*D42/100</f>
        <v>#N/A</v>
      </c>
      <c r="H42" s="82">
        <f t="shared" si="1"/>
        <v>0</v>
      </c>
      <c r="I42" s="87" t="e">
        <f>VLOOKUP(B42,'R.H.'!A$3:C$3974,3,FALSE)/100</f>
        <v>#N/A</v>
      </c>
      <c r="J42" s="83">
        <v>1</v>
      </c>
      <c r="K42" s="92" t="e">
        <f t="shared" si="2"/>
        <v>#N/A</v>
      </c>
      <c r="L42" s="84">
        <v>120</v>
      </c>
      <c r="M42" s="84"/>
      <c r="N42" s="94" t="e">
        <f t="shared" si="3"/>
        <v>#N/A</v>
      </c>
      <c r="O42" s="88" t="e">
        <f t="shared" si="0"/>
        <v>#N/A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>
        <v>102</v>
      </c>
      <c r="C43" s="91" t="e">
        <f>IF(ISBLANK(B43),"",VLOOKUP(B43,SÜRELER!$A:$B,2,FALSE))</f>
        <v>#N/A</v>
      </c>
      <c r="D43" s="80">
        <v>104</v>
      </c>
      <c r="E43" s="92" t="e">
        <f>IF(ISBLANK($B43),"0",VLOOKUP($B43,SÜRELER!$A:$C,3,FALSE))*(D43-F43)</f>
        <v>#N/A</v>
      </c>
      <c r="F43" s="81">
        <v>0</v>
      </c>
      <c r="G43" s="93" t="e">
        <f>VLOOKUP(B43,'R.H.'!A$3:C$3974,3,FALSE)*D43/100</f>
        <v>#N/A</v>
      </c>
      <c r="H43" s="82">
        <f t="shared" si="1"/>
        <v>0</v>
      </c>
      <c r="I43" s="87" t="e">
        <f>VLOOKUP(B43,'R.H.'!A$3:C$3974,3,FALSE)/100</f>
        <v>#N/A</v>
      </c>
      <c r="J43" s="83">
        <v>1</v>
      </c>
      <c r="K43" s="92" t="e">
        <f t="shared" si="2"/>
        <v>#N/A</v>
      </c>
      <c r="L43" s="84">
        <v>120</v>
      </c>
      <c r="M43" s="84"/>
      <c r="N43" s="94" t="e">
        <f t="shared" si="3"/>
        <v>#N/A</v>
      </c>
      <c r="O43" s="88" t="e">
        <f t="shared" si="0"/>
        <v>#N/A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>
        <v>1657</v>
      </c>
      <c r="C44" s="91" t="e">
        <f>IF(ISBLANK(B44),"",VLOOKUP(B44,SÜRELER!$A:$B,2,FALSE))</f>
        <v>#N/A</v>
      </c>
      <c r="D44" s="80">
        <v>1152</v>
      </c>
      <c r="E44" s="92" t="e">
        <f>IF(ISBLANK($B44),"0",VLOOKUP($B44,SÜRELER!$A:$C,3,FALSE))*(D44-F44)</f>
        <v>#N/A</v>
      </c>
      <c r="F44" s="81">
        <v>0</v>
      </c>
      <c r="G44" s="93" t="e">
        <f>VLOOKUP(B44,'R.H.'!A$3:C$3974,3,FALSE)*D44/100</f>
        <v>#N/A</v>
      </c>
      <c r="H44" s="82">
        <f t="shared" si="1"/>
        <v>0</v>
      </c>
      <c r="I44" s="87" t="e">
        <f>VLOOKUP(B44,'R.H.'!A$3:C$3974,3,FALSE)/100</f>
        <v>#N/A</v>
      </c>
      <c r="J44" s="83">
        <v>1</v>
      </c>
      <c r="K44" s="92" t="e">
        <f t="shared" si="2"/>
        <v>#N/A</v>
      </c>
      <c r="L44" s="84">
        <v>470</v>
      </c>
      <c r="M44" s="84"/>
      <c r="N44" s="94" t="e">
        <f t="shared" si="3"/>
        <v>#N/A</v>
      </c>
      <c r="O44" s="88" t="e">
        <f t="shared" si="0"/>
        <v>#N/A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22840</v>
      </c>
      <c r="E45" s="26" t="e">
        <f>SUM(E5:E44)</f>
        <v>#N/A</v>
      </c>
      <c r="F45" s="26">
        <f>SUM(F5:F44)</f>
        <v>223</v>
      </c>
      <c r="G45" s="26"/>
      <c r="H45" s="26"/>
      <c r="I45" s="26"/>
      <c r="J45" s="26"/>
      <c r="K45" s="26"/>
      <c r="L45" s="26">
        <f>SUM(L5:L44)</f>
        <v>20573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0.97635726795096323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20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10680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>
        <v>120</v>
      </c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10560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120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22840</v>
      </c>
      <c r="F63" s="24">
        <f>F45</f>
        <v>223</v>
      </c>
      <c r="G63" s="23">
        <f>(F63*1000000)/E63</f>
        <v>9763.5726795096325</v>
      </c>
      <c r="H63" s="22">
        <f>D59</f>
        <v>120</v>
      </c>
      <c r="I63" s="17" t="e">
        <f>N1</f>
        <v>#N/A</v>
      </c>
    </row>
  </sheetData>
  <mergeCells count="17">
    <mergeCell ref="E57:N57"/>
    <mergeCell ref="E49:N49"/>
    <mergeCell ref="E50:N50"/>
    <mergeCell ref="E51:N51"/>
    <mergeCell ref="E53:N53"/>
    <mergeCell ref="E54:N54"/>
    <mergeCell ref="E55:N55"/>
    <mergeCell ref="P9:P10"/>
    <mergeCell ref="N1:N3"/>
    <mergeCell ref="A2:B3"/>
    <mergeCell ref="E56:N56"/>
    <mergeCell ref="D46:D47"/>
    <mergeCell ref="E46:F47"/>
    <mergeCell ref="A1:B1"/>
    <mergeCell ref="C1:D2"/>
    <mergeCell ref="H1:H3"/>
    <mergeCell ref="P15:P16"/>
  </mergeCells>
  <conditionalFormatting sqref="D3">
    <cfRule type="cellIs" dxfId="99" priority="5" stopIfTrue="1" operator="lessThan">
      <formula>0.95</formula>
    </cfRule>
  </conditionalFormatting>
  <conditionalFormatting sqref="F5:F44">
    <cfRule type="cellIs" dxfId="98" priority="1" stopIfTrue="1" operator="greaterThan">
      <formula>$G5</formula>
    </cfRule>
  </conditionalFormatting>
  <conditionalFormatting sqref="H5:H44">
    <cfRule type="cellIs" dxfId="97" priority="2" stopIfTrue="1" operator="greaterThan">
      <formula>$I$5</formula>
    </cfRule>
  </conditionalFormatting>
  <conditionalFormatting sqref="N1:N3">
    <cfRule type="cellIs" dxfId="96" priority="4" stopIfTrue="1" operator="lessThan">
      <formula>0.8</formula>
    </cfRule>
  </conditionalFormatting>
  <conditionalFormatting sqref="N5:O44">
    <cfRule type="cellIs" dxfId="95" priority="3" stopIfTrue="1" operator="lessThan">
      <formula>0.85</formula>
    </cfRule>
  </conditionalFormatting>
  <hyperlinks>
    <hyperlink ref="P1:P3" location="'Ana Sayfa'!A1" display="ANA SAYFA" xr:uid="{F5DD383E-A550-40B0-B568-FAC59DBF9E34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BC20-0151-470D-BE0D-9BBC429810F8}">
  <sheetPr codeName="Sayfa13">
    <tabColor theme="0" tint="-0.14999847407452621"/>
    <pageSetUpPr fitToPage="1"/>
  </sheetPr>
  <dimension ref="A1:W63"/>
  <sheetViews>
    <sheetView zoomScale="106" zoomScaleNormal="106" workbookViewId="0">
      <selection activeCell="I1" sqref="I1:M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'12'!A1+1</f>
        <v>46216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Pazartesi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10462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162" t="s">
        <v>210</v>
      </c>
      <c r="O4" s="162" t="s">
        <v>447</v>
      </c>
      <c r="P4" s="162" t="s">
        <v>6</v>
      </c>
    </row>
    <row r="5" spans="1:23" s="4" customFormat="1" ht="16.75" customHeight="1" x14ac:dyDescent="0.25">
      <c r="A5" s="90">
        <v>1</v>
      </c>
      <c r="B5" s="86">
        <v>1332</v>
      </c>
      <c r="C5" s="91" t="e">
        <f>IF(ISBLANK(B5),"",VLOOKUP(B5,SÜRELER!$A:$B,2,FALSE))</f>
        <v>#N/A</v>
      </c>
      <c r="D5" s="80">
        <f>96+342</f>
        <v>438</v>
      </c>
      <c r="E5" s="92" t="e">
        <f>IF(ISBLANK($B5),"0",VLOOKUP($B5,SÜRELER!$A:$C,3,FALSE))*(D5-F5)</f>
        <v>#N/A</v>
      </c>
      <c r="F5" s="81">
        <v>6</v>
      </c>
      <c r="G5" s="93" t="e">
        <f>VLOOKUP(B5,'R.H.'!A$3:C$3974,3,FALSE)*D5/100</f>
        <v>#N/A</v>
      </c>
      <c r="H5" s="82">
        <f>F5/D5</f>
        <v>1.3698630136986301E-2</v>
      </c>
      <c r="I5" s="87" t="e">
        <f>VLOOKUP(B5,'R.H.'!A$3:C$3974,3,FALSE)/100</f>
        <v>#N/A</v>
      </c>
      <c r="J5" s="83">
        <v>1</v>
      </c>
      <c r="K5" s="92" t="e">
        <f>E5/J5</f>
        <v>#N/A</v>
      </c>
      <c r="L5" s="84">
        <v>265</v>
      </c>
      <c r="M5" s="84"/>
      <c r="N5" s="94" t="e">
        <f>K5/L5</f>
        <v>#N/A</v>
      </c>
      <c r="O5" s="161" t="e">
        <f t="shared" ref="O5:O44" si="0">K5/(L5-M5)</f>
        <v>#N/A</v>
      </c>
      <c r="P5" s="198" t="s">
        <v>3427</v>
      </c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1333</v>
      </c>
      <c r="C6" s="91" t="e">
        <f>IF(ISBLANK(B6),"",VLOOKUP(B6,SÜRELER!$A:$B,2,FALSE))</f>
        <v>#N/A</v>
      </c>
      <c r="D6" s="80">
        <v>438</v>
      </c>
      <c r="E6" s="92" t="e">
        <f>IF(ISBLANK($B6),"0",VLOOKUP($B6,SÜRELER!$A:$C,3,FALSE))*(D6-F6)</f>
        <v>#N/A</v>
      </c>
      <c r="F6" s="81">
        <v>6</v>
      </c>
      <c r="G6" s="93" t="e">
        <f>VLOOKUP(B6,'R.H.'!A$3:C$3974,3,FALSE)*D6/100</f>
        <v>#N/A</v>
      </c>
      <c r="H6" s="82">
        <f t="shared" ref="H6:H44" si="1">F6/D6</f>
        <v>1.3698630136986301E-2</v>
      </c>
      <c r="I6" s="87" t="e">
        <f>VLOOKUP(B6,'R.H.'!A$3:C$3974,3,FALSE)/100</f>
        <v>#N/A</v>
      </c>
      <c r="J6" s="83">
        <v>1</v>
      </c>
      <c r="K6" s="92" t="e">
        <f t="shared" ref="K6:K44" si="2">E6/J6</f>
        <v>#N/A</v>
      </c>
      <c r="L6" s="84">
        <v>265</v>
      </c>
      <c r="M6" s="84"/>
      <c r="N6" s="94" t="e">
        <f t="shared" ref="N6:N44" si="3">K6/L6</f>
        <v>#N/A</v>
      </c>
      <c r="O6" s="88" t="e">
        <f t="shared" si="0"/>
        <v>#N/A</v>
      </c>
      <c r="P6" s="194"/>
      <c r="Q6" s="5"/>
      <c r="R6" s="5"/>
    </row>
    <row r="7" spans="1:23" s="4" customFormat="1" ht="16.5" customHeight="1" x14ac:dyDescent="0.25">
      <c r="A7" s="90">
        <v>3</v>
      </c>
      <c r="B7" s="86">
        <v>1676</v>
      </c>
      <c r="C7" s="91" t="e">
        <f>IF(ISBLANK(B7),"",VLOOKUP(B7,SÜRELER!$A:$B,2,FALSE))</f>
        <v>#N/A</v>
      </c>
      <c r="D7" s="80">
        <f>176+129</f>
        <v>305</v>
      </c>
      <c r="E7" s="92" t="e">
        <f>IF(ISBLANK($B7),"0",VLOOKUP($B7,SÜRELER!$A:$C,3,FALSE))*(D7-F7)</f>
        <v>#N/A</v>
      </c>
      <c r="F7" s="81">
        <v>27</v>
      </c>
      <c r="G7" s="93" t="e">
        <f>VLOOKUP(B7,'R.H.'!A$3:C$3974,3,FALSE)*D7/100</f>
        <v>#N/A</v>
      </c>
      <c r="H7" s="82">
        <f t="shared" si="1"/>
        <v>8.8524590163934422E-2</v>
      </c>
      <c r="I7" s="87" t="e">
        <f>VLOOKUP(B7,'R.H.'!A$3:C$3974,3,FALSE)/100</f>
        <v>#N/A</v>
      </c>
      <c r="J7" s="83">
        <v>0.5</v>
      </c>
      <c r="K7" s="92" t="e">
        <f t="shared" si="2"/>
        <v>#N/A</v>
      </c>
      <c r="L7" s="84">
        <v>580</v>
      </c>
      <c r="M7" s="84"/>
      <c r="N7" s="94" t="e">
        <f t="shared" si="3"/>
        <v>#N/A</v>
      </c>
      <c r="O7" s="88" t="e">
        <f t="shared" si="0"/>
        <v>#N/A</v>
      </c>
      <c r="P7" s="193" t="s">
        <v>3428</v>
      </c>
      <c r="Q7" s="5"/>
      <c r="R7" s="5"/>
    </row>
    <row r="8" spans="1:23" s="4" customFormat="1" ht="16.5" customHeight="1" x14ac:dyDescent="0.25">
      <c r="A8" s="85">
        <v>4</v>
      </c>
      <c r="B8" s="86">
        <v>1677</v>
      </c>
      <c r="C8" s="91" t="e">
        <f>IF(ISBLANK(B8),"",VLOOKUP(B8,SÜRELER!$A:$B,2,FALSE))</f>
        <v>#N/A</v>
      </c>
      <c r="D8" s="80">
        <v>305</v>
      </c>
      <c r="E8" s="92" t="e">
        <f>IF(ISBLANK($B8),"0",VLOOKUP($B8,SÜRELER!$A:$C,3,FALSE))*(D8-F8)</f>
        <v>#N/A</v>
      </c>
      <c r="F8" s="81">
        <v>27</v>
      </c>
      <c r="G8" s="93" t="e">
        <f>VLOOKUP(B8,'R.H.'!A$3:C$3974,3,FALSE)*D8/100</f>
        <v>#N/A</v>
      </c>
      <c r="H8" s="82">
        <f t="shared" si="1"/>
        <v>8.8524590163934422E-2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580</v>
      </c>
      <c r="M8" s="84"/>
      <c r="N8" s="94" t="e">
        <f t="shared" si="3"/>
        <v>#N/A</v>
      </c>
      <c r="O8" s="88" t="e">
        <f t="shared" si="0"/>
        <v>#N/A</v>
      </c>
      <c r="P8" s="194"/>
      <c r="Q8" s="5"/>
      <c r="R8" s="5"/>
    </row>
    <row r="9" spans="1:23" s="4" customFormat="1" ht="16.5" x14ac:dyDescent="0.25">
      <c r="A9" s="90">
        <v>5</v>
      </c>
      <c r="B9" s="86">
        <v>1111</v>
      </c>
      <c r="C9" s="91" t="e">
        <f>IF(ISBLANK(B9),"",VLOOKUP(B9,SÜRELER!$A:$B,2,FALSE))</f>
        <v>#N/A</v>
      </c>
      <c r="D9" s="80">
        <f>770+136</f>
        <v>906</v>
      </c>
      <c r="E9" s="92" t="e">
        <f>IF(ISBLANK($B9),"0",VLOOKUP($B9,SÜRELER!$A:$C,3,FALSE))*(D9-F9)</f>
        <v>#N/A</v>
      </c>
      <c r="F9" s="81">
        <v>10</v>
      </c>
      <c r="G9" s="93" t="e">
        <f>VLOOKUP(B9,'R.H.'!A$3:C$3974,3,FALSE)*D9/100</f>
        <v>#N/A</v>
      </c>
      <c r="H9" s="82">
        <f t="shared" si="1"/>
        <v>1.1037527593818985E-2</v>
      </c>
      <c r="I9" s="87" t="e">
        <f>VLOOKUP(B9,'R.H.'!A$3:C$3974,3,FALSE)/100</f>
        <v>#N/A</v>
      </c>
      <c r="J9" s="83">
        <v>0.5</v>
      </c>
      <c r="K9" s="92" t="e">
        <f t="shared" si="2"/>
        <v>#N/A</v>
      </c>
      <c r="L9" s="84">
        <v>935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1339</v>
      </c>
      <c r="C10" s="91" t="e">
        <f>IF(ISBLANK(B10),"",VLOOKUP(B10,SÜRELER!$A:$B,2,FALSE))</f>
        <v>#N/A</v>
      </c>
      <c r="D10" s="80">
        <f>834</f>
        <v>834</v>
      </c>
      <c r="E10" s="92" t="e">
        <f>IF(ISBLANK($B10),"0",VLOOKUP($B10,SÜRELER!$A:$C,3,FALSE))*(D10-F10)</f>
        <v>#N/A</v>
      </c>
      <c r="F10" s="81">
        <v>2</v>
      </c>
      <c r="G10" s="93" t="e">
        <f>VLOOKUP(B10,'R.H.'!A$3:C$3974,3,FALSE)*D10/100</f>
        <v>#N/A</v>
      </c>
      <c r="H10" s="82">
        <f t="shared" si="1"/>
        <v>2.3980815347721821E-3</v>
      </c>
      <c r="I10" s="87" t="e">
        <f>VLOOKUP(B10,'R.H.'!A$3:C$3974,3,FALSE)/100</f>
        <v>#N/A</v>
      </c>
      <c r="J10" s="83">
        <v>1</v>
      </c>
      <c r="K10" s="92" t="e">
        <f t="shared" si="2"/>
        <v>#N/A</v>
      </c>
      <c r="L10" s="84">
        <v>840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1962</v>
      </c>
      <c r="C11" s="91" t="e">
        <f>IF(ISBLANK(B11),"",VLOOKUP(B11,SÜRELER!$A:$B,2,FALSE))</f>
        <v>#N/A</v>
      </c>
      <c r="D11" s="80">
        <f>64+122</f>
        <v>186</v>
      </c>
      <c r="E11" s="92" t="e">
        <f>IF(ISBLANK($B11),"0",VLOOKUP($B11,SÜRELER!$A:$C,3,FALSE))*(D11-F11)</f>
        <v>#N/A</v>
      </c>
      <c r="F11" s="81">
        <v>4</v>
      </c>
      <c r="G11" s="93" t="e">
        <f>VLOOKUP(B11,'R.H.'!A$3:C$3974,3,FALSE)*D11/100</f>
        <v>#N/A</v>
      </c>
      <c r="H11" s="82">
        <f t="shared" si="1"/>
        <v>2.1505376344086023E-2</v>
      </c>
      <c r="I11" s="87" t="e">
        <f>VLOOKUP(B11,'R.H.'!A$3:C$3974,3,FALSE)/100</f>
        <v>#N/A</v>
      </c>
      <c r="J11" s="83">
        <v>0.5</v>
      </c>
      <c r="K11" s="92" t="e">
        <f t="shared" si="2"/>
        <v>#N/A</v>
      </c>
      <c r="L11" s="84">
        <v>1920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customHeight="1" x14ac:dyDescent="0.25">
      <c r="A12" s="85">
        <v>8</v>
      </c>
      <c r="B12" s="86">
        <v>1963</v>
      </c>
      <c r="C12" s="91" t="e">
        <f>IF(ISBLANK(B12),"",VLOOKUP(B12,SÜRELER!$A:$B,2,FALSE))</f>
        <v>#N/A</v>
      </c>
      <c r="D12" s="80">
        <v>186</v>
      </c>
      <c r="E12" s="92" t="e">
        <f>IF(ISBLANK($B12),"0",VLOOKUP($B12,SÜRELER!$A:$C,3,FALSE))*(D12-F12)</f>
        <v>#N/A</v>
      </c>
      <c r="F12" s="81">
        <v>4</v>
      </c>
      <c r="G12" s="93" t="e">
        <f>VLOOKUP(B12,'R.H.'!A$3:C$3974,3,FALSE)*D12/100</f>
        <v>#N/A</v>
      </c>
      <c r="H12" s="82">
        <f t="shared" si="1"/>
        <v>2.1505376344086023E-2</v>
      </c>
      <c r="I12" s="87" t="e">
        <f>VLOOKUP(B12,'R.H.'!A$3:C$3974,3,FALSE)/100</f>
        <v>#N/A</v>
      </c>
      <c r="J12" s="83">
        <v>0.5</v>
      </c>
      <c r="K12" s="92" t="e">
        <f t="shared" si="2"/>
        <v>#N/A</v>
      </c>
      <c r="L12" s="84">
        <v>1920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2070</v>
      </c>
      <c r="C13" s="91" t="e">
        <f>IF(ISBLANK(B13),"",VLOOKUP(B13,SÜRELER!$A:$B,2,FALSE))</f>
        <v>#N/A</v>
      </c>
      <c r="D13" s="80">
        <f>221+615</f>
        <v>836</v>
      </c>
      <c r="E13" s="92" t="e">
        <f>IF(ISBLANK($B13),"0",VLOOKUP($B13,SÜRELER!$A:$C,3,FALSE))*(D13-F13)</f>
        <v>#N/A</v>
      </c>
      <c r="F13" s="81">
        <v>4</v>
      </c>
      <c r="G13" s="93" t="e">
        <f>VLOOKUP(B13,'R.H.'!A$3:C$3974,3,FALSE)*D13/100</f>
        <v>#N/A</v>
      </c>
      <c r="H13" s="82">
        <f t="shared" si="1"/>
        <v>4.7846889952153108E-3</v>
      </c>
      <c r="I13" s="87" t="e">
        <f>VLOOKUP(B13,'R.H.'!A$3:C$3974,3,FALSE)/100</f>
        <v>#N/A</v>
      </c>
      <c r="J13" s="83">
        <v>1</v>
      </c>
      <c r="K13" s="92" t="e">
        <f t="shared" si="2"/>
        <v>#N/A</v>
      </c>
      <c r="L13" s="84">
        <v>390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2071</v>
      </c>
      <c r="C14" s="91" t="e">
        <f>IF(ISBLANK(B14),"",VLOOKUP(B14,SÜRELER!$A:$B,2,FALSE))</f>
        <v>#N/A</v>
      </c>
      <c r="D14" s="80">
        <v>836</v>
      </c>
      <c r="E14" s="92" t="e">
        <f>IF(ISBLANK($B14),"0",VLOOKUP($B14,SÜRELER!$A:$C,3,FALSE))*(D14-F14)</f>
        <v>#N/A</v>
      </c>
      <c r="F14" s="81">
        <v>4</v>
      </c>
      <c r="G14" s="93" t="e">
        <f>VLOOKUP(B14,'R.H.'!A$3:C$3974,3,FALSE)*D14/100</f>
        <v>#N/A</v>
      </c>
      <c r="H14" s="82">
        <f t="shared" si="1"/>
        <v>4.7846889952153108E-3</v>
      </c>
      <c r="I14" s="87" t="e">
        <f>VLOOKUP(B14,'R.H.'!A$3:C$3974,3,FALSE)/100</f>
        <v>#N/A</v>
      </c>
      <c r="J14" s="83">
        <v>1</v>
      </c>
      <c r="K14" s="92" t="e">
        <f t="shared" si="2"/>
        <v>#N/A</v>
      </c>
      <c r="L14" s="84">
        <v>390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1581</v>
      </c>
      <c r="C15" s="91" t="e">
        <f>IF(ISBLANK(B15),"",VLOOKUP(B15,SÜRELER!$A:$B,2,FALSE))</f>
        <v>#N/A</v>
      </c>
      <c r="D15" s="80">
        <v>127</v>
      </c>
      <c r="E15" s="92" t="e">
        <f>IF(ISBLANK($B15),"0",VLOOKUP($B15,SÜRELER!$A:$C,3,FALSE))*(D15-F15)</f>
        <v>#N/A</v>
      </c>
      <c r="F15" s="81">
        <v>12</v>
      </c>
      <c r="G15" s="93" t="e">
        <f>VLOOKUP(B15,'R.H.'!A$3:C$3974,3,FALSE)*D15/100</f>
        <v>#N/A</v>
      </c>
      <c r="H15" s="82">
        <f t="shared" si="1"/>
        <v>9.4488188976377951E-2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160</v>
      </c>
      <c r="M15" s="84"/>
      <c r="N15" s="94" t="e">
        <f t="shared" si="3"/>
        <v>#N/A</v>
      </c>
      <c r="O15" s="88" t="e">
        <f t="shared" si="0"/>
        <v>#N/A</v>
      </c>
      <c r="P15" s="193" t="s">
        <v>3429</v>
      </c>
      <c r="Q15" s="5"/>
      <c r="R15" s="5"/>
    </row>
    <row r="16" spans="1:23" s="4" customFormat="1" ht="16.5" customHeight="1" x14ac:dyDescent="0.25">
      <c r="A16" s="85">
        <v>12</v>
      </c>
      <c r="B16" s="86">
        <v>1582</v>
      </c>
      <c r="C16" s="91" t="e">
        <f>IF(ISBLANK(B16),"",VLOOKUP(B16,SÜRELER!$A:$B,2,FALSE))</f>
        <v>#N/A</v>
      </c>
      <c r="D16" s="80">
        <v>127</v>
      </c>
      <c r="E16" s="92" t="e">
        <f>IF(ISBLANK($B16),"0",VLOOKUP($B16,SÜRELER!$A:$C,3,FALSE))*(D16-F16)</f>
        <v>#N/A</v>
      </c>
      <c r="F16" s="81">
        <v>12</v>
      </c>
      <c r="G16" s="93" t="e">
        <f>VLOOKUP(B16,'R.H.'!A$3:C$3974,3,FALSE)*D16/100</f>
        <v>#N/A</v>
      </c>
      <c r="H16" s="82">
        <f t="shared" si="1"/>
        <v>9.4488188976377951E-2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160</v>
      </c>
      <c r="M16" s="84"/>
      <c r="N16" s="94" t="e">
        <f t="shared" si="3"/>
        <v>#N/A</v>
      </c>
      <c r="O16" s="88" t="e">
        <f t="shared" si="0"/>
        <v>#N/A</v>
      </c>
      <c r="P16" s="194"/>
      <c r="Q16" s="5"/>
      <c r="R16" s="5"/>
    </row>
    <row r="17" spans="1:18" s="4" customFormat="1" ht="16.75" customHeight="1" x14ac:dyDescent="0.25">
      <c r="A17" s="90">
        <v>13</v>
      </c>
      <c r="B17" s="86">
        <v>471</v>
      </c>
      <c r="C17" s="91" t="e">
        <f>IF(ISBLANK(B17),"",VLOOKUP(B17,SÜRELER!$A:$B,2,FALSE))</f>
        <v>#N/A</v>
      </c>
      <c r="D17" s="80">
        <f>920+683</f>
        <v>1603</v>
      </c>
      <c r="E17" s="92" t="e">
        <f>IF(ISBLANK($B17),"0",VLOOKUP($B17,SÜRELER!$A:$C,3,FALSE))*(D17-F17)</f>
        <v>#N/A</v>
      </c>
      <c r="F17" s="81">
        <v>3</v>
      </c>
      <c r="G17" s="93" t="e">
        <f>VLOOKUP(B17,'R.H.'!A$3:C$3974,3,FALSE)*D17/100</f>
        <v>#N/A</v>
      </c>
      <c r="H17" s="82">
        <f t="shared" si="1"/>
        <v>1.8714909544603868E-3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1285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388</v>
      </c>
      <c r="C18" s="91" t="e">
        <f>IF(ISBLANK(B18),"",VLOOKUP(B18,SÜRELER!$A:$B,2,FALSE))</f>
        <v>#N/A</v>
      </c>
      <c r="D18" s="80">
        <v>310</v>
      </c>
      <c r="E18" s="92" t="e">
        <f>IF(ISBLANK($B18),"0",VLOOKUP($B18,SÜRELER!$A:$C,3,FALSE))*(D18-F18)</f>
        <v>#N/A</v>
      </c>
      <c r="F18" s="81">
        <v>16</v>
      </c>
      <c r="G18" s="93" t="e">
        <f>VLOOKUP(B18,'R.H.'!A$3:C$3974,3,FALSE)*D18/100</f>
        <v>#N/A</v>
      </c>
      <c r="H18" s="82">
        <f t="shared" si="1"/>
        <v>5.1612903225806452E-2</v>
      </c>
      <c r="I18" s="87" t="e">
        <f>VLOOKUP(B18,'R.H.'!A$3:C$3974,3,FALSE)/100</f>
        <v>#N/A</v>
      </c>
      <c r="J18" s="83">
        <v>0.5</v>
      </c>
      <c r="K18" s="92" t="e">
        <f t="shared" si="2"/>
        <v>#N/A</v>
      </c>
      <c r="L18" s="84">
        <v>390</v>
      </c>
      <c r="M18" s="84"/>
      <c r="N18" s="94" t="e">
        <f t="shared" si="3"/>
        <v>#N/A</v>
      </c>
      <c r="O18" s="88" t="e">
        <f t="shared" si="0"/>
        <v>#N/A</v>
      </c>
      <c r="P18" s="193" t="s">
        <v>3430</v>
      </c>
      <c r="Q18" s="5"/>
      <c r="R18" s="5"/>
    </row>
    <row r="19" spans="1:18" s="4" customFormat="1" ht="16.5" x14ac:dyDescent="0.25">
      <c r="A19" s="90">
        <v>15</v>
      </c>
      <c r="B19" s="86">
        <v>102</v>
      </c>
      <c r="C19" s="91" t="e">
        <f>IF(ISBLANK(B19),"",VLOOKUP(B19,SÜRELER!$A:$B,2,FALSE))</f>
        <v>#N/A</v>
      </c>
      <c r="D19" s="80">
        <f>193+298</f>
        <v>491</v>
      </c>
      <c r="E19" s="92" t="e">
        <f>IF(ISBLANK($B19),"0",VLOOKUP($B19,SÜRELER!$A:$C,3,FALSE))*(D19-F19)</f>
        <v>#N/A</v>
      </c>
      <c r="F19" s="81">
        <v>10</v>
      </c>
      <c r="G19" s="93" t="e">
        <f>VLOOKUP(B19,'R.H.'!A$3:C$3974,3,FALSE)*D19/100</f>
        <v>#N/A</v>
      </c>
      <c r="H19" s="82">
        <f t="shared" si="1"/>
        <v>2.0366598778004074E-2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1015</v>
      </c>
      <c r="M19" s="84"/>
      <c r="N19" s="94" t="e">
        <f t="shared" si="3"/>
        <v>#N/A</v>
      </c>
      <c r="O19" s="88" t="e">
        <f t="shared" si="0"/>
        <v>#N/A</v>
      </c>
      <c r="P19" s="194"/>
      <c r="Q19" s="5"/>
      <c r="R19" s="5"/>
    </row>
    <row r="20" spans="1:18" s="4" customFormat="1" ht="16.5" customHeight="1" x14ac:dyDescent="0.25">
      <c r="A20" s="85">
        <v>16</v>
      </c>
      <c r="B20" s="86">
        <v>1908</v>
      </c>
      <c r="C20" s="91" t="e">
        <f>IF(ISBLANK(B20),"",VLOOKUP(B20,SÜRELER!$A:$B,2,FALSE))</f>
        <v>#N/A</v>
      </c>
      <c r="D20" s="80">
        <v>244</v>
      </c>
      <c r="E20" s="92" t="e">
        <f>IF(ISBLANK($B20),"0",VLOOKUP($B20,SÜRELER!$A:$C,3,FALSE))*(D20-F20)</f>
        <v>#N/A</v>
      </c>
      <c r="F20" s="81">
        <v>4</v>
      </c>
      <c r="G20" s="93" t="e">
        <f>VLOOKUP(B20,'R.H.'!A$3:C$3974,3,FALSE)*D20/100</f>
        <v>#N/A</v>
      </c>
      <c r="H20" s="82">
        <f t="shared" si="1"/>
        <v>1.6393442622950821E-2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285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customHeight="1" x14ac:dyDescent="0.25">
      <c r="A21" s="90">
        <v>17</v>
      </c>
      <c r="B21" s="86">
        <v>1909</v>
      </c>
      <c r="C21" s="91" t="e">
        <f>IF(ISBLANK(B21),"",VLOOKUP(B21,SÜRELER!$A:$B,2,FALSE))</f>
        <v>#N/A</v>
      </c>
      <c r="D21" s="80">
        <v>244</v>
      </c>
      <c r="E21" s="92" t="e">
        <f>IF(ISBLANK($B21),"0",VLOOKUP($B21,SÜRELER!$A:$C,3,FALSE))*(D21-F21)</f>
        <v>#N/A</v>
      </c>
      <c r="F21" s="81">
        <v>4</v>
      </c>
      <c r="G21" s="93" t="e">
        <f>VLOOKUP(B21,'R.H.'!A$3:C$3974,3,FALSE)*D21/100</f>
        <v>#N/A</v>
      </c>
      <c r="H21" s="82">
        <f t="shared" si="1"/>
        <v>1.6393442622950821E-2</v>
      </c>
      <c r="I21" s="87" t="e">
        <f>VLOOKUP(B21,'R.H.'!A$3:C$3974,3,FALSE)/100</f>
        <v>#N/A</v>
      </c>
      <c r="J21" s="83">
        <v>0.5</v>
      </c>
      <c r="K21" s="92" t="e">
        <f t="shared" si="2"/>
        <v>#N/A</v>
      </c>
      <c r="L21" s="84">
        <v>285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472</v>
      </c>
      <c r="C22" s="91" t="e">
        <f>IF(ISBLANK(B22),"",VLOOKUP(B22,SÜRELER!$A:$B,2,FALSE))</f>
        <v>#N/A</v>
      </c>
      <c r="D22" s="80">
        <v>364</v>
      </c>
      <c r="E22" s="92" t="e">
        <f>IF(ISBLANK($B22),"0",VLOOKUP($B22,SÜRELER!$A:$C,3,FALSE))*(D22-F22)</f>
        <v>#N/A</v>
      </c>
      <c r="F22" s="81">
        <v>11</v>
      </c>
      <c r="G22" s="93" t="e">
        <f>VLOOKUP(B22,'R.H.'!A$3:C$3974,3,FALSE)*D22/100</f>
        <v>#N/A</v>
      </c>
      <c r="H22" s="82">
        <f t="shared" si="1"/>
        <v>3.021978021978022E-2</v>
      </c>
      <c r="I22" s="87" t="e">
        <f>VLOOKUP(B22,'R.H.'!A$3:C$3974,3,FALSE)/100</f>
        <v>#N/A</v>
      </c>
      <c r="J22" s="83">
        <v>0.5</v>
      </c>
      <c r="K22" s="92" t="e">
        <f t="shared" si="2"/>
        <v>#N/A</v>
      </c>
      <c r="L22" s="84">
        <v>270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473</v>
      </c>
      <c r="C23" s="91" t="e">
        <f>IF(ISBLANK(B23),"",VLOOKUP(B23,SÜRELER!$A:$B,2,FALSE))</f>
        <v>#N/A</v>
      </c>
      <c r="D23" s="80">
        <v>364</v>
      </c>
      <c r="E23" s="92" t="e">
        <f>IF(ISBLANK($B23),"0",VLOOKUP($B23,SÜRELER!$A:$C,3,FALSE))*(D23-F23)</f>
        <v>#N/A</v>
      </c>
      <c r="F23" s="81">
        <v>10</v>
      </c>
      <c r="G23" s="93" t="e">
        <f>VLOOKUP(B23,'R.H.'!A$3:C$3974,3,FALSE)*D23/100</f>
        <v>#N/A</v>
      </c>
      <c r="H23" s="82">
        <f t="shared" si="1"/>
        <v>2.7472527472527472E-2</v>
      </c>
      <c r="I23" s="87" t="e">
        <f>VLOOKUP(B23,'R.H.'!A$3:C$3974,3,FALSE)/100</f>
        <v>#N/A</v>
      </c>
      <c r="J23" s="83">
        <v>0.5</v>
      </c>
      <c r="K23" s="92" t="e">
        <f t="shared" si="2"/>
        <v>#N/A</v>
      </c>
      <c r="L23" s="84">
        <v>190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1481</v>
      </c>
      <c r="C24" s="91" t="e">
        <f>IF(ISBLANK(B24),"",VLOOKUP(B24,SÜRELER!$A:$B,2,FALSE))</f>
        <v>#N/A</v>
      </c>
      <c r="D24" s="80">
        <v>189</v>
      </c>
      <c r="E24" s="92" t="e">
        <f>IF(ISBLANK($B24),"0",VLOOKUP($B24,SÜRELER!$A:$C,3,FALSE))*(D24-F24)</f>
        <v>#N/A</v>
      </c>
      <c r="F24" s="81">
        <v>5</v>
      </c>
      <c r="G24" s="93" t="e">
        <f>VLOOKUP(B24,'R.H.'!A$3:C$3974,3,FALSE)*D24/100</f>
        <v>#N/A</v>
      </c>
      <c r="H24" s="82">
        <f t="shared" si="1"/>
        <v>2.6455026455026454E-2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160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1482</v>
      </c>
      <c r="C25" s="91" t="e">
        <f>IF(ISBLANK(B25),"",VLOOKUP(B25,SÜRELER!$A:$B,2,FALSE))</f>
        <v>#N/A</v>
      </c>
      <c r="D25" s="80">
        <v>189</v>
      </c>
      <c r="E25" s="92" t="e">
        <f>IF(ISBLANK($B25),"0",VLOOKUP($B25,SÜRELER!$A:$C,3,FALSE))*(D25-F25)</f>
        <v>#N/A</v>
      </c>
      <c r="F25" s="81">
        <v>5</v>
      </c>
      <c r="G25" s="93" t="e">
        <f>VLOOKUP(B25,'R.H.'!A$3:C$3974,3,FALSE)*D25/100</f>
        <v>#N/A</v>
      </c>
      <c r="H25" s="82">
        <f t="shared" si="1"/>
        <v>2.6455026455026454E-2</v>
      </c>
      <c r="I25" s="87" t="e">
        <f>VLOOKUP(B25,'R.H.'!A$3:C$3974,3,FALSE)/100</f>
        <v>#N/A</v>
      </c>
      <c r="J25" s="83">
        <v>0.5</v>
      </c>
      <c r="K25" s="92" t="e">
        <f t="shared" si="2"/>
        <v>#N/A</v>
      </c>
      <c r="L25" s="84">
        <v>160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1334</v>
      </c>
      <c r="C26" s="91" t="e">
        <f>IF(ISBLANK(B26),"",VLOOKUP(B26,SÜRELER!$A:$B,2,FALSE))</f>
        <v>#N/A</v>
      </c>
      <c r="D26" s="80">
        <v>349</v>
      </c>
      <c r="E26" s="92" t="e">
        <f>IF(ISBLANK($B26),"0",VLOOKUP($B26,SÜRELER!$A:$C,3,FALSE))*(D26-F26)</f>
        <v>#N/A</v>
      </c>
      <c r="F26" s="81">
        <v>15</v>
      </c>
      <c r="G26" s="93" t="e">
        <f>VLOOKUP(B26,'R.H.'!A$3:C$3974,3,FALSE)*D26/100</f>
        <v>#N/A</v>
      </c>
      <c r="H26" s="82">
        <f t="shared" si="1"/>
        <v>4.2979942693409739E-2</v>
      </c>
      <c r="I26" s="87" t="e">
        <f>VLOOKUP(B26,'R.H.'!A$3:C$3974,3,FALSE)/100</f>
        <v>#N/A</v>
      </c>
      <c r="J26" s="83">
        <v>0.5</v>
      </c>
      <c r="K26" s="92" t="e">
        <f t="shared" si="2"/>
        <v>#N/A</v>
      </c>
      <c r="L26" s="84">
        <v>280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1335</v>
      </c>
      <c r="C27" s="91" t="e">
        <f>IF(ISBLANK(B27),"",VLOOKUP(B27,SÜRELER!$A:$B,2,FALSE))</f>
        <v>#N/A</v>
      </c>
      <c r="D27" s="80">
        <v>349</v>
      </c>
      <c r="E27" s="92" t="e">
        <f>IF(ISBLANK($B27),"0",VLOOKUP($B27,SÜRELER!$A:$C,3,FALSE))*(D27-F27)</f>
        <v>#N/A</v>
      </c>
      <c r="F27" s="81">
        <v>15</v>
      </c>
      <c r="G27" s="93" t="e">
        <f>VLOOKUP(B27,'R.H.'!A$3:C$3974,3,FALSE)*D27/100</f>
        <v>#N/A</v>
      </c>
      <c r="H27" s="82">
        <f t="shared" si="1"/>
        <v>4.2979942693409739E-2</v>
      </c>
      <c r="I27" s="87" t="e">
        <f>VLOOKUP(B27,'R.H.'!A$3:C$3974,3,FALSE)/100</f>
        <v>#N/A</v>
      </c>
      <c r="J27" s="83">
        <v>0.5</v>
      </c>
      <c r="K27" s="92" t="e">
        <f t="shared" si="2"/>
        <v>#N/A</v>
      </c>
      <c r="L27" s="84">
        <v>280</v>
      </c>
      <c r="M27" s="84"/>
      <c r="N27" s="94" t="e">
        <f t="shared" si="3"/>
        <v>#N/A</v>
      </c>
      <c r="O27" s="88" t="e">
        <f t="shared" si="0"/>
        <v>#N/A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>
        <v>1478</v>
      </c>
      <c r="C28" s="91" t="e">
        <f>IF(ISBLANK(B28),"",VLOOKUP(B28,SÜRELER!$A:$B,2,FALSE))</f>
        <v>#N/A</v>
      </c>
      <c r="D28" s="80">
        <v>242</v>
      </c>
      <c r="E28" s="92" t="e">
        <f>IF(ISBLANK($B28),"0",VLOOKUP($B28,SÜRELER!$A:$C,3,FALSE))*(D28-F28)</f>
        <v>#N/A</v>
      </c>
      <c r="F28" s="81">
        <v>0</v>
      </c>
      <c r="G28" s="93" t="e">
        <f>VLOOKUP(B28,'R.H.'!A$3:C$3974,3,FALSE)*D28/100</f>
        <v>#N/A</v>
      </c>
      <c r="H28" s="82">
        <f t="shared" si="1"/>
        <v>0</v>
      </c>
      <c r="I28" s="87" t="e">
        <f>VLOOKUP(B28,'R.H.'!A$3:C$3974,3,FALSE)/100</f>
        <v>#N/A</v>
      </c>
      <c r="J28" s="83">
        <v>1</v>
      </c>
      <c r="K28" s="92" t="e">
        <f t="shared" si="2"/>
        <v>#N/A</v>
      </c>
      <c r="L28" s="84">
        <v>115</v>
      </c>
      <c r="M28" s="84"/>
      <c r="N28" s="94" t="e">
        <f t="shared" si="3"/>
        <v>#N/A</v>
      </c>
      <c r="O28" s="88" t="e">
        <f t="shared" si="0"/>
        <v>#N/A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/>
      <c r="C29" s="91" t="str">
        <f>IF(ISBLANK(B29),"",VLOOKUP(B29,SÜRELER!$A:$B,2,FALSE))</f>
        <v/>
      </c>
      <c r="D29" s="80"/>
      <c r="E29" s="92">
        <f>IF(ISBLANK($B29),"0",VLOOKUP($B29,SÜRELER!$A:$C,3,FALSE))*(D29-F29)</f>
        <v>0</v>
      </c>
      <c r="F29" s="81"/>
      <c r="G29" s="93" t="e">
        <f>VLOOKUP(B29,'R.H.'!A$3:C$3974,3,FALSE)*D29/100</f>
        <v>#N/A</v>
      </c>
      <c r="H29" s="82" t="e">
        <f t="shared" si="1"/>
        <v>#DIV/0!</v>
      </c>
      <c r="I29" s="87" t="e">
        <f>VLOOKUP(B29,'R.H.'!A$3:C$3974,3,FALSE)/100</f>
        <v>#N/A</v>
      </c>
      <c r="J29" s="83"/>
      <c r="K29" s="92" t="e">
        <f t="shared" si="2"/>
        <v>#DIV/0!</v>
      </c>
      <c r="L29" s="84"/>
      <c r="M29" s="84"/>
      <c r="N29" s="94" t="e">
        <f t="shared" si="3"/>
        <v>#DIV/0!</v>
      </c>
      <c r="O29" s="88" t="e">
        <f t="shared" si="0"/>
        <v>#DIV/0!</v>
      </c>
      <c r="P29" s="119"/>
      <c r="Q29" s="5"/>
      <c r="R29" s="5"/>
    </row>
    <row r="30" spans="1:18" s="4" customFormat="1" ht="16.5" x14ac:dyDescent="0.25">
      <c r="A30" s="85">
        <v>26</v>
      </c>
      <c r="B30" s="86"/>
      <c r="C30" s="91" t="str">
        <f>IF(ISBLANK(B30),"",VLOOKUP(B30,SÜRELER!$A:$B,2,FALSE))</f>
        <v/>
      </c>
      <c r="D30" s="80"/>
      <c r="E30" s="92">
        <f>IF(ISBLANK($B30),"0",VLOOKUP($B30,SÜRELER!$A:$C,3,FALSE))*(D30-F30)</f>
        <v>0</v>
      </c>
      <c r="F30" s="81"/>
      <c r="G30" s="93" t="e">
        <f>VLOOKUP(B30,'R.H.'!A$3:C$3974,3,FALSE)*D30/100</f>
        <v>#N/A</v>
      </c>
      <c r="H30" s="82" t="e">
        <f t="shared" si="1"/>
        <v>#DIV/0!</v>
      </c>
      <c r="I30" s="87" t="e">
        <f>VLOOKUP(B30,'R.H.'!A$3:C$3974,3,FALSE)/100</f>
        <v>#N/A</v>
      </c>
      <c r="J30" s="83"/>
      <c r="K30" s="92" t="e">
        <f t="shared" si="2"/>
        <v>#DIV/0!</v>
      </c>
      <c r="L30" s="84"/>
      <c r="M30" s="84"/>
      <c r="N30" s="94" t="e">
        <f t="shared" si="3"/>
        <v>#DIV/0!</v>
      </c>
      <c r="O30" s="88" t="e">
        <f t="shared" si="0"/>
        <v>#DIV/0!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10462</v>
      </c>
      <c r="E45" s="26" t="e">
        <f>SUM(E5:E44)</f>
        <v>#N/A</v>
      </c>
      <c r="F45" s="26">
        <f>SUM(F5:F44)</f>
        <v>216</v>
      </c>
      <c r="G45" s="26"/>
      <c r="H45" s="26"/>
      <c r="I45" s="26"/>
      <c r="J45" s="26"/>
      <c r="K45" s="26"/>
      <c r="L45" s="26">
        <f>SUM(L5:L44)</f>
        <v>13120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2.0646147964060408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15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8530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>
        <v>300</v>
      </c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8230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300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10462</v>
      </c>
      <c r="F63" s="24">
        <f>F45</f>
        <v>216</v>
      </c>
      <c r="G63" s="23">
        <f>(F63*1000000)/E63</f>
        <v>20646.147964060408</v>
      </c>
      <c r="H63" s="22">
        <f>D59</f>
        <v>300</v>
      </c>
      <c r="I63" s="17" t="e">
        <f>N1</f>
        <v>#N/A</v>
      </c>
    </row>
  </sheetData>
  <mergeCells count="19">
    <mergeCell ref="E57:N57"/>
    <mergeCell ref="E49:N49"/>
    <mergeCell ref="E50:N50"/>
    <mergeCell ref="E51:N51"/>
    <mergeCell ref="E53:N53"/>
    <mergeCell ref="E54:N54"/>
    <mergeCell ref="E55:N55"/>
    <mergeCell ref="A2:B3"/>
    <mergeCell ref="E56:N56"/>
    <mergeCell ref="D46:D47"/>
    <mergeCell ref="E46:F47"/>
    <mergeCell ref="A1:B1"/>
    <mergeCell ref="C1:D2"/>
    <mergeCell ref="H1:H3"/>
    <mergeCell ref="P5:P6"/>
    <mergeCell ref="P7:P8"/>
    <mergeCell ref="P15:P16"/>
    <mergeCell ref="P18:P19"/>
    <mergeCell ref="N1:N3"/>
  </mergeCells>
  <conditionalFormatting sqref="D3">
    <cfRule type="cellIs" dxfId="94" priority="5" stopIfTrue="1" operator="lessThan">
      <formula>0.95</formula>
    </cfRule>
  </conditionalFormatting>
  <conditionalFormatting sqref="F5:F44">
    <cfRule type="cellIs" dxfId="93" priority="1" stopIfTrue="1" operator="greaterThan">
      <formula>$G5</formula>
    </cfRule>
  </conditionalFormatting>
  <conditionalFormatting sqref="H5:H44">
    <cfRule type="cellIs" dxfId="92" priority="2" stopIfTrue="1" operator="greaterThan">
      <formula>$I$5</formula>
    </cfRule>
  </conditionalFormatting>
  <conditionalFormatting sqref="N1:N3">
    <cfRule type="cellIs" dxfId="91" priority="4" stopIfTrue="1" operator="lessThan">
      <formula>0.8</formula>
    </cfRule>
  </conditionalFormatting>
  <conditionalFormatting sqref="N5:O44">
    <cfRule type="cellIs" dxfId="90" priority="3" stopIfTrue="1" operator="lessThan">
      <formula>0.85</formula>
    </cfRule>
  </conditionalFormatting>
  <hyperlinks>
    <hyperlink ref="P1:P3" location="'Ana Sayfa'!A1" display="ANA SAYFA" xr:uid="{620BB9E7-D30A-4FE5-869D-C334EF1A3FB2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96CC9-EF0F-4816-81AF-9654D321B122}">
  <sheetPr codeName="Sayfa14">
    <tabColor theme="0" tint="-0.14999847407452621"/>
    <pageSetUpPr fitToPage="1"/>
  </sheetPr>
  <dimension ref="A1:W63"/>
  <sheetViews>
    <sheetView workbookViewId="0">
      <selection activeCell="I1" sqref="I1:M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'13'!A1+1</f>
        <v>46217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Salı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9468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1358</v>
      </c>
      <c r="C5" s="91" t="e">
        <f>IF(ISBLANK(B5),"",VLOOKUP(B5,SÜRELER!$A:$B,2,FALSE))</f>
        <v>#N/A</v>
      </c>
      <c r="D5" s="80">
        <f>283+277</f>
        <v>560</v>
      </c>
      <c r="E5" s="92" t="e">
        <f>IF(ISBLANK($B5),"0",VLOOKUP($B5,SÜRELER!$A:$C,3,FALSE))*(D5-F5)</f>
        <v>#N/A</v>
      </c>
      <c r="F5" s="81">
        <v>10</v>
      </c>
      <c r="G5" s="93" t="e">
        <f>VLOOKUP(B5,'R.H.'!A$3:C$3974,3,FALSE)*D5/100</f>
        <v>#N/A</v>
      </c>
      <c r="H5" s="82">
        <f>F5/D5</f>
        <v>1.7857142857142856E-2</v>
      </c>
      <c r="I5" s="87" t="e">
        <f>VLOOKUP(B5,'R.H.'!A$3:C$3974,3,FALSE)/100</f>
        <v>#N/A</v>
      </c>
      <c r="J5" s="83">
        <v>0.5</v>
      </c>
      <c r="K5" s="92" t="e">
        <f>E5/J5</f>
        <v>#N/A</v>
      </c>
      <c r="L5" s="84">
        <v>835</v>
      </c>
      <c r="M5" s="84"/>
      <c r="N5" s="94" t="e">
        <f>K5/L5</f>
        <v>#N/A</v>
      </c>
      <c r="O5" s="88" t="e">
        <f t="shared" ref="O5:O44" si="0">K5/(L5-M5)</f>
        <v>#N/A</v>
      </c>
      <c r="P5" s="119"/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1359</v>
      </c>
      <c r="C6" s="91" t="e">
        <f>IF(ISBLANK(B6),"",VLOOKUP(B6,SÜRELER!$A:$B,2,FALSE))</f>
        <v>#N/A</v>
      </c>
      <c r="D6" s="80">
        <v>560</v>
      </c>
      <c r="E6" s="92" t="e">
        <f>IF(ISBLANK($B6),"0",VLOOKUP($B6,SÜRELER!$A:$C,3,FALSE))*(D6-F6)</f>
        <v>#N/A</v>
      </c>
      <c r="F6" s="81">
        <v>10</v>
      </c>
      <c r="G6" s="93" t="e">
        <f>VLOOKUP(B6,'R.H.'!A$3:C$3974,3,FALSE)*D6/100</f>
        <v>#N/A</v>
      </c>
      <c r="H6" s="82">
        <f t="shared" ref="H6:H44" si="1">F6/D6</f>
        <v>1.7857142857142856E-2</v>
      </c>
      <c r="I6" s="87" t="e">
        <f>VLOOKUP(B6,'R.H.'!A$3:C$3974,3,FALSE)/100</f>
        <v>#N/A</v>
      </c>
      <c r="J6" s="83">
        <v>0.5</v>
      </c>
      <c r="K6" s="92" t="e">
        <f t="shared" ref="K6:K44" si="2">E6/J6</f>
        <v>#N/A</v>
      </c>
      <c r="L6" s="84">
        <v>835</v>
      </c>
      <c r="M6" s="84"/>
      <c r="N6" s="94" t="e">
        <f t="shared" ref="N6:N44" si="3">K6/L6</f>
        <v>#N/A</v>
      </c>
      <c r="O6" s="88" t="e">
        <f t="shared" si="0"/>
        <v>#N/A</v>
      </c>
      <c r="P6" s="119"/>
      <c r="Q6" s="5"/>
      <c r="R6" s="5"/>
    </row>
    <row r="7" spans="1:23" s="4" customFormat="1" ht="16.5" customHeight="1" x14ac:dyDescent="0.25">
      <c r="A7" s="90">
        <v>3</v>
      </c>
      <c r="B7" s="86">
        <v>1847</v>
      </c>
      <c r="C7" s="91" t="e">
        <f>IF(ISBLANK(B7),"",VLOOKUP(B7,SÜRELER!$A:$B,2,FALSE))</f>
        <v>#N/A</v>
      </c>
      <c r="D7" s="80">
        <v>240</v>
      </c>
      <c r="E7" s="92" t="e">
        <f>IF(ISBLANK($B7),"0",VLOOKUP($B7,SÜRELER!$A:$C,3,FALSE))*(D7-F7)</f>
        <v>#N/A</v>
      </c>
      <c r="F7" s="81">
        <v>8</v>
      </c>
      <c r="G7" s="93" t="e">
        <f>VLOOKUP(B7,'R.H.'!A$3:C$3974,3,FALSE)*D7/100</f>
        <v>#N/A</v>
      </c>
      <c r="H7" s="82">
        <f t="shared" si="1"/>
        <v>3.3333333333333333E-2</v>
      </c>
      <c r="I7" s="87" t="e">
        <f>VLOOKUP(B7,'R.H.'!A$3:C$3974,3,FALSE)/100</f>
        <v>#N/A</v>
      </c>
      <c r="J7" s="83">
        <v>1</v>
      </c>
      <c r="K7" s="92" t="e">
        <f t="shared" si="2"/>
        <v>#N/A</v>
      </c>
      <c r="L7" s="84">
        <v>140</v>
      </c>
      <c r="M7" s="84"/>
      <c r="N7" s="94" t="e">
        <f t="shared" si="3"/>
        <v>#N/A</v>
      </c>
      <c r="O7" s="88" t="e">
        <f t="shared" si="0"/>
        <v>#N/A</v>
      </c>
      <c r="P7" s="164" t="s">
        <v>3432</v>
      </c>
      <c r="Q7" s="5"/>
      <c r="R7" s="5"/>
    </row>
    <row r="8" spans="1:23" s="4" customFormat="1" ht="16.5" customHeight="1" x14ac:dyDescent="0.25">
      <c r="A8" s="85">
        <v>4</v>
      </c>
      <c r="B8" s="86">
        <v>1962</v>
      </c>
      <c r="C8" s="91" t="e">
        <f>IF(ISBLANK(B8),"",VLOOKUP(B8,SÜRELER!$A:$B,2,FALSE))</f>
        <v>#N/A</v>
      </c>
      <c r="D8" s="80">
        <f>260+180</f>
        <v>440</v>
      </c>
      <c r="E8" s="92" t="e">
        <f>IF(ISBLANK($B8),"0",VLOOKUP($B8,SÜRELER!$A:$C,3,FALSE))*(D8-F8)</f>
        <v>#N/A</v>
      </c>
      <c r="F8" s="81">
        <v>2</v>
      </c>
      <c r="G8" s="93" t="e">
        <f>VLOOKUP(B8,'R.H.'!A$3:C$3974,3,FALSE)*D8/100</f>
        <v>#N/A</v>
      </c>
      <c r="H8" s="82">
        <f t="shared" si="1"/>
        <v>4.5454545454545452E-3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4390</v>
      </c>
      <c r="M8" s="84"/>
      <c r="N8" s="94" t="e">
        <f t="shared" si="3"/>
        <v>#N/A</v>
      </c>
      <c r="O8" s="88" t="e">
        <f t="shared" si="0"/>
        <v>#N/A</v>
      </c>
      <c r="P8" s="119"/>
      <c r="Q8" s="5"/>
      <c r="R8" s="5"/>
    </row>
    <row r="9" spans="1:23" s="4" customFormat="1" ht="16.5" x14ac:dyDescent="0.25">
      <c r="A9" s="90">
        <v>5</v>
      </c>
      <c r="B9" s="86">
        <v>1963</v>
      </c>
      <c r="C9" s="91" t="e">
        <f>IF(ISBLANK(B9),"",VLOOKUP(B9,SÜRELER!$A:$B,2,FALSE))</f>
        <v>#N/A</v>
      </c>
      <c r="D9" s="80">
        <v>440</v>
      </c>
      <c r="E9" s="92" t="e">
        <f>IF(ISBLANK($B9),"0",VLOOKUP($B9,SÜRELER!$A:$C,3,FALSE))*(D9-F9)</f>
        <v>#N/A</v>
      </c>
      <c r="F9" s="81">
        <v>2</v>
      </c>
      <c r="G9" s="93" t="e">
        <f>VLOOKUP(B9,'R.H.'!A$3:C$3974,3,FALSE)*D9/100</f>
        <v>#N/A</v>
      </c>
      <c r="H9" s="82">
        <f t="shared" si="1"/>
        <v>4.5454545454545452E-3</v>
      </c>
      <c r="I9" s="87" t="e">
        <f>VLOOKUP(B9,'R.H.'!A$3:C$3974,3,FALSE)/100</f>
        <v>#N/A</v>
      </c>
      <c r="J9" s="83">
        <v>0.5</v>
      </c>
      <c r="K9" s="92" t="e">
        <f t="shared" si="2"/>
        <v>#N/A</v>
      </c>
      <c r="L9" s="84">
        <v>4390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1581</v>
      </c>
      <c r="C10" s="91" t="e">
        <f>IF(ISBLANK(B10),"",VLOOKUP(B10,SÜRELER!$A:$B,2,FALSE))</f>
        <v>#N/A</v>
      </c>
      <c r="D10" s="80">
        <f>540+130</f>
        <v>670</v>
      </c>
      <c r="E10" s="92" t="e">
        <f>IF(ISBLANK($B10),"0",VLOOKUP($B10,SÜRELER!$A:$C,3,FALSE))*(D10-F10)</f>
        <v>#N/A</v>
      </c>
      <c r="F10" s="81">
        <v>0</v>
      </c>
      <c r="G10" s="93" t="e">
        <f>VLOOKUP(B10,'R.H.'!A$3:C$3974,3,FALSE)*D10/100</f>
        <v>#N/A</v>
      </c>
      <c r="H10" s="82">
        <f t="shared" si="1"/>
        <v>0</v>
      </c>
      <c r="I10" s="87" t="e">
        <f>VLOOKUP(B10,'R.H.'!A$3:C$3974,3,FALSE)/100</f>
        <v>#N/A</v>
      </c>
      <c r="J10" s="83">
        <v>0.5</v>
      </c>
      <c r="K10" s="92" t="e">
        <f t="shared" si="2"/>
        <v>#N/A</v>
      </c>
      <c r="L10" s="84">
        <v>790</v>
      </c>
      <c r="M10" s="84"/>
      <c r="N10" s="94" t="e">
        <f t="shared" si="3"/>
        <v>#N/A</v>
      </c>
      <c r="O10" s="88" t="e">
        <f t="shared" si="0"/>
        <v>#N/A</v>
      </c>
      <c r="P10" s="193" t="s">
        <v>3431</v>
      </c>
      <c r="Q10" s="5"/>
      <c r="R10" s="5"/>
    </row>
    <row r="11" spans="1:23" s="4" customFormat="1" ht="16.75" customHeight="1" x14ac:dyDescent="0.25">
      <c r="A11" s="90">
        <v>7</v>
      </c>
      <c r="B11" s="86">
        <v>1582</v>
      </c>
      <c r="C11" s="91" t="e">
        <f>IF(ISBLANK(B11),"",VLOOKUP(B11,SÜRELER!$A:$B,2,FALSE))</f>
        <v>#N/A</v>
      </c>
      <c r="D11" s="80">
        <v>670</v>
      </c>
      <c r="E11" s="92" t="e">
        <f>IF(ISBLANK($B11),"0",VLOOKUP($B11,SÜRELER!$A:$C,3,FALSE))*(D11-F11)</f>
        <v>#N/A</v>
      </c>
      <c r="F11" s="81">
        <v>0</v>
      </c>
      <c r="G11" s="93" t="e">
        <f>VLOOKUP(B11,'R.H.'!A$3:C$3974,3,FALSE)*D11/100</f>
        <v>#N/A</v>
      </c>
      <c r="H11" s="82">
        <f t="shared" si="1"/>
        <v>0</v>
      </c>
      <c r="I11" s="87" t="e">
        <f>VLOOKUP(B11,'R.H.'!A$3:C$3974,3,FALSE)/100</f>
        <v>#N/A</v>
      </c>
      <c r="J11" s="83">
        <v>0.5</v>
      </c>
      <c r="K11" s="92" t="e">
        <f t="shared" si="2"/>
        <v>#N/A</v>
      </c>
      <c r="L11" s="84">
        <v>790</v>
      </c>
      <c r="M11" s="84"/>
      <c r="N11" s="94" t="e">
        <f t="shared" si="3"/>
        <v>#N/A</v>
      </c>
      <c r="O11" s="88" t="e">
        <f t="shared" si="0"/>
        <v>#N/A</v>
      </c>
      <c r="P11" s="194"/>
      <c r="Q11" s="5"/>
      <c r="R11" s="5"/>
    </row>
    <row r="12" spans="1:23" s="4" customFormat="1" ht="16.5" x14ac:dyDescent="0.25">
      <c r="A12" s="85">
        <v>8</v>
      </c>
      <c r="B12" s="86">
        <v>471</v>
      </c>
      <c r="C12" s="91" t="e">
        <f>IF(ISBLANK(B12),"",VLOOKUP(B12,SÜRELER!$A:$B,2,FALSE))</f>
        <v>#N/A</v>
      </c>
      <c r="D12" s="80">
        <f>820+920</f>
        <v>1740</v>
      </c>
      <c r="E12" s="92" t="e">
        <f>IF(ISBLANK($B12),"0",VLOOKUP($B12,SÜRELER!$A:$C,3,FALSE))*(D12-F12)</f>
        <v>#N/A</v>
      </c>
      <c r="F12" s="81">
        <v>0</v>
      </c>
      <c r="G12" s="93" t="e">
        <f>VLOOKUP(B12,'R.H.'!A$3:C$3974,3,FALSE)*D12/100</f>
        <v>#N/A</v>
      </c>
      <c r="H12" s="82">
        <f t="shared" si="1"/>
        <v>0</v>
      </c>
      <c r="I12" s="87" t="e">
        <f>VLOOKUP(B12,'R.H.'!A$3:C$3974,3,FALSE)/100</f>
        <v>#N/A</v>
      </c>
      <c r="J12" s="83">
        <v>0.5</v>
      </c>
      <c r="K12" s="92" t="e">
        <f t="shared" si="2"/>
        <v>#N/A</v>
      </c>
      <c r="L12" s="84">
        <v>1396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1111</v>
      </c>
      <c r="C13" s="91" t="e">
        <f>IF(ISBLANK(B13),"",VLOOKUP(B13,SÜRELER!$A:$B,2,FALSE))</f>
        <v>#N/A</v>
      </c>
      <c r="D13" s="80">
        <v>658</v>
      </c>
      <c r="E13" s="92" t="e">
        <f>IF(ISBLANK($B13),"0",VLOOKUP($B13,SÜRELER!$A:$C,3,FALSE))*(D13-F13)</f>
        <v>#N/A</v>
      </c>
      <c r="F13" s="81">
        <v>10</v>
      </c>
      <c r="G13" s="93" t="e">
        <f>VLOOKUP(B13,'R.H.'!A$3:C$3974,3,FALSE)*D13/100</f>
        <v>#N/A</v>
      </c>
      <c r="H13" s="82">
        <f t="shared" si="1"/>
        <v>1.5197568389057751E-2</v>
      </c>
      <c r="I13" s="87" t="e">
        <f>VLOOKUP(B13,'R.H.'!A$3:C$3974,3,FALSE)/100</f>
        <v>#N/A</v>
      </c>
      <c r="J13" s="83">
        <v>1</v>
      </c>
      <c r="K13" s="92" t="e">
        <f t="shared" si="2"/>
        <v>#N/A</v>
      </c>
      <c r="L13" s="84">
        <v>345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2070</v>
      </c>
      <c r="C14" s="91" t="e">
        <f>IF(ISBLANK(B14),"",VLOOKUP(B14,SÜRELER!$A:$B,2,FALSE))</f>
        <v>#N/A</v>
      </c>
      <c r="D14" s="80">
        <v>312</v>
      </c>
      <c r="E14" s="92" t="e">
        <f>IF(ISBLANK($B14),"0",VLOOKUP($B14,SÜRELER!$A:$C,3,FALSE))*(D14-F14)</f>
        <v>#N/A</v>
      </c>
      <c r="F14" s="81">
        <v>0</v>
      </c>
      <c r="G14" s="93" t="e">
        <f>VLOOKUP(B14,'R.H.'!A$3:C$3974,3,FALSE)*D14/100</f>
        <v>#N/A</v>
      </c>
      <c r="H14" s="82">
        <f t="shared" si="1"/>
        <v>0</v>
      </c>
      <c r="I14" s="87" t="e">
        <f>VLOOKUP(B14,'R.H.'!A$3:C$3974,3,FALSE)/100</f>
        <v>#N/A</v>
      </c>
      <c r="J14" s="83">
        <v>0.5</v>
      </c>
      <c r="K14" s="92" t="e">
        <f t="shared" si="2"/>
        <v>#N/A</v>
      </c>
      <c r="L14" s="84">
        <v>295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2071</v>
      </c>
      <c r="C15" s="91" t="e">
        <f>IF(ISBLANK(B15),"",VLOOKUP(B15,SÜRELER!$A:$B,2,FALSE))</f>
        <v>#N/A</v>
      </c>
      <c r="D15" s="80">
        <v>312</v>
      </c>
      <c r="E15" s="92" t="e">
        <f>IF(ISBLANK($B15),"0",VLOOKUP($B15,SÜRELER!$A:$C,3,FALSE))*(D15-F15)</f>
        <v>#N/A</v>
      </c>
      <c r="F15" s="81">
        <v>0</v>
      </c>
      <c r="G15" s="93" t="e">
        <f>VLOOKUP(B15,'R.H.'!A$3:C$3974,3,FALSE)*D15/100</f>
        <v>#N/A</v>
      </c>
      <c r="H15" s="82">
        <f t="shared" si="1"/>
        <v>0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295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1332</v>
      </c>
      <c r="C16" s="91" t="e">
        <f>IF(ISBLANK(B16),"",VLOOKUP(B16,SÜRELER!$A:$B,2,FALSE))</f>
        <v>#N/A</v>
      </c>
      <c r="D16" s="80">
        <f>53+378</f>
        <v>431</v>
      </c>
      <c r="E16" s="92" t="e">
        <f>IF(ISBLANK($B16),"0",VLOOKUP($B16,SÜRELER!$A:$C,3,FALSE))*(D16-F16)</f>
        <v>#N/A</v>
      </c>
      <c r="F16" s="81">
        <v>11</v>
      </c>
      <c r="G16" s="93" t="e">
        <f>VLOOKUP(B16,'R.H.'!A$3:C$3974,3,FALSE)*D16/100</f>
        <v>#N/A</v>
      </c>
      <c r="H16" s="82">
        <f t="shared" si="1"/>
        <v>2.5522041763341066E-2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450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1333</v>
      </c>
      <c r="C17" s="91" t="e">
        <f>IF(ISBLANK(B17),"",VLOOKUP(B17,SÜRELER!$A:$B,2,FALSE))</f>
        <v>#N/A</v>
      </c>
      <c r="D17" s="80">
        <v>431</v>
      </c>
      <c r="E17" s="92" t="e">
        <f>IF(ISBLANK($B17),"0",VLOOKUP($B17,SÜRELER!$A:$C,3,FALSE))*(D17-F17)</f>
        <v>#N/A</v>
      </c>
      <c r="F17" s="81">
        <v>11</v>
      </c>
      <c r="G17" s="93" t="e">
        <f>VLOOKUP(B17,'R.H.'!A$3:C$3974,3,FALSE)*D17/100</f>
        <v>#N/A</v>
      </c>
      <c r="H17" s="82">
        <f t="shared" si="1"/>
        <v>2.5522041763341066E-2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450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1676</v>
      </c>
      <c r="C18" s="91" t="e">
        <f>IF(ISBLANK(B18),"",VLOOKUP(B18,SÜRELER!$A:$B,2,FALSE))</f>
        <v>#N/A</v>
      </c>
      <c r="D18" s="80">
        <v>260</v>
      </c>
      <c r="E18" s="92" t="e">
        <f>IF(ISBLANK($B18),"0",VLOOKUP($B18,SÜRELER!$A:$C,3,FALSE))*(D18-F18)</f>
        <v>#N/A</v>
      </c>
      <c r="F18" s="81">
        <v>13</v>
      </c>
      <c r="G18" s="93" t="e">
        <f>VLOOKUP(B18,'R.H.'!A$3:C$3974,3,FALSE)*D18/100</f>
        <v>#N/A</v>
      </c>
      <c r="H18" s="82">
        <f t="shared" si="1"/>
        <v>0.05</v>
      </c>
      <c r="I18" s="87" t="e">
        <f>VLOOKUP(B18,'R.H.'!A$3:C$3974,3,FALSE)/100</f>
        <v>#N/A</v>
      </c>
      <c r="J18" s="83">
        <v>0.5</v>
      </c>
      <c r="K18" s="92" t="e">
        <f t="shared" si="2"/>
        <v>#N/A</v>
      </c>
      <c r="L18" s="84">
        <v>440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1677</v>
      </c>
      <c r="C19" s="91" t="e">
        <f>IF(ISBLANK(B19),"",VLOOKUP(B19,SÜRELER!$A:$B,2,FALSE))</f>
        <v>#N/A</v>
      </c>
      <c r="D19" s="80">
        <v>260</v>
      </c>
      <c r="E19" s="92" t="e">
        <f>IF(ISBLANK($B19),"0",VLOOKUP($B19,SÜRELER!$A:$C,3,FALSE))*(D19-F19)</f>
        <v>#N/A</v>
      </c>
      <c r="F19" s="81">
        <v>13</v>
      </c>
      <c r="G19" s="93" t="e">
        <f>VLOOKUP(B19,'R.H.'!A$3:C$3974,3,FALSE)*D19/100</f>
        <v>#N/A</v>
      </c>
      <c r="H19" s="82">
        <f t="shared" si="1"/>
        <v>0.05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440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1748</v>
      </c>
      <c r="C20" s="91" t="e">
        <f>IF(ISBLANK(B20),"",VLOOKUP(B20,SÜRELER!$A:$B,2,FALSE))</f>
        <v>#N/A</v>
      </c>
      <c r="D20" s="80">
        <v>390</v>
      </c>
      <c r="E20" s="92" t="e">
        <f>IF(ISBLANK($B20),"0",VLOOKUP($B20,SÜRELER!$A:$C,3,FALSE))*(D20-F20)</f>
        <v>#N/A</v>
      </c>
      <c r="F20" s="81">
        <v>6</v>
      </c>
      <c r="G20" s="93" t="e">
        <f>VLOOKUP(B20,'R.H.'!A$3:C$3974,3,FALSE)*D20/100</f>
        <v>#N/A</v>
      </c>
      <c r="H20" s="82">
        <f t="shared" si="1"/>
        <v>1.5384615384615385E-2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525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1749</v>
      </c>
      <c r="C21" s="91" t="e">
        <f>IF(ISBLANK(B21),"",VLOOKUP(B21,SÜRELER!$A:$B,2,FALSE))</f>
        <v>#N/A</v>
      </c>
      <c r="D21" s="80">
        <v>390</v>
      </c>
      <c r="E21" s="92" t="e">
        <f>IF(ISBLANK($B21),"0",VLOOKUP($B21,SÜRELER!$A:$C,3,FALSE))*(D21-F21)</f>
        <v>#N/A</v>
      </c>
      <c r="F21" s="81">
        <v>6</v>
      </c>
      <c r="G21" s="93" t="e">
        <f>VLOOKUP(B21,'R.H.'!A$3:C$3974,3,FALSE)*D21/100</f>
        <v>#N/A</v>
      </c>
      <c r="H21" s="82">
        <f t="shared" si="1"/>
        <v>1.5384615384615385E-2</v>
      </c>
      <c r="I21" s="87" t="e">
        <f>VLOOKUP(B21,'R.H.'!A$3:C$3974,3,FALSE)/100</f>
        <v>#N/A</v>
      </c>
      <c r="J21" s="83">
        <v>0.5</v>
      </c>
      <c r="K21" s="92" t="e">
        <f t="shared" si="2"/>
        <v>#N/A</v>
      </c>
      <c r="L21" s="84">
        <v>525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8915</v>
      </c>
      <c r="C22" s="91" t="e">
        <f>IF(ISBLANK(B22),"",VLOOKUP(B22,SÜRELER!$A:$B,2,FALSE))</f>
        <v>#N/A</v>
      </c>
      <c r="D22" s="80">
        <v>704</v>
      </c>
      <c r="E22" s="92" t="e">
        <f>IF(ISBLANK($B22),"0",VLOOKUP($B22,SÜRELER!$A:$C,3,FALSE))*(D22-F22)</f>
        <v>#N/A</v>
      </c>
      <c r="F22" s="81">
        <v>0</v>
      </c>
      <c r="G22" s="93" t="e">
        <f>VLOOKUP(B22,'R.H.'!A$3:C$3974,3,FALSE)*D22/100</f>
        <v>#N/A</v>
      </c>
      <c r="H22" s="82">
        <f t="shared" si="1"/>
        <v>0</v>
      </c>
      <c r="I22" s="87" t="e">
        <f>VLOOKUP(B22,'R.H.'!A$3:C$3974,3,FALSE)/100</f>
        <v>#N/A</v>
      </c>
      <c r="J22" s="83">
        <v>1</v>
      </c>
      <c r="K22" s="92" t="e">
        <f t="shared" si="2"/>
        <v>#N/A</v>
      </c>
      <c r="L22" s="84">
        <v>1200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/>
      <c r="C23" s="91" t="str">
        <f>IF(ISBLANK(B23),"",VLOOKUP(B23,SÜRELER!$A:$B,2,FALSE))</f>
        <v/>
      </c>
      <c r="D23" s="80"/>
      <c r="E23" s="92">
        <f>IF(ISBLANK($B23),"0",VLOOKUP($B23,SÜRELER!$A:$C,3,FALSE))*(D23-F23)</f>
        <v>0</v>
      </c>
      <c r="F23" s="81"/>
      <c r="G23" s="93" t="e">
        <f>VLOOKUP(B23,'R.H.'!A$3:C$3974,3,FALSE)*D23/100</f>
        <v>#N/A</v>
      </c>
      <c r="H23" s="82" t="e">
        <f t="shared" si="1"/>
        <v>#DIV/0!</v>
      </c>
      <c r="I23" s="87" t="e">
        <f>VLOOKUP(B23,'R.H.'!A$3:C$3974,3,FALSE)/100</f>
        <v>#N/A</v>
      </c>
      <c r="J23" s="83"/>
      <c r="K23" s="92" t="e">
        <f t="shared" si="2"/>
        <v>#DIV/0!</v>
      </c>
      <c r="L23" s="84"/>
      <c r="M23" s="84"/>
      <c r="N23" s="94" t="e">
        <f t="shared" si="3"/>
        <v>#DIV/0!</v>
      </c>
      <c r="O23" s="88" t="e">
        <f t="shared" si="0"/>
        <v>#DIV/0!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/>
      <c r="C24" s="91" t="str">
        <f>IF(ISBLANK(B24),"",VLOOKUP(B24,SÜRELER!$A:$B,2,FALSE))</f>
        <v/>
      </c>
      <c r="D24" s="80"/>
      <c r="E24" s="92">
        <f>IF(ISBLANK($B24),"0",VLOOKUP($B24,SÜRELER!$A:$C,3,FALSE))*(D24-F24)</f>
        <v>0</v>
      </c>
      <c r="F24" s="81"/>
      <c r="G24" s="93" t="e">
        <f>VLOOKUP(B24,'R.H.'!A$3:C$3974,3,FALSE)*D24/100</f>
        <v>#N/A</v>
      </c>
      <c r="H24" s="82" t="e">
        <f t="shared" si="1"/>
        <v>#DIV/0!</v>
      </c>
      <c r="I24" s="87" t="e">
        <f>VLOOKUP(B24,'R.H.'!A$3:C$3974,3,FALSE)/100</f>
        <v>#N/A</v>
      </c>
      <c r="J24" s="83"/>
      <c r="K24" s="92" t="e">
        <f t="shared" si="2"/>
        <v>#DIV/0!</v>
      </c>
      <c r="L24" s="84"/>
      <c r="M24" s="84"/>
      <c r="N24" s="94" t="e">
        <f t="shared" si="3"/>
        <v>#DIV/0!</v>
      </c>
      <c r="O24" s="88" t="e">
        <f t="shared" si="0"/>
        <v>#DIV/0!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/>
      <c r="C25" s="91" t="str">
        <f>IF(ISBLANK(B25),"",VLOOKUP(B25,SÜRELER!$A:$B,2,FALSE))</f>
        <v/>
      </c>
      <c r="D25" s="80"/>
      <c r="E25" s="92">
        <f>IF(ISBLANK($B25),"0",VLOOKUP($B25,SÜRELER!$A:$C,3,FALSE))*(D25-F25)</f>
        <v>0</v>
      </c>
      <c r="F25" s="81"/>
      <c r="G25" s="93" t="e">
        <f>VLOOKUP(B25,'R.H.'!A$3:C$3974,3,FALSE)*D25/100</f>
        <v>#N/A</v>
      </c>
      <c r="H25" s="82" t="e">
        <f t="shared" si="1"/>
        <v>#DIV/0!</v>
      </c>
      <c r="I25" s="87" t="e">
        <f>VLOOKUP(B25,'R.H.'!A$3:C$3974,3,FALSE)/100</f>
        <v>#N/A</v>
      </c>
      <c r="J25" s="83"/>
      <c r="K25" s="92" t="e">
        <f t="shared" si="2"/>
        <v>#DIV/0!</v>
      </c>
      <c r="L25" s="84"/>
      <c r="M25" s="84"/>
      <c r="N25" s="94" t="e">
        <f t="shared" si="3"/>
        <v>#DIV/0!</v>
      </c>
      <c r="O25" s="88" t="e">
        <f t="shared" si="0"/>
        <v>#DIV/0!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/>
      <c r="C26" s="91" t="str">
        <f>IF(ISBLANK(B26),"",VLOOKUP(B26,SÜRELER!$A:$B,2,FALSE))</f>
        <v/>
      </c>
      <c r="D26" s="80"/>
      <c r="E26" s="92">
        <f>IF(ISBLANK($B26),"0",VLOOKUP($B26,SÜRELER!$A:$C,3,FALSE))*(D26-F26)</f>
        <v>0</v>
      </c>
      <c r="F26" s="81"/>
      <c r="G26" s="93" t="e">
        <f>VLOOKUP(B26,'R.H.'!A$3:C$3974,3,FALSE)*D26/100</f>
        <v>#N/A</v>
      </c>
      <c r="H26" s="82" t="e">
        <f t="shared" si="1"/>
        <v>#DIV/0!</v>
      </c>
      <c r="I26" s="87" t="e">
        <f>VLOOKUP(B26,'R.H.'!A$3:C$3974,3,FALSE)/100</f>
        <v>#N/A</v>
      </c>
      <c r="J26" s="83"/>
      <c r="K26" s="92" t="e">
        <f t="shared" si="2"/>
        <v>#DIV/0!</v>
      </c>
      <c r="L26" s="84"/>
      <c r="M26" s="84"/>
      <c r="N26" s="94" t="e">
        <f t="shared" si="3"/>
        <v>#DIV/0!</v>
      </c>
      <c r="O26" s="88" t="e">
        <f t="shared" si="0"/>
        <v>#DIV/0!</v>
      </c>
      <c r="P26" s="119"/>
      <c r="Q26" s="5"/>
      <c r="R26" s="5"/>
    </row>
    <row r="27" spans="1:18" s="4" customFormat="1" ht="16.5" x14ac:dyDescent="0.25">
      <c r="A27" s="90">
        <v>23</v>
      </c>
      <c r="B27" s="86"/>
      <c r="C27" s="91" t="str">
        <f>IF(ISBLANK(B27),"",VLOOKUP(B27,SÜRELER!$A:$B,2,FALSE))</f>
        <v/>
      </c>
      <c r="D27" s="80"/>
      <c r="E27" s="92">
        <f>IF(ISBLANK($B27),"0",VLOOKUP($B27,SÜRELER!$A:$C,3,FALSE))*(D27-F27)</f>
        <v>0</v>
      </c>
      <c r="F27" s="81"/>
      <c r="G27" s="93" t="e">
        <f>VLOOKUP(B27,'R.H.'!A$3:C$3974,3,FALSE)*D27/100</f>
        <v>#N/A</v>
      </c>
      <c r="H27" s="82" t="e">
        <f t="shared" si="1"/>
        <v>#DIV/0!</v>
      </c>
      <c r="I27" s="87" t="e">
        <f>VLOOKUP(B27,'R.H.'!A$3:C$3974,3,FALSE)/100</f>
        <v>#N/A</v>
      </c>
      <c r="J27" s="83"/>
      <c r="K27" s="92" t="e">
        <f t="shared" si="2"/>
        <v>#DIV/0!</v>
      </c>
      <c r="L27" s="84"/>
      <c r="M27" s="84"/>
      <c r="N27" s="94" t="e">
        <f t="shared" si="3"/>
        <v>#DIV/0!</v>
      </c>
      <c r="O27" s="88" t="e">
        <f t="shared" si="0"/>
        <v>#DIV/0!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/>
      <c r="C28" s="91" t="str">
        <f>IF(ISBLANK(B28),"",VLOOKUP(B28,SÜRELER!$A:$B,2,FALSE))</f>
        <v/>
      </c>
      <c r="D28" s="80"/>
      <c r="E28" s="92">
        <f>IF(ISBLANK($B28),"0",VLOOKUP($B28,SÜRELER!$A:$C,3,FALSE))*(D28-F28)</f>
        <v>0</v>
      </c>
      <c r="F28" s="81"/>
      <c r="G28" s="93" t="e">
        <f>VLOOKUP(B28,'R.H.'!A$3:C$3974,3,FALSE)*D28/100</f>
        <v>#N/A</v>
      </c>
      <c r="H28" s="82" t="e">
        <f t="shared" si="1"/>
        <v>#DIV/0!</v>
      </c>
      <c r="I28" s="87" t="e">
        <f>VLOOKUP(B28,'R.H.'!A$3:C$3974,3,FALSE)/100</f>
        <v>#N/A</v>
      </c>
      <c r="J28" s="83"/>
      <c r="K28" s="92" t="e">
        <f t="shared" si="2"/>
        <v>#DIV/0!</v>
      </c>
      <c r="L28" s="84"/>
      <c r="M28" s="84"/>
      <c r="N28" s="94" t="e">
        <f t="shared" si="3"/>
        <v>#DIV/0!</v>
      </c>
      <c r="O28" s="88" t="e">
        <f t="shared" si="0"/>
        <v>#DIV/0!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/>
      <c r="C29" s="91" t="str">
        <f>IF(ISBLANK(B29),"",VLOOKUP(B29,SÜRELER!$A:$B,2,FALSE))</f>
        <v/>
      </c>
      <c r="D29" s="80"/>
      <c r="E29" s="92">
        <f>IF(ISBLANK($B29),"0",VLOOKUP($B29,SÜRELER!$A:$C,3,FALSE))*(D29-F29)</f>
        <v>0</v>
      </c>
      <c r="F29" s="81"/>
      <c r="G29" s="93" t="e">
        <f>VLOOKUP(B29,'R.H.'!A$3:C$3974,3,FALSE)*D29/100</f>
        <v>#N/A</v>
      </c>
      <c r="H29" s="82" t="e">
        <f t="shared" si="1"/>
        <v>#DIV/0!</v>
      </c>
      <c r="I29" s="87" t="e">
        <f>VLOOKUP(B29,'R.H.'!A$3:C$3974,3,FALSE)/100</f>
        <v>#N/A</v>
      </c>
      <c r="J29" s="83"/>
      <c r="K29" s="92" t="e">
        <f t="shared" si="2"/>
        <v>#DIV/0!</v>
      </c>
      <c r="L29" s="84"/>
      <c r="M29" s="84"/>
      <c r="N29" s="94" t="e">
        <f t="shared" si="3"/>
        <v>#DIV/0!</v>
      </c>
      <c r="O29" s="88" t="e">
        <f t="shared" si="0"/>
        <v>#DIV/0!</v>
      </c>
      <c r="P29" s="119"/>
      <c r="Q29" s="5"/>
      <c r="R29" s="5"/>
    </row>
    <row r="30" spans="1:18" s="4" customFormat="1" ht="16.5" x14ac:dyDescent="0.25">
      <c r="A30" s="85">
        <v>26</v>
      </c>
      <c r="B30" s="86"/>
      <c r="C30" s="91" t="str">
        <f>IF(ISBLANK(B30),"",VLOOKUP(B30,SÜRELER!$A:$B,2,FALSE))</f>
        <v/>
      </c>
      <c r="D30" s="80"/>
      <c r="E30" s="92">
        <f>IF(ISBLANK($B30),"0",VLOOKUP($B30,SÜRELER!$A:$C,3,FALSE))*(D30-F30)</f>
        <v>0</v>
      </c>
      <c r="F30" s="81"/>
      <c r="G30" s="93" t="e">
        <f>VLOOKUP(B30,'R.H.'!A$3:C$3974,3,FALSE)*D30/100</f>
        <v>#N/A</v>
      </c>
      <c r="H30" s="82" t="e">
        <f t="shared" si="1"/>
        <v>#DIV/0!</v>
      </c>
      <c r="I30" s="87" t="e">
        <f>VLOOKUP(B30,'R.H.'!A$3:C$3974,3,FALSE)/100</f>
        <v>#N/A</v>
      </c>
      <c r="J30" s="83"/>
      <c r="K30" s="92" t="e">
        <f t="shared" si="2"/>
        <v>#DIV/0!</v>
      </c>
      <c r="L30" s="84"/>
      <c r="M30" s="84"/>
      <c r="N30" s="94" t="e">
        <f t="shared" si="3"/>
        <v>#DIV/0!</v>
      </c>
      <c r="O30" s="88" t="e">
        <f t="shared" si="0"/>
        <v>#DIV/0!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9468</v>
      </c>
      <c r="E45" s="26" t="e">
        <f>SUM(E5:E44)</f>
        <v>#N/A</v>
      </c>
      <c r="F45" s="26">
        <f>SUM(F5:F44)</f>
        <v>102</v>
      </c>
      <c r="G45" s="26"/>
      <c r="H45" s="26"/>
      <c r="I45" s="26"/>
      <c r="J45" s="26"/>
      <c r="K45" s="26"/>
      <c r="L45" s="26">
        <f>SUM(L5:L44)</f>
        <v>18531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1.0773130544993663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20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10680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/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10680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9468</v>
      </c>
      <c r="F63" s="24">
        <f>F45</f>
        <v>102</v>
      </c>
      <c r="G63" s="23">
        <f>(F63*1000000)/E63</f>
        <v>10773.130544993663</v>
      </c>
      <c r="H63" s="22">
        <f>D59</f>
        <v>0</v>
      </c>
      <c r="I63" s="17" t="e">
        <f>N1</f>
        <v>#N/A</v>
      </c>
    </row>
  </sheetData>
  <mergeCells count="16">
    <mergeCell ref="A1:B1"/>
    <mergeCell ref="C1:D2"/>
    <mergeCell ref="H1:H3"/>
    <mergeCell ref="A2:B3"/>
    <mergeCell ref="E56:N56"/>
    <mergeCell ref="D46:D47"/>
    <mergeCell ref="E46:F47"/>
    <mergeCell ref="N1:N3"/>
    <mergeCell ref="P10:P11"/>
    <mergeCell ref="E57:N57"/>
    <mergeCell ref="E49:N49"/>
    <mergeCell ref="E50:N50"/>
    <mergeCell ref="E51:N51"/>
    <mergeCell ref="E53:N53"/>
    <mergeCell ref="E54:N54"/>
    <mergeCell ref="E55:N55"/>
  </mergeCells>
  <conditionalFormatting sqref="D3">
    <cfRule type="cellIs" dxfId="89" priority="5" stopIfTrue="1" operator="lessThan">
      <formula>0.95</formula>
    </cfRule>
  </conditionalFormatting>
  <conditionalFormatting sqref="F5:F44">
    <cfRule type="cellIs" dxfId="88" priority="1" stopIfTrue="1" operator="greaterThan">
      <formula>$G5</formula>
    </cfRule>
  </conditionalFormatting>
  <conditionalFormatting sqref="H5:H44">
    <cfRule type="cellIs" dxfId="87" priority="2" stopIfTrue="1" operator="greaterThan">
      <formula>$I$5</formula>
    </cfRule>
  </conditionalFormatting>
  <conditionalFormatting sqref="N1:N3">
    <cfRule type="cellIs" dxfId="86" priority="4" stopIfTrue="1" operator="lessThan">
      <formula>0.8</formula>
    </cfRule>
  </conditionalFormatting>
  <conditionalFormatting sqref="N5:O44">
    <cfRule type="cellIs" dxfId="85" priority="3" stopIfTrue="1" operator="lessThan">
      <formula>0.85</formula>
    </cfRule>
  </conditionalFormatting>
  <hyperlinks>
    <hyperlink ref="P1:P3" location="'Ana Sayfa'!A1" display="ANA SAYFA" xr:uid="{EC2CEE1A-0984-4066-A84A-9F04081FC905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28550-2ACF-4648-86B5-5C8FBF52469E}">
  <sheetPr codeName="Sayfa15">
    <tabColor theme="0" tint="-0.14999847407452621"/>
    <pageSetUpPr fitToPage="1"/>
  </sheetPr>
  <dimension ref="A1:W63"/>
  <sheetViews>
    <sheetView workbookViewId="0">
      <selection activeCell="P26" sqref="P2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'14'!A1+1</f>
        <v>46218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Çarşamba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14505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75</v>
      </c>
      <c r="C5" s="91" t="e">
        <f>IF(ISBLANK(B5),"",VLOOKUP(B5,SÜRELER!$A:$B,2,FALSE))</f>
        <v>#N/A</v>
      </c>
      <c r="D5" s="80">
        <v>145</v>
      </c>
      <c r="E5" s="92" t="e">
        <f>IF(ISBLANK($B5),"0",VLOOKUP($B5,SÜRELER!$A:$C,3,FALSE))*(D5-F5)</f>
        <v>#N/A</v>
      </c>
      <c r="F5" s="81">
        <v>15</v>
      </c>
      <c r="G5" s="93" t="e">
        <f>VLOOKUP(B5,'R.H.'!A$3:C$3974,3,FALSE)*D5/100</f>
        <v>#N/A</v>
      </c>
      <c r="H5" s="82">
        <f>F5/D5</f>
        <v>0.10344827586206896</v>
      </c>
      <c r="I5" s="87" t="e">
        <f>VLOOKUP(B5,'R.H.'!A$3:C$3974,3,FALSE)/100</f>
        <v>#N/A</v>
      </c>
      <c r="J5" s="83">
        <v>0.5</v>
      </c>
      <c r="K5" s="92" t="e">
        <f>E5/J5</f>
        <v>#N/A</v>
      </c>
      <c r="L5" s="84">
        <v>220</v>
      </c>
      <c r="M5" s="84"/>
      <c r="N5" s="94" t="e">
        <f>K5/L5</f>
        <v>#N/A</v>
      </c>
      <c r="O5" s="88" t="e">
        <f t="shared" ref="O5:O44" si="0">K5/(L5-M5)</f>
        <v>#N/A</v>
      </c>
      <c r="P5" s="119"/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76</v>
      </c>
      <c r="C6" s="91" t="e">
        <f>IF(ISBLANK(B6),"",VLOOKUP(B6,SÜRELER!$A:$B,2,FALSE))</f>
        <v>#N/A</v>
      </c>
      <c r="D6" s="80">
        <v>532</v>
      </c>
      <c r="E6" s="92" t="e">
        <f>IF(ISBLANK($B6),"0",VLOOKUP($B6,SÜRELER!$A:$C,3,FALSE))*(D6-F6)</f>
        <v>#N/A</v>
      </c>
      <c r="F6" s="81">
        <v>20</v>
      </c>
      <c r="G6" s="93" t="e">
        <f>VLOOKUP(B6,'R.H.'!A$3:C$3974,3,FALSE)*D6/100</f>
        <v>#N/A</v>
      </c>
      <c r="H6" s="82">
        <f t="shared" ref="H6:H44" si="1">F6/D6</f>
        <v>3.7593984962406013E-2</v>
      </c>
      <c r="I6" s="87" t="e">
        <f>VLOOKUP(B6,'R.H.'!A$3:C$3974,3,FALSE)/100</f>
        <v>#N/A</v>
      </c>
      <c r="J6" s="83">
        <v>0.5</v>
      </c>
      <c r="K6" s="92" t="e">
        <f t="shared" ref="K6:K44" si="2">E6/J6</f>
        <v>#N/A</v>
      </c>
      <c r="L6" s="84">
        <v>860</v>
      </c>
      <c r="M6" s="84"/>
      <c r="N6" s="94" t="e">
        <f t="shared" ref="N6:N44" si="3">K6/L6</f>
        <v>#N/A</v>
      </c>
      <c r="O6" s="88" t="e">
        <f t="shared" si="0"/>
        <v>#N/A</v>
      </c>
      <c r="P6" s="119"/>
      <c r="Q6" s="5"/>
      <c r="R6" s="5"/>
    </row>
    <row r="7" spans="1:23" s="4" customFormat="1" ht="16.5" customHeight="1" x14ac:dyDescent="0.25">
      <c r="A7" s="90">
        <v>3</v>
      </c>
      <c r="B7" s="86">
        <v>710</v>
      </c>
      <c r="C7" s="91" t="e">
        <f>IF(ISBLANK(B7),"",VLOOKUP(B7,SÜRELER!$A:$B,2,FALSE))</f>
        <v>#N/A</v>
      </c>
      <c r="D7" s="80">
        <v>735</v>
      </c>
      <c r="E7" s="92" t="e">
        <f>IF(ISBLANK($B7),"0",VLOOKUP($B7,SÜRELER!$A:$C,3,FALSE))*(D7-F7)</f>
        <v>#N/A</v>
      </c>
      <c r="F7" s="81">
        <v>6</v>
      </c>
      <c r="G7" s="93" t="e">
        <f>VLOOKUP(B7,'R.H.'!A$3:C$3974,3,FALSE)*D7/100</f>
        <v>#N/A</v>
      </c>
      <c r="H7" s="82">
        <f t="shared" si="1"/>
        <v>8.1632653061224497E-3</v>
      </c>
      <c r="I7" s="87" t="e">
        <f>VLOOKUP(B7,'R.H.'!A$3:C$3974,3,FALSE)/100</f>
        <v>#N/A</v>
      </c>
      <c r="J7" s="83">
        <v>0.5</v>
      </c>
      <c r="K7" s="92" t="e">
        <f t="shared" si="2"/>
        <v>#N/A</v>
      </c>
      <c r="L7" s="84">
        <v>800</v>
      </c>
      <c r="M7" s="84"/>
      <c r="N7" s="94" t="e">
        <f t="shared" si="3"/>
        <v>#N/A</v>
      </c>
      <c r="O7" s="88" t="e">
        <f t="shared" si="0"/>
        <v>#N/A</v>
      </c>
      <c r="P7" s="119"/>
      <c r="Q7" s="5"/>
      <c r="R7" s="5"/>
    </row>
    <row r="8" spans="1:23" s="4" customFormat="1" ht="16.5" customHeight="1" x14ac:dyDescent="0.25">
      <c r="A8" s="85">
        <v>4</v>
      </c>
      <c r="B8" s="86">
        <v>711</v>
      </c>
      <c r="C8" s="91" t="e">
        <f>IF(ISBLANK(B8),"",VLOOKUP(B8,SÜRELER!$A:$B,2,FALSE))</f>
        <v>#N/A</v>
      </c>
      <c r="D8" s="80">
        <v>735</v>
      </c>
      <c r="E8" s="92" t="e">
        <f>IF(ISBLANK($B8),"0",VLOOKUP($B8,SÜRELER!$A:$C,3,FALSE))*(D8-F8)</f>
        <v>#N/A</v>
      </c>
      <c r="F8" s="81">
        <v>6</v>
      </c>
      <c r="G8" s="93" t="e">
        <f>VLOOKUP(B8,'R.H.'!A$3:C$3974,3,FALSE)*D8/100</f>
        <v>#N/A</v>
      </c>
      <c r="H8" s="82">
        <f t="shared" si="1"/>
        <v>8.1632653061224497E-3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800</v>
      </c>
      <c r="M8" s="84"/>
      <c r="N8" s="94" t="e">
        <f t="shared" si="3"/>
        <v>#N/A</v>
      </c>
      <c r="O8" s="88" t="e">
        <f t="shared" si="0"/>
        <v>#N/A</v>
      </c>
      <c r="P8" s="119"/>
      <c r="Q8" s="5"/>
      <c r="R8" s="5"/>
    </row>
    <row r="9" spans="1:23" s="4" customFormat="1" ht="16.5" x14ac:dyDescent="0.25">
      <c r="A9" s="90">
        <v>5</v>
      </c>
      <c r="B9" s="86">
        <v>712</v>
      </c>
      <c r="C9" s="91" t="e">
        <f>IF(ISBLANK(B9),"",VLOOKUP(B9,SÜRELER!$A:$B,2,FALSE))</f>
        <v>#N/A</v>
      </c>
      <c r="D9" s="80">
        <v>418</v>
      </c>
      <c r="E9" s="92" t="e">
        <f>IF(ISBLANK($B9),"0",VLOOKUP($B9,SÜRELER!$A:$C,3,FALSE))*(D9-F9)</f>
        <v>#N/A</v>
      </c>
      <c r="F9" s="81">
        <v>4</v>
      </c>
      <c r="G9" s="93" t="e">
        <f>VLOOKUP(B9,'R.H.'!A$3:C$3974,3,FALSE)*D9/100</f>
        <v>#N/A</v>
      </c>
      <c r="H9" s="82">
        <f t="shared" si="1"/>
        <v>9.5693779904306216E-3</v>
      </c>
      <c r="I9" s="87" t="e">
        <f>VLOOKUP(B9,'R.H.'!A$3:C$3974,3,FALSE)/100</f>
        <v>#N/A</v>
      </c>
      <c r="J9" s="83">
        <v>0.5</v>
      </c>
      <c r="K9" s="92" t="e">
        <f t="shared" si="2"/>
        <v>#N/A</v>
      </c>
      <c r="L9" s="84">
        <v>565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713</v>
      </c>
      <c r="C10" s="91" t="e">
        <f>IF(ISBLANK(B10),"",VLOOKUP(B10,SÜRELER!$A:$B,2,FALSE))</f>
        <v>#N/A</v>
      </c>
      <c r="D10" s="80">
        <v>418</v>
      </c>
      <c r="E10" s="92" t="e">
        <f>IF(ISBLANK($B10),"0",VLOOKUP($B10,SÜRELER!$A:$C,3,FALSE))*(D10-F10)</f>
        <v>#N/A</v>
      </c>
      <c r="F10" s="81">
        <v>4</v>
      </c>
      <c r="G10" s="93" t="e">
        <f>VLOOKUP(B10,'R.H.'!A$3:C$3974,3,FALSE)*D10/100</f>
        <v>#N/A</v>
      </c>
      <c r="H10" s="82">
        <f t="shared" si="1"/>
        <v>9.5693779904306216E-3</v>
      </c>
      <c r="I10" s="87" t="e">
        <f>VLOOKUP(B10,'R.H.'!A$3:C$3974,3,FALSE)/100</f>
        <v>#N/A</v>
      </c>
      <c r="J10" s="83">
        <v>0.5</v>
      </c>
      <c r="K10" s="92" t="e">
        <f t="shared" si="2"/>
        <v>#N/A</v>
      </c>
      <c r="L10" s="84">
        <v>565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1008</v>
      </c>
      <c r="C11" s="91" t="e">
        <f>IF(ISBLANK(B11),"",VLOOKUP(B11,SÜRELER!$A:$B,2,FALSE))</f>
        <v>#N/A</v>
      </c>
      <c r="D11" s="80">
        <v>360</v>
      </c>
      <c r="E11" s="92" t="e">
        <f>IF(ISBLANK($B11),"0",VLOOKUP($B11,SÜRELER!$A:$C,3,FALSE))*(D11-F11)</f>
        <v>#N/A</v>
      </c>
      <c r="F11" s="81">
        <v>0</v>
      </c>
      <c r="G11" s="93" t="e">
        <f>VLOOKUP(B11,'R.H.'!A$3:C$3974,3,FALSE)*D11/100</f>
        <v>#N/A</v>
      </c>
      <c r="H11" s="82">
        <f t="shared" si="1"/>
        <v>0</v>
      </c>
      <c r="I11" s="87" t="e">
        <f>VLOOKUP(B11,'R.H.'!A$3:C$3974,3,FALSE)/100</f>
        <v>#N/A</v>
      </c>
      <c r="J11" s="83">
        <v>0.5</v>
      </c>
      <c r="K11" s="92" t="e">
        <f t="shared" si="2"/>
        <v>#N/A</v>
      </c>
      <c r="L11" s="84">
        <v>300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1009</v>
      </c>
      <c r="C12" s="91" t="e">
        <f>IF(ISBLANK(B12),"",VLOOKUP(B12,SÜRELER!$A:$B,2,FALSE))</f>
        <v>#N/A</v>
      </c>
      <c r="D12" s="80">
        <v>360</v>
      </c>
      <c r="E12" s="92" t="e">
        <f>IF(ISBLANK($B12),"0",VLOOKUP($B12,SÜRELER!$A:$C,3,FALSE))*(D12-F12)</f>
        <v>#N/A</v>
      </c>
      <c r="F12" s="81">
        <v>0</v>
      </c>
      <c r="G12" s="93" t="e">
        <f>VLOOKUP(B12,'R.H.'!A$3:C$3974,3,FALSE)*D12/100</f>
        <v>#N/A</v>
      </c>
      <c r="H12" s="82">
        <f t="shared" si="1"/>
        <v>0</v>
      </c>
      <c r="I12" s="87" t="e">
        <f>VLOOKUP(B12,'R.H.'!A$3:C$3974,3,FALSE)/100</f>
        <v>#N/A</v>
      </c>
      <c r="J12" s="83">
        <v>0.5</v>
      </c>
      <c r="K12" s="92" t="e">
        <f t="shared" si="2"/>
        <v>#N/A</v>
      </c>
      <c r="L12" s="84">
        <v>300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1295</v>
      </c>
      <c r="C13" s="91" t="e">
        <f>IF(ISBLANK(B13),"",VLOOKUP(B13,SÜRELER!$A:$B,2,FALSE))</f>
        <v>#N/A</v>
      </c>
      <c r="D13" s="80">
        <v>390</v>
      </c>
      <c r="E13" s="92" t="e">
        <f>IF(ISBLANK($B13),"0",VLOOKUP($B13,SÜRELER!$A:$C,3,FALSE))*(D13-F13)</f>
        <v>#N/A</v>
      </c>
      <c r="F13" s="81">
        <v>0</v>
      </c>
      <c r="G13" s="93" t="e">
        <f>VLOOKUP(B13,'R.H.'!A$3:C$3974,3,FALSE)*D13/100</f>
        <v>#N/A</v>
      </c>
      <c r="H13" s="82">
        <f t="shared" si="1"/>
        <v>0</v>
      </c>
      <c r="I13" s="87" t="e">
        <f>VLOOKUP(B13,'R.H.'!A$3:C$3974,3,FALSE)/100</f>
        <v>#N/A</v>
      </c>
      <c r="J13" s="83">
        <v>1</v>
      </c>
      <c r="K13" s="92" t="e">
        <f t="shared" si="2"/>
        <v>#N/A</v>
      </c>
      <c r="L13" s="84">
        <v>350</v>
      </c>
      <c r="M13" s="84"/>
      <c r="N13" s="94" t="e">
        <f t="shared" si="3"/>
        <v>#N/A</v>
      </c>
      <c r="O13" s="88" t="e">
        <f t="shared" si="0"/>
        <v>#N/A</v>
      </c>
      <c r="P13" s="165" t="s">
        <v>3376</v>
      </c>
      <c r="Q13" s="5"/>
      <c r="R13" s="5"/>
    </row>
    <row r="14" spans="1:23" s="4" customFormat="1" ht="16.75" customHeight="1" x14ac:dyDescent="0.25">
      <c r="A14" s="85">
        <v>10</v>
      </c>
      <c r="B14" s="86">
        <v>1298</v>
      </c>
      <c r="C14" s="91" t="e">
        <f>IF(ISBLANK(B14),"",VLOOKUP(B14,SÜRELER!$A:$B,2,FALSE))</f>
        <v>#N/A</v>
      </c>
      <c r="D14" s="80">
        <v>703</v>
      </c>
      <c r="E14" s="92" t="e">
        <f>IF(ISBLANK($B14),"0",VLOOKUP($B14,SÜRELER!$A:$C,3,FALSE))*(D14-F14)</f>
        <v>#N/A</v>
      </c>
      <c r="F14" s="81">
        <v>7</v>
      </c>
      <c r="G14" s="93" t="e">
        <f>VLOOKUP(B14,'R.H.'!A$3:C$3974,3,FALSE)*D14/100</f>
        <v>#N/A</v>
      </c>
      <c r="H14" s="82">
        <f t="shared" si="1"/>
        <v>9.9573257467994308E-3</v>
      </c>
      <c r="I14" s="87" t="e">
        <f>VLOOKUP(B14,'R.H.'!A$3:C$3974,3,FALSE)/100</f>
        <v>#N/A</v>
      </c>
      <c r="J14" s="83">
        <v>0.5</v>
      </c>
      <c r="K14" s="92" t="e">
        <f t="shared" si="2"/>
        <v>#N/A</v>
      </c>
      <c r="L14" s="84">
        <v>705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1299</v>
      </c>
      <c r="C15" s="91" t="e">
        <f>IF(ISBLANK(B15),"",VLOOKUP(B15,SÜRELER!$A:$B,2,FALSE))</f>
        <v>#N/A</v>
      </c>
      <c r="D15" s="80">
        <v>703</v>
      </c>
      <c r="E15" s="92" t="e">
        <f>IF(ISBLANK($B15),"0",VLOOKUP($B15,SÜRELER!$A:$C,3,FALSE))*(D15-F15)</f>
        <v>#N/A</v>
      </c>
      <c r="F15" s="81">
        <v>7</v>
      </c>
      <c r="G15" s="93" t="e">
        <f>VLOOKUP(B15,'R.H.'!A$3:C$3974,3,FALSE)*D15/100</f>
        <v>#N/A</v>
      </c>
      <c r="H15" s="82">
        <f t="shared" si="1"/>
        <v>9.9573257467994308E-3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705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1320</v>
      </c>
      <c r="C16" s="91" t="e">
        <f>IF(ISBLANK(B16),"",VLOOKUP(B16,SÜRELER!$A:$B,2,FALSE))</f>
        <v>#N/A</v>
      </c>
      <c r="D16" s="80">
        <v>579</v>
      </c>
      <c r="E16" s="92" t="e">
        <f>IF(ISBLANK($B16),"0",VLOOKUP($B16,SÜRELER!$A:$C,3,FALSE))*(D16-F16)</f>
        <v>#N/A</v>
      </c>
      <c r="F16" s="81">
        <v>0</v>
      </c>
      <c r="G16" s="93" t="e">
        <f>VLOOKUP(B16,'R.H.'!A$3:C$3974,3,FALSE)*D16/100</f>
        <v>#N/A</v>
      </c>
      <c r="H16" s="82">
        <f t="shared" si="1"/>
        <v>0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410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1321</v>
      </c>
      <c r="C17" s="91" t="e">
        <f>IF(ISBLANK(B17),"",VLOOKUP(B17,SÜRELER!$A:$B,2,FALSE))</f>
        <v>#N/A</v>
      </c>
      <c r="D17" s="80">
        <v>579</v>
      </c>
      <c r="E17" s="92" t="e">
        <f>IF(ISBLANK($B17),"0",VLOOKUP($B17,SÜRELER!$A:$C,3,FALSE))*(D17-F17)</f>
        <v>#N/A</v>
      </c>
      <c r="F17" s="81">
        <v>0</v>
      </c>
      <c r="G17" s="93" t="e">
        <f>VLOOKUP(B17,'R.H.'!A$3:C$3974,3,FALSE)*D17/100</f>
        <v>#N/A</v>
      </c>
      <c r="H17" s="82">
        <f t="shared" si="1"/>
        <v>0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410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1330</v>
      </c>
      <c r="C18" s="91" t="e">
        <f>IF(ISBLANK(B18),"",VLOOKUP(B18,SÜRELER!$A:$B,2,FALSE))</f>
        <v>#N/A</v>
      </c>
      <c r="D18" s="80">
        <v>640</v>
      </c>
      <c r="E18" s="92" t="e">
        <f>IF(ISBLANK($B18),"0",VLOOKUP($B18,SÜRELER!$A:$C,3,FALSE))*(D18-F18)</f>
        <v>#N/A</v>
      </c>
      <c r="F18" s="81">
        <v>0</v>
      </c>
      <c r="G18" s="93" t="e">
        <f>VLOOKUP(B18,'R.H.'!A$3:C$3974,3,FALSE)*D18/100</f>
        <v>#N/A</v>
      </c>
      <c r="H18" s="82">
        <f t="shared" si="1"/>
        <v>0</v>
      </c>
      <c r="I18" s="87" t="e">
        <f>VLOOKUP(B18,'R.H.'!A$3:C$3974,3,FALSE)/100</f>
        <v>#N/A</v>
      </c>
      <c r="J18" s="83">
        <v>0.5</v>
      </c>
      <c r="K18" s="92" t="e">
        <f t="shared" si="2"/>
        <v>#N/A</v>
      </c>
      <c r="L18" s="84">
        <v>275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1331</v>
      </c>
      <c r="C19" s="91" t="e">
        <f>IF(ISBLANK(B19),"",VLOOKUP(B19,SÜRELER!$A:$B,2,FALSE))</f>
        <v>#N/A</v>
      </c>
      <c r="D19" s="80">
        <v>640</v>
      </c>
      <c r="E19" s="92" t="e">
        <f>IF(ISBLANK($B19),"0",VLOOKUP($B19,SÜRELER!$A:$C,3,FALSE))*(D19-F19)</f>
        <v>#N/A</v>
      </c>
      <c r="F19" s="81">
        <v>0</v>
      </c>
      <c r="G19" s="93" t="e">
        <f>VLOOKUP(B19,'R.H.'!A$3:C$3974,3,FALSE)*D19/100</f>
        <v>#N/A</v>
      </c>
      <c r="H19" s="82">
        <f t="shared" si="1"/>
        <v>0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275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1347</v>
      </c>
      <c r="C20" s="91" t="e">
        <f>IF(ISBLANK(B20),"",VLOOKUP(B20,SÜRELER!$A:$B,2,FALSE))</f>
        <v>#N/A</v>
      </c>
      <c r="D20" s="80">
        <v>600</v>
      </c>
      <c r="E20" s="92" t="e">
        <f>IF(ISBLANK($B20),"0",VLOOKUP($B20,SÜRELER!$A:$C,3,FALSE))*(D20-F20)</f>
        <v>#N/A</v>
      </c>
      <c r="F20" s="81">
        <v>20</v>
      </c>
      <c r="G20" s="93" t="e">
        <f>VLOOKUP(B20,'R.H.'!A$3:C$3974,3,FALSE)*D20/100</f>
        <v>#N/A</v>
      </c>
      <c r="H20" s="82">
        <f t="shared" si="1"/>
        <v>3.3333333333333333E-2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590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1348</v>
      </c>
      <c r="C21" s="91" t="e">
        <f>IF(ISBLANK(B21),"",VLOOKUP(B21,SÜRELER!$A:$B,2,FALSE))</f>
        <v>#N/A</v>
      </c>
      <c r="D21" s="80">
        <v>600</v>
      </c>
      <c r="E21" s="92" t="e">
        <f>IF(ISBLANK($B21),"0",VLOOKUP($B21,SÜRELER!$A:$C,3,FALSE))*(D21-F21)</f>
        <v>#N/A</v>
      </c>
      <c r="F21" s="81">
        <v>20</v>
      </c>
      <c r="G21" s="93" t="e">
        <f>VLOOKUP(B21,'R.H.'!A$3:C$3974,3,FALSE)*D21/100</f>
        <v>#N/A</v>
      </c>
      <c r="H21" s="82">
        <f t="shared" si="1"/>
        <v>3.3333333333333333E-2</v>
      </c>
      <c r="I21" s="87" t="e">
        <f>VLOOKUP(B21,'R.H.'!A$3:C$3974,3,FALSE)/100</f>
        <v>#N/A</v>
      </c>
      <c r="J21" s="83">
        <v>0.57999999999999996</v>
      </c>
      <c r="K21" s="92" t="e">
        <f t="shared" si="2"/>
        <v>#N/A</v>
      </c>
      <c r="L21" s="84">
        <v>510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1358</v>
      </c>
      <c r="C22" s="91" t="e">
        <f>IF(ISBLANK(B22),"",VLOOKUP(B22,SÜRELER!$A:$B,2,FALSE))</f>
        <v>#N/A</v>
      </c>
      <c r="D22" s="80">
        <v>430</v>
      </c>
      <c r="E22" s="92" t="e">
        <f>IF(ISBLANK($B22),"0",VLOOKUP($B22,SÜRELER!$A:$C,3,FALSE))*(D22-F22)</f>
        <v>#N/A</v>
      </c>
      <c r="F22" s="81">
        <v>5</v>
      </c>
      <c r="G22" s="93" t="e">
        <f>VLOOKUP(B22,'R.H.'!A$3:C$3974,3,FALSE)*D22/100</f>
        <v>#N/A</v>
      </c>
      <c r="H22" s="82">
        <f t="shared" si="1"/>
        <v>1.1627906976744186E-2</v>
      </c>
      <c r="I22" s="87" t="e">
        <f>VLOOKUP(B22,'R.H.'!A$3:C$3974,3,FALSE)/100</f>
        <v>#N/A</v>
      </c>
      <c r="J22" s="83">
        <v>0.5</v>
      </c>
      <c r="K22" s="92" t="e">
        <f t="shared" si="2"/>
        <v>#N/A</v>
      </c>
      <c r="L22" s="84">
        <v>645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1359</v>
      </c>
      <c r="C23" s="91" t="e">
        <f>IF(ISBLANK(B23),"",VLOOKUP(B23,SÜRELER!$A:$B,2,FALSE))</f>
        <v>#N/A</v>
      </c>
      <c r="D23" s="80">
        <v>430</v>
      </c>
      <c r="E23" s="92" t="e">
        <f>IF(ISBLANK($B23),"0",VLOOKUP($B23,SÜRELER!$A:$C,3,FALSE))*(D23-F23)</f>
        <v>#N/A</v>
      </c>
      <c r="F23" s="81">
        <v>5</v>
      </c>
      <c r="G23" s="93" t="e">
        <f>VLOOKUP(B23,'R.H.'!A$3:C$3974,3,FALSE)*D23/100</f>
        <v>#N/A</v>
      </c>
      <c r="H23" s="82">
        <f t="shared" si="1"/>
        <v>1.1627906976744186E-2</v>
      </c>
      <c r="I23" s="87" t="e">
        <f>VLOOKUP(B23,'R.H.'!A$3:C$3974,3,FALSE)/100</f>
        <v>#N/A</v>
      </c>
      <c r="J23" s="83">
        <v>0.5</v>
      </c>
      <c r="K23" s="92" t="e">
        <f t="shared" si="2"/>
        <v>#N/A</v>
      </c>
      <c r="L23" s="84">
        <v>645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1589</v>
      </c>
      <c r="C24" s="91" t="e">
        <f>IF(ISBLANK(B24),"",VLOOKUP(B24,SÜRELER!$A:$B,2,FALSE))</f>
        <v>#N/A</v>
      </c>
      <c r="D24" s="80">
        <v>670</v>
      </c>
      <c r="E24" s="92" t="e">
        <f>IF(ISBLANK($B24),"0",VLOOKUP($B24,SÜRELER!$A:$C,3,FALSE))*(D24-F24)</f>
        <v>#N/A</v>
      </c>
      <c r="F24" s="81">
        <v>0</v>
      </c>
      <c r="G24" s="93" t="e">
        <f>VLOOKUP(B24,'R.H.'!A$3:C$3974,3,FALSE)*D24/100</f>
        <v>#N/A</v>
      </c>
      <c r="H24" s="82">
        <f t="shared" si="1"/>
        <v>0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550</v>
      </c>
      <c r="M24" s="84"/>
      <c r="N24" s="94" t="e">
        <f t="shared" si="3"/>
        <v>#N/A</v>
      </c>
      <c r="O24" s="88" t="e">
        <f t="shared" si="0"/>
        <v>#N/A</v>
      </c>
      <c r="P24" s="193" t="s">
        <v>3377</v>
      </c>
      <c r="Q24" s="5"/>
      <c r="R24" s="5"/>
    </row>
    <row r="25" spans="1:18" s="4" customFormat="1" ht="16.75" customHeight="1" x14ac:dyDescent="0.25">
      <c r="A25" s="90">
        <v>21</v>
      </c>
      <c r="B25" s="86">
        <v>1590</v>
      </c>
      <c r="C25" s="91" t="e">
        <f>IF(ISBLANK(B25),"",VLOOKUP(B25,SÜRELER!$A:$B,2,FALSE))</f>
        <v>#N/A</v>
      </c>
      <c r="D25" s="80">
        <v>670</v>
      </c>
      <c r="E25" s="92" t="e">
        <f>IF(ISBLANK($B25),"0",VLOOKUP($B25,SÜRELER!$A:$C,3,FALSE))*(D25-F25)</f>
        <v>#N/A</v>
      </c>
      <c r="F25" s="81">
        <v>0</v>
      </c>
      <c r="G25" s="93" t="e">
        <f>VLOOKUP(B25,'R.H.'!A$3:C$3974,3,FALSE)*D25/100</f>
        <v>#N/A</v>
      </c>
      <c r="H25" s="82">
        <f t="shared" si="1"/>
        <v>0</v>
      </c>
      <c r="I25" s="87" t="e">
        <f>VLOOKUP(B25,'R.H.'!A$3:C$3974,3,FALSE)/100</f>
        <v>#N/A</v>
      </c>
      <c r="J25" s="83">
        <v>0.5</v>
      </c>
      <c r="K25" s="92" t="e">
        <f t="shared" si="2"/>
        <v>#N/A</v>
      </c>
      <c r="L25" s="84">
        <v>550</v>
      </c>
      <c r="M25" s="84"/>
      <c r="N25" s="94" t="e">
        <f t="shared" si="3"/>
        <v>#N/A</v>
      </c>
      <c r="O25" s="88" t="e">
        <f t="shared" si="0"/>
        <v>#N/A</v>
      </c>
      <c r="P25" s="194"/>
      <c r="Q25" s="5"/>
      <c r="R25" s="5"/>
    </row>
    <row r="26" spans="1:18" s="4" customFormat="1" ht="16.75" customHeight="1" x14ac:dyDescent="0.25">
      <c r="A26" s="85">
        <v>22</v>
      </c>
      <c r="B26" s="86">
        <v>1657</v>
      </c>
      <c r="C26" s="91" t="e">
        <f>IF(ISBLANK(B26),"",VLOOKUP(B26,SÜRELER!$A:$B,2,FALSE))</f>
        <v>#N/A</v>
      </c>
      <c r="D26" s="80">
        <v>1144</v>
      </c>
      <c r="E26" s="92" t="e">
        <f>IF(ISBLANK($B26),"0",VLOOKUP($B26,SÜRELER!$A:$C,3,FALSE))*(D26-F26)</f>
        <v>#N/A</v>
      </c>
      <c r="F26" s="81">
        <v>0</v>
      </c>
      <c r="G26" s="93" t="e">
        <f>VLOOKUP(B26,'R.H.'!A$3:C$3974,3,FALSE)*D26/100</f>
        <v>#N/A</v>
      </c>
      <c r="H26" s="82">
        <f t="shared" si="1"/>
        <v>0</v>
      </c>
      <c r="I26" s="87" t="e">
        <f>VLOOKUP(B26,'R.H.'!A$3:C$3974,3,FALSE)/100</f>
        <v>#N/A</v>
      </c>
      <c r="J26" s="83">
        <v>1</v>
      </c>
      <c r="K26" s="92" t="e">
        <f t="shared" si="2"/>
        <v>#N/A</v>
      </c>
      <c r="L26" s="84">
        <v>465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2035</v>
      </c>
      <c r="C27" s="91" t="e">
        <f>IF(ISBLANK(B27),"",VLOOKUP(B27,SÜRELER!$A:$B,2,FALSE))</f>
        <v>#N/A</v>
      </c>
      <c r="D27" s="80">
        <v>112</v>
      </c>
      <c r="E27" s="92" t="e">
        <f>IF(ISBLANK($B27),"0",VLOOKUP($B27,SÜRELER!$A:$C,3,FALSE))*(D27-F27)</f>
        <v>#N/A</v>
      </c>
      <c r="F27" s="81">
        <v>0</v>
      </c>
      <c r="G27" s="93" t="e">
        <f>VLOOKUP(B27,'R.H.'!A$3:C$3974,3,FALSE)*D27/100</f>
        <v>#N/A</v>
      </c>
      <c r="H27" s="82">
        <f t="shared" si="1"/>
        <v>0</v>
      </c>
      <c r="I27" s="87" t="e">
        <f>VLOOKUP(B27,'R.H.'!A$3:C$3974,3,FALSE)/100</f>
        <v>#N/A</v>
      </c>
      <c r="J27" s="83">
        <v>0.5</v>
      </c>
      <c r="K27" s="92" t="e">
        <f t="shared" si="2"/>
        <v>#N/A</v>
      </c>
      <c r="L27" s="84">
        <v>80</v>
      </c>
      <c r="M27" s="84"/>
      <c r="N27" s="94" t="e">
        <f t="shared" si="3"/>
        <v>#N/A</v>
      </c>
      <c r="O27" s="88" t="e">
        <f t="shared" si="0"/>
        <v>#N/A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>
        <v>2036</v>
      </c>
      <c r="C28" s="91" t="e">
        <f>IF(ISBLANK(B28),"",VLOOKUP(B28,SÜRELER!$A:$B,2,FALSE))</f>
        <v>#N/A</v>
      </c>
      <c r="D28" s="80">
        <v>112</v>
      </c>
      <c r="E28" s="92" t="e">
        <f>IF(ISBLANK($B28),"0",VLOOKUP($B28,SÜRELER!$A:$C,3,FALSE))*(D28-F28)</f>
        <v>#N/A</v>
      </c>
      <c r="F28" s="81">
        <v>0</v>
      </c>
      <c r="G28" s="93" t="e">
        <f>VLOOKUP(B28,'R.H.'!A$3:C$3974,3,FALSE)*D28/100</f>
        <v>#N/A</v>
      </c>
      <c r="H28" s="82">
        <f t="shared" si="1"/>
        <v>0</v>
      </c>
      <c r="I28" s="87" t="e">
        <f>VLOOKUP(B28,'R.H.'!A$3:C$3974,3,FALSE)/100</f>
        <v>#N/A</v>
      </c>
      <c r="J28" s="83">
        <v>0.5</v>
      </c>
      <c r="K28" s="92" t="e">
        <f t="shared" si="2"/>
        <v>#N/A</v>
      </c>
      <c r="L28" s="84">
        <v>80</v>
      </c>
      <c r="M28" s="84"/>
      <c r="N28" s="94" t="e">
        <f t="shared" si="3"/>
        <v>#N/A</v>
      </c>
      <c r="O28" s="88" t="e">
        <f t="shared" si="0"/>
        <v>#N/A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>
        <v>2070</v>
      </c>
      <c r="C29" s="91" t="e">
        <f>IF(ISBLANK(B29),"",VLOOKUP(B29,SÜRELER!$A:$B,2,FALSE))</f>
        <v>#N/A</v>
      </c>
      <c r="D29" s="80">
        <v>900</v>
      </c>
      <c r="E29" s="92" t="e">
        <f>IF(ISBLANK($B29),"0",VLOOKUP($B29,SÜRELER!$A:$C,3,FALSE))*(D29-F29)</f>
        <v>#N/A</v>
      </c>
      <c r="F29" s="81"/>
      <c r="G29" s="93" t="e">
        <f>VLOOKUP(B29,'R.H.'!A$3:C$3974,3,FALSE)*D29/100</f>
        <v>#N/A</v>
      </c>
      <c r="H29" s="82">
        <f t="shared" si="1"/>
        <v>0</v>
      </c>
      <c r="I29" s="87" t="e">
        <f>VLOOKUP(B29,'R.H.'!A$3:C$3974,3,FALSE)/100</f>
        <v>#N/A</v>
      </c>
      <c r="J29" s="83">
        <v>0.5</v>
      </c>
      <c r="K29" s="92" t="e">
        <f t="shared" si="2"/>
        <v>#N/A</v>
      </c>
      <c r="L29" s="84">
        <v>840</v>
      </c>
      <c r="M29" s="84"/>
      <c r="N29" s="94" t="e">
        <f t="shared" si="3"/>
        <v>#N/A</v>
      </c>
      <c r="O29" s="88" t="e">
        <f t="shared" si="0"/>
        <v>#N/A</v>
      </c>
      <c r="P29" s="119"/>
      <c r="Q29" s="5"/>
      <c r="R29" s="5"/>
    </row>
    <row r="30" spans="1:18" s="4" customFormat="1" ht="16.5" x14ac:dyDescent="0.25">
      <c r="A30" s="85">
        <v>26</v>
      </c>
      <c r="B30" s="86">
        <v>2071</v>
      </c>
      <c r="C30" s="91" t="e">
        <f>IF(ISBLANK(B30),"",VLOOKUP(B30,SÜRELER!$A:$B,2,FALSE))</f>
        <v>#N/A</v>
      </c>
      <c r="D30" s="80">
        <v>900</v>
      </c>
      <c r="E30" s="92" t="e">
        <f>IF(ISBLANK($B30),"0",VLOOKUP($B30,SÜRELER!$A:$C,3,FALSE))*(D30-F30)</f>
        <v>#N/A</v>
      </c>
      <c r="F30" s="81"/>
      <c r="G30" s="93" t="e">
        <f>VLOOKUP(B30,'R.H.'!A$3:C$3974,3,FALSE)*D30/100</f>
        <v>#N/A</v>
      </c>
      <c r="H30" s="82">
        <f t="shared" si="1"/>
        <v>0</v>
      </c>
      <c r="I30" s="87" t="e">
        <f>VLOOKUP(B30,'R.H.'!A$3:C$3974,3,FALSE)/100</f>
        <v>#N/A</v>
      </c>
      <c r="J30" s="83">
        <v>0.5</v>
      </c>
      <c r="K30" s="92" t="e">
        <f t="shared" si="2"/>
        <v>#N/A</v>
      </c>
      <c r="L30" s="84">
        <v>840</v>
      </c>
      <c r="M30" s="84"/>
      <c r="N30" s="94" t="e">
        <f t="shared" si="3"/>
        <v>#N/A</v>
      </c>
      <c r="O30" s="88" t="e">
        <f t="shared" si="0"/>
        <v>#N/A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14505</v>
      </c>
      <c r="E45" s="26" t="e">
        <f>SUM(E5:E44)</f>
        <v>#N/A</v>
      </c>
      <c r="F45" s="26">
        <f>SUM(F5:F44)</f>
        <v>119</v>
      </c>
      <c r="G45" s="26"/>
      <c r="H45" s="26"/>
      <c r="I45" s="26"/>
      <c r="J45" s="26"/>
      <c r="K45" s="26"/>
      <c r="L45" s="26">
        <f>SUM(L5:L44)</f>
        <v>13335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0.82040675629093418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12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7240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>
        <v>175</v>
      </c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7065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175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14505</v>
      </c>
      <c r="F63" s="24">
        <f>F45</f>
        <v>119</v>
      </c>
      <c r="G63" s="23">
        <f>(F63*1000000)/E63</f>
        <v>8204.0675629093421</v>
      </c>
      <c r="H63" s="22">
        <f>D59</f>
        <v>175</v>
      </c>
      <c r="I63" s="17" t="e">
        <f>N1</f>
        <v>#N/A</v>
      </c>
    </row>
  </sheetData>
  <mergeCells count="16">
    <mergeCell ref="P24:P25"/>
    <mergeCell ref="N1:N3"/>
    <mergeCell ref="A2:B3"/>
    <mergeCell ref="E56:N56"/>
    <mergeCell ref="E57:N57"/>
    <mergeCell ref="E49:N49"/>
    <mergeCell ref="E50:N50"/>
    <mergeCell ref="E51:N51"/>
    <mergeCell ref="E53:N53"/>
    <mergeCell ref="E54:N54"/>
    <mergeCell ref="E55:N55"/>
    <mergeCell ref="D46:D47"/>
    <mergeCell ref="E46:F47"/>
    <mergeCell ref="A1:B1"/>
    <mergeCell ref="C1:D2"/>
    <mergeCell ref="H1:H3"/>
  </mergeCells>
  <conditionalFormatting sqref="D3">
    <cfRule type="cellIs" dxfId="84" priority="5" stopIfTrue="1" operator="lessThan">
      <formula>0.95</formula>
    </cfRule>
  </conditionalFormatting>
  <conditionalFormatting sqref="F5:F44">
    <cfRule type="cellIs" dxfId="83" priority="1" stopIfTrue="1" operator="greaterThan">
      <formula>$G5</formula>
    </cfRule>
  </conditionalFormatting>
  <conditionalFormatting sqref="H5:H44">
    <cfRule type="cellIs" dxfId="82" priority="2" stopIfTrue="1" operator="greaterThan">
      <formula>$I$5</formula>
    </cfRule>
  </conditionalFormatting>
  <conditionalFormatting sqref="N1:N3">
    <cfRule type="cellIs" dxfId="81" priority="4" stopIfTrue="1" operator="lessThan">
      <formula>0.8</formula>
    </cfRule>
  </conditionalFormatting>
  <conditionalFormatting sqref="N5:O44">
    <cfRule type="cellIs" dxfId="80" priority="3" stopIfTrue="1" operator="lessThan">
      <formula>0.85</formula>
    </cfRule>
  </conditionalFormatting>
  <hyperlinks>
    <hyperlink ref="P1:P3" location="'Ana Sayfa'!A1" display="ANA SAYFA" xr:uid="{DA744BB6-6847-43E2-AE08-30FE4B4F42D1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879F8-0BB1-4857-9579-1A63190A4FB9}">
  <sheetPr codeName="Sayfa16">
    <tabColor theme="0" tint="-0.14999847407452621"/>
    <pageSetUpPr fitToPage="1"/>
  </sheetPr>
  <dimension ref="A1:W63"/>
  <sheetViews>
    <sheetView workbookViewId="0">
      <selection activeCell="D51" sqref="D51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'15'!A1+1</f>
        <v>46219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Perşembe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11692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2102</v>
      </c>
      <c r="C5" s="91" t="e">
        <f>IF(ISBLANK(B5),"",VLOOKUP(B5,SÜRELER!$A:$B,2,FALSE))</f>
        <v>#N/A</v>
      </c>
      <c r="D5" s="80">
        <v>248</v>
      </c>
      <c r="E5" s="92" t="e">
        <f>IF(ISBLANK($B5),"0",VLOOKUP($B5,SÜRELER!$A:$C,3,FALSE))*(D5-F5)</f>
        <v>#N/A</v>
      </c>
      <c r="F5" s="81">
        <v>8</v>
      </c>
      <c r="G5" s="93" t="e">
        <f>VLOOKUP(B5,'R.H.'!A$3:C$3974,3,FALSE)*D5/100</f>
        <v>#N/A</v>
      </c>
      <c r="H5" s="82">
        <f>F5/D5</f>
        <v>3.2258064516129031E-2</v>
      </c>
      <c r="I5" s="87" t="e">
        <f>VLOOKUP(B5,'R.H.'!A$3:C$3974,3,FALSE)/100</f>
        <v>#N/A</v>
      </c>
      <c r="J5" s="83">
        <v>0.5</v>
      </c>
      <c r="K5" s="92" t="e">
        <f>E5/J5</f>
        <v>#N/A</v>
      </c>
      <c r="L5" s="84">
        <v>600</v>
      </c>
      <c r="M5" s="84"/>
      <c r="N5" s="94" t="e">
        <f>K5/L5</f>
        <v>#N/A</v>
      </c>
      <c r="O5" s="88" t="e">
        <f t="shared" ref="O5:O44" si="0">K5/(L5-M5)</f>
        <v>#N/A</v>
      </c>
      <c r="P5" s="193" t="s">
        <v>3433</v>
      </c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2103</v>
      </c>
      <c r="C6" s="91" t="e">
        <f>IF(ISBLANK(B6),"",VLOOKUP(B6,SÜRELER!$A:$B,2,FALSE))</f>
        <v>#N/A</v>
      </c>
      <c r="D6" s="80">
        <v>224</v>
      </c>
      <c r="E6" s="92" t="e">
        <f>IF(ISBLANK($B6),"0",VLOOKUP($B6,SÜRELER!$A:$C,3,FALSE))*(D6-F6)</f>
        <v>#N/A</v>
      </c>
      <c r="F6" s="81">
        <v>8</v>
      </c>
      <c r="G6" s="93" t="e">
        <f>VLOOKUP(B6,'R.H.'!A$3:C$3974,3,FALSE)*D6/100</f>
        <v>#N/A</v>
      </c>
      <c r="H6" s="82">
        <f t="shared" ref="H6:H44" si="1">F6/D6</f>
        <v>3.5714285714285712E-2</v>
      </c>
      <c r="I6" s="87" t="e">
        <f>VLOOKUP(B6,'R.H.'!A$3:C$3974,3,FALSE)/100</f>
        <v>#N/A</v>
      </c>
      <c r="J6" s="83">
        <v>0.5</v>
      </c>
      <c r="K6" s="92" t="e">
        <f t="shared" ref="K6:K44" si="2">E6/J6</f>
        <v>#N/A</v>
      </c>
      <c r="L6" s="84">
        <v>600</v>
      </c>
      <c r="M6" s="84"/>
      <c r="N6" s="94" t="e">
        <f t="shared" ref="N6:N44" si="3">K6/L6</f>
        <v>#N/A</v>
      </c>
      <c r="O6" s="88" t="e">
        <f t="shared" si="0"/>
        <v>#N/A</v>
      </c>
      <c r="P6" s="194"/>
      <c r="Q6" s="5"/>
      <c r="R6" s="5"/>
    </row>
    <row r="7" spans="1:23" s="4" customFormat="1" ht="16.5" customHeight="1" x14ac:dyDescent="0.25">
      <c r="A7" s="90">
        <v>3</v>
      </c>
      <c r="B7" s="86">
        <v>1405</v>
      </c>
      <c r="C7" s="91" t="e">
        <f>IF(ISBLANK(B7),"",VLOOKUP(B7,SÜRELER!$A:$B,2,FALSE))</f>
        <v>#N/A</v>
      </c>
      <c r="D7" s="80">
        <f>120+182</f>
        <v>302</v>
      </c>
      <c r="E7" s="92" t="e">
        <f>IF(ISBLANK($B7),"0",VLOOKUP($B7,SÜRELER!$A:$C,3,FALSE))*(D7-F7)</f>
        <v>#N/A</v>
      </c>
      <c r="F7" s="81">
        <v>4</v>
      </c>
      <c r="G7" s="93" t="e">
        <f>VLOOKUP(B7,'R.H.'!A$3:C$3974,3,FALSE)*D7/100</f>
        <v>#N/A</v>
      </c>
      <c r="H7" s="82">
        <f t="shared" si="1"/>
        <v>1.3245033112582781E-2</v>
      </c>
      <c r="I7" s="87" t="e">
        <f>VLOOKUP(B7,'R.H.'!A$3:C$3974,3,FALSE)/100</f>
        <v>#N/A</v>
      </c>
      <c r="J7" s="83">
        <v>1</v>
      </c>
      <c r="K7" s="92" t="e">
        <f t="shared" si="2"/>
        <v>#N/A</v>
      </c>
      <c r="L7" s="84">
        <v>270</v>
      </c>
      <c r="M7" s="84"/>
      <c r="N7" s="94" t="e">
        <f t="shared" si="3"/>
        <v>#N/A</v>
      </c>
      <c r="O7" s="88" t="e">
        <f t="shared" si="0"/>
        <v>#N/A</v>
      </c>
      <c r="P7" s="119"/>
      <c r="Q7" s="5"/>
      <c r="R7" s="5"/>
    </row>
    <row r="8" spans="1:23" s="4" customFormat="1" ht="16.5" customHeight="1" x14ac:dyDescent="0.25">
      <c r="A8" s="85">
        <v>4</v>
      </c>
      <c r="B8" s="86">
        <v>742</v>
      </c>
      <c r="C8" s="91" t="e">
        <f>IF(ISBLANK(B8),"",VLOOKUP(B8,SÜRELER!$A:$B,2,FALSE))</f>
        <v>#N/A</v>
      </c>
      <c r="D8" s="80">
        <v>464</v>
      </c>
      <c r="E8" s="92" t="e">
        <f>IF(ISBLANK($B8),"0",VLOOKUP($B8,SÜRELER!$A:$C,3,FALSE))*(D8-F8)</f>
        <v>#N/A</v>
      </c>
      <c r="F8" s="81">
        <v>5</v>
      </c>
      <c r="G8" s="93" t="e">
        <f>VLOOKUP(B8,'R.H.'!A$3:C$3974,3,FALSE)*D8/100</f>
        <v>#N/A</v>
      </c>
      <c r="H8" s="82">
        <f t="shared" si="1"/>
        <v>1.0775862068965518E-2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396</v>
      </c>
      <c r="M8" s="84"/>
      <c r="N8" s="94" t="e">
        <f t="shared" si="3"/>
        <v>#N/A</v>
      </c>
      <c r="O8" s="88" t="e">
        <f t="shared" si="0"/>
        <v>#N/A</v>
      </c>
      <c r="P8" s="119"/>
      <c r="Q8" s="5"/>
      <c r="R8" s="5"/>
    </row>
    <row r="9" spans="1:23" s="4" customFormat="1" ht="16.5" x14ac:dyDescent="0.25">
      <c r="A9" s="90">
        <v>5</v>
      </c>
      <c r="B9" s="86">
        <v>743</v>
      </c>
      <c r="C9" s="91" t="e">
        <f>IF(ISBLANK(B9),"",VLOOKUP(B9,SÜRELER!$A:$B,2,FALSE))</f>
        <v>#N/A</v>
      </c>
      <c r="D9" s="80">
        <v>464</v>
      </c>
      <c r="E9" s="92" t="e">
        <f>IF(ISBLANK($B9),"0",VLOOKUP($B9,SÜRELER!$A:$C,3,FALSE))*(D9-F9)</f>
        <v>#N/A</v>
      </c>
      <c r="F9" s="81">
        <v>5</v>
      </c>
      <c r="G9" s="93" t="e">
        <f>VLOOKUP(B9,'R.H.'!A$3:C$3974,3,FALSE)*D9/100</f>
        <v>#N/A</v>
      </c>
      <c r="H9" s="82">
        <f t="shared" si="1"/>
        <v>1.0775862068965518E-2</v>
      </c>
      <c r="I9" s="87" t="e">
        <f>VLOOKUP(B9,'R.H.'!A$3:C$3974,3,FALSE)/100</f>
        <v>#N/A</v>
      </c>
      <c r="J9" s="83">
        <v>0.5</v>
      </c>
      <c r="K9" s="92" t="e">
        <f t="shared" si="2"/>
        <v>#N/A</v>
      </c>
      <c r="L9" s="84">
        <v>396</v>
      </c>
      <c r="M9" s="84"/>
      <c r="N9" s="94" t="e">
        <f t="shared" si="3"/>
        <v>#N/A</v>
      </c>
      <c r="O9" s="88" t="e">
        <f t="shared" si="0"/>
        <v>#N/A</v>
      </c>
      <c r="P9" s="193" t="s">
        <v>3435</v>
      </c>
      <c r="Q9" s="5"/>
      <c r="R9" s="5"/>
    </row>
    <row r="10" spans="1:23" s="4" customFormat="1" ht="16.5" customHeight="1" x14ac:dyDescent="0.25">
      <c r="A10" s="85">
        <v>6</v>
      </c>
      <c r="B10" s="86">
        <v>287</v>
      </c>
      <c r="C10" s="91" t="e">
        <f>IF(ISBLANK(B10),"",VLOOKUP(B10,SÜRELER!$A:$B,2,FALSE))</f>
        <v>#N/A</v>
      </c>
      <c r="D10" s="80">
        <f>484+580</f>
        <v>1064</v>
      </c>
      <c r="E10" s="92" t="e">
        <f>IF(ISBLANK($B10),"0",VLOOKUP($B10,SÜRELER!$A:$C,3,FALSE))*(D10-F10)</f>
        <v>#N/A</v>
      </c>
      <c r="F10" s="81">
        <v>5</v>
      </c>
      <c r="G10" s="93" t="e">
        <f>VLOOKUP(B10,'R.H.'!A$3:C$3974,3,FALSE)*D10/100</f>
        <v>#N/A</v>
      </c>
      <c r="H10" s="82">
        <f t="shared" si="1"/>
        <v>4.6992481203007516E-3</v>
      </c>
      <c r="I10" s="87" t="e">
        <f>VLOOKUP(B10,'R.H.'!A$3:C$3974,3,FALSE)/100</f>
        <v>#N/A</v>
      </c>
      <c r="J10" s="83">
        <v>0.5</v>
      </c>
      <c r="K10" s="92" t="e">
        <f t="shared" si="2"/>
        <v>#N/A</v>
      </c>
      <c r="L10" s="84">
        <v>895</v>
      </c>
      <c r="M10" s="84"/>
      <c r="N10" s="94" t="e">
        <f t="shared" si="3"/>
        <v>#N/A</v>
      </c>
      <c r="O10" s="88" t="e">
        <f t="shared" si="0"/>
        <v>#N/A</v>
      </c>
      <c r="P10" s="194"/>
      <c r="Q10" s="5"/>
      <c r="R10" s="5"/>
    </row>
    <row r="11" spans="1:23" s="4" customFormat="1" ht="16.75" customHeight="1" x14ac:dyDescent="0.25">
      <c r="A11" s="90">
        <v>7</v>
      </c>
      <c r="B11" s="86">
        <v>288</v>
      </c>
      <c r="C11" s="91" t="e">
        <f>IF(ISBLANK(B11),"",VLOOKUP(B11,SÜRELER!$A:$B,2,FALSE))</f>
        <v>#N/A</v>
      </c>
      <c r="D11" s="80">
        <v>1064</v>
      </c>
      <c r="E11" s="92" t="e">
        <f>IF(ISBLANK($B11),"0",VLOOKUP($B11,SÜRELER!$A:$C,3,FALSE))*(D11-F11)</f>
        <v>#N/A</v>
      </c>
      <c r="F11" s="81">
        <v>5</v>
      </c>
      <c r="G11" s="93" t="e">
        <f>VLOOKUP(B11,'R.H.'!A$3:C$3974,3,FALSE)*D11/100</f>
        <v>#N/A</v>
      </c>
      <c r="H11" s="82">
        <f t="shared" si="1"/>
        <v>4.6992481203007516E-3</v>
      </c>
      <c r="I11" s="87" t="e">
        <f>VLOOKUP(B11,'R.H.'!A$3:C$3974,3,FALSE)/100</f>
        <v>#N/A</v>
      </c>
      <c r="J11" s="83">
        <v>0.5</v>
      </c>
      <c r="K11" s="92" t="e">
        <f t="shared" si="2"/>
        <v>#N/A</v>
      </c>
      <c r="L11" s="84">
        <v>895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2157</v>
      </c>
      <c r="C12" s="91" t="e">
        <f>IF(ISBLANK(B12),"",VLOOKUP(B12,SÜRELER!$A:$B,2,FALSE))</f>
        <v>#N/A</v>
      </c>
      <c r="D12" s="80">
        <v>274</v>
      </c>
      <c r="E12" s="92" t="e">
        <f>IF(ISBLANK($B12),"0",VLOOKUP($B12,SÜRELER!$A:$C,3,FALSE))*(D12-F12)</f>
        <v>#N/A</v>
      </c>
      <c r="F12" s="81">
        <v>4</v>
      </c>
      <c r="G12" s="93" t="e">
        <f>VLOOKUP(B12,'R.H.'!A$3:C$3974,3,FALSE)*D12/100</f>
        <v>#N/A</v>
      </c>
      <c r="H12" s="82">
        <f t="shared" si="1"/>
        <v>1.4598540145985401E-2</v>
      </c>
      <c r="I12" s="87" t="e">
        <f>VLOOKUP(B12,'R.H.'!A$3:C$3974,3,FALSE)/100</f>
        <v>#N/A</v>
      </c>
      <c r="J12" s="83">
        <v>0.5</v>
      </c>
      <c r="K12" s="92" t="e">
        <f t="shared" si="2"/>
        <v>#N/A</v>
      </c>
      <c r="L12" s="84">
        <v>550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2158</v>
      </c>
      <c r="C13" s="91" t="e">
        <f>IF(ISBLANK(B13),"",VLOOKUP(B13,SÜRELER!$A:$B,2,FALSE))</f>
        <v>#N/A</v>
      </c>
      <c r="D13" s="80">
        <v>274</v>
      </c>
      <c r="E13" s="92" t="e">
        <f>IF(ISBLANK($B13),"0",VLOOKUP($B13,SÜRELER!$A:$C,3,FALSE))*(D13-F13)</f>
        <v>#N/A</v>
      </c>
      <c r="F13" s="81">
        <v>4</v>
      </c>
      <c r="G13" s="93" t="e">
        <f>VLOOKUP(B13,'R.H.'!A$3:C$3974,3,FALSE)*D13/100</f>
        <v>#N/A</v>
      </c>
      <c r="H13" s="82">
        <f t="shared" si="1"/>
        <v>1.4598540145985401E-2</v>
      </c>
      <c r="I13" s="87" t="e">
        <f>VLOOKUP(B13,'R.H.'!A$3:C$3974,3,FALSE)/100</f>
        <v>#N/A</v>
      </c>
      <c r="J13" s="83">
        <v>0.5</v>
      </c>
      <c r="K13" s="92" t="e">
        <f t="shared" si="2"/>
        <v>#N/A</v>
      </c>
      <c r="L13" s="84">
        <v>550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1332</v>
      </c>
      <c r="C14" s="91" t="e">
        <f>IF(ISBLANK(B14),"",VLOOKUP(B14,SÜRELER!$A:$B,2,FALSE))</f>
        <v>#N/A</v>
      </c>
      <c r="D14" s="80">
        <f>394+388</f>
        <v>782</v>
      </c>
      <c r="E14" s="92" t="e">
        <f>IF(ISBLANK($B14),"0",VLOOKUP($B14,SÜRELER!$A:$C,3,FALSE))*(D14-F14)</f>
        <v>#N/A</v>
      </c>
      <c r="F14" s="81">
        <v>10</v>
      </c>
      <c r="G14" s="93" t="e">
        <f>VLOOKUP(B14,'R.H.'!A$3:C$3974,3,FALSE)*D14/100</f>
        <v>#N/A</v>
      </c>
      <c r="H14" s="82">
        <f t="shared" si="1"/>
        <v>1.278772378516624E-2</v>
      </c>
      <c r="I14" s="87" t="e">
        <f>VLOOKUP(B14,'R.H.'!A$3:C$3974,3,FALSE)/100</f>
        <v>#N/A</v>
      </c>
      <c r="J14" s="83">
        <v>1</v>
      </c>
      <c r="K14" s="92" t="e">
        <f t="shared" si="2"/>
        <v>#N/A</v>
      </c>
      <c r="L14" s="84">
        <v>415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1333</v>
      </c>
      <c r="C15" s="91" t="e">
        <f>IF(ISBLANK(B15),"",VLOOKUP(B15,SÜRELER!$A:$B,2,FALSE))</f>
        <v>#N/A</v>
      </c>
      <c r="D15" s="80">
        <v>782</v>
      </c>
      <c r="E15" s="92" t="e">
        <f>IF(ISBLANK($B15),"0",VLOOKUP($B15,SÜRELER!$A:$C,3,FALSE))*(D15-F15)</f>
        <v>#N/A</v>
      </c>
      <c r="F15" s="81">
        <v>10</v>
      </c>
      <c r="G15" s="93" t="e">
        <f>VLOOKUP(B15,'R.H.'!A$3:C$3974,3,FALSE)*D15/100</f>
        <v>#N/A</v>
      </c>
      <c r="H15" s="82">
        <f t="shared" si="1"/>
        <v>1.278772378516624E-2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825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472</v>
      </c>
      <c r="C16" s="91" t="e">
        <f>IF(ISBLANK(B16),"",VLOOKUP(B16,SÜRELER!$A:$B,2,FALSE))</f>
        <v>#N/A</v>
      </c>
      <c r="D16" s="80">
        <v>429</v>
      </c>
      <c r="E16" s="92" t="e">
        <f>IF(ISBLANK($B16),"0",VLOOKUP($B16,SÜRELER!$A:$C,3,FALSE))*(D16-F16)</f>
        <v>#N/A</v>
      </c>
      <c r="F16" s="81">
        <v>3</v>
      </c>
      <c r="G16" s="93" t="e">
        <f>VLOOKUP(B16,'R.H.'!A$3:C$3974,3,FALSE)*D16/100</f>
        <v>#N/A</v>
      </c>
      <c r="H16" s="82">
        <f t="shared" si="1"/>
        <v>6.993006993006993E-3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330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473</v>
      </c>
      <c r="C17" s="91" t="e">
        <f>IF(ISBLANK(B17),"",VLOOKUP(B17,SÜRELER!$A:$B,2,FALSE))</f>
        <v>#N/A</v>
      </c>
      <c r="D17" s="80">
        <v>429</v>
      </c>
      <c r="E17" s="92" t="e">
        <f>IF(ISBLANK($B17),"0",VLOOKUP($B17,SÜRELER!$A:$C,3,FALSE))*(D17-F17)</f>
        <v>#N/A</v>
      </c>
      <c r="F17" s="81">
        <v>3</v>
      </c>
      <c r="G17" s="93" t="e">
        <f>VLOOKUP(B17,'R.H.'!A$3:C$3974,3,FALSE)*D17/100</f>
        <v>#N/A</v>
      </c>
      <c r="H17" s="82">
        <f t="shared" si="1"/>
        <v>6.993006993006993E-3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334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248</v>
      </c>
      <c r="C18" s="91" t="e">
        <f>IF(ISBLANK(B18),"",VLOOKUP(B18,SÜRELER!$A:$B,2,FALSE))</f>
        <v>#N/A</v>
      </c>
      <c r="D18" s="80">
        <f>432+538</f>
        <v>970</v>
      </c>
      <c r="E18" s="92" t="e">
        <f>IF(ISBLANK($B18),"0",VLOOKUP($B18,SÜRELER!$A:$C,3,FALSE))*(D18-F18)</f>
        <v>#N/A</v>
      </c>
      <c r="F18" s="81">
        <v>4</v>
      </c>
      <c r="G18" s="93" t="e">
        <f>VLOOKUP(B18,'R.H.'!A$3:C$3974,3,FALSE)*D18/100</f>
        <v>#N/A</v>
      </c>
      <c r="H18" s="82">
        <f t="shared" si="1"/>
        <v>4.1237113402061857E-3</v>
      </c>
      <c r="I18" s="87" t="e">
        <f>VLOOKUP(B18,'R.H.'!A$3:C$3974,3,FALSE)/100</f>
        <v>#N/A</v>
      </c>
      <c r="J18" s="83">
        <v>0.5</v>
      </c>
      <c r="K18" s="92" t="e">
        <f t="shared" si="2"/>
        <v>#N/A</v>
      </c>
      <c r="L18" s="84">
        <v>920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249</v>
      </c>
      <c r="C19" s="91" t="e">
        <f>IF(ISBLANK(B19),"",VLOOKUP(B19,SÜRELER!$A:$B,2,FALSE))</f>
        <v>#N/A</v>
      </c>
      <c r="D19" s="80">
        <v>970</v>
      </c>
      <c r="E19" s="92" t="e">
        <f>IF(ISBLANK($B19),"0",VLOOKUP($B19,SÜRELER!$A:$C,3,FALSE))*(D19-F19)</f>
        <v>#N/A</v>
      </c>
      <c r="F19" s="81">
        <v>4</v>
      </c>
      <c r="G19" s="93" t="e">
        <f>VLOOKUP(B19,'R.H.'!A$3:C$3974,3,FALSE)*D19/100</f>
        <v>#N/A</v>
      </c>
      <c r="H19" s="82">
        <f t="shared" si="1"/>
        <v>4.1237113402061857E-3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920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1847</v>
      </c>
      <c r="C20" s="91" t="e">
        <f>IF(ISBLANK(B20),"",VLOOKUP(B20,SÜRELER!$A:$B,2,FALSE))</f>
        <v>#N/A</v>
      </c>
      <c r="D20" s="80">
        <v>920</v>
      </c>
      <c r="E20" s="92" t="e">
        <f>IF(ISBLANK($B20),"0",VLOOKUP($B20,SÜRELER!$A:$C,3,FALSE))*(D20-F20)</f>
        <v>#N/A</v>
      </c>
      <c r="F20" s="81">
        <v>8</v>
      </c>
      <c r="G20" s="93" t="e">
        <f>VLOOKUP(B20,'R.H.'!A$3:C$3974,3,FALSE)*D20/100</f>
        <v>#N/A</v>
      </c>
      <c r="H20" s="82">
        <f t="shared" si="1"/>
        <v>8.6956521739130436E-3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1200</v>
      </c>
      <c r="M20" s="84"/>
      <c r="N20" s="94" t="e">
        <f t="shared" si="3"/>
        <v>#N/A</v>
      </c>
      <c r="O20" s="88" t="e">
        <f t="shared" si="0"/>
        <v>#N/A</v>
      </c>
      <c r="P20" s="164" t="s">
        <v>3434</v>
      </c>
      <c r="Q20" s="5"/>
      <c r="R20" s="5"/>
    </row>
    <row r="21" spans="1:18" s="4" customFormat="1" ht="16.5" x14ac:dyDescent="0.25">
      <c r="A21" s="90">
        <v>17</v>
      </c>
      <c r="B21" s="86">
        <v>1908</v>
      </c>
      <c r="C21" s="91" t="e">
        <f>IF(ISBLANK(B21),"",VLOOKUP(B21,SÜRELER!$A:$B,2,FALSE))</f>
        <v>#N/A</v>
      </c>
      <c r="D21" s="80">
        <v>626</v>
      </c>
      <c r="E21" s="92" t="e">
        <f>IF(ISBLANK($B21),"0",VLOOKUP($B21,SÜRELER!$A:$C,3,FALSE))*(D21-F21)</f>
        <v>#N/A</v>
      </c>
      <c r="F21" s="81">
        <v>2</v>
      </c>
      <c r="G21" s="93" t="e">
        <f>VLOOKUP(B21,'R.H.'!A$3:C$3974,3,FALSE)*D21/100</f>
        <v>#N/A</v>
      </c>
      <c r="H21" s="82">
        <f t="shared" si="1"/>
        <v>3.1948881789137379E-3</v>
      </c>
      <c r="I21" s="87" t="e">
        <f>VLOOKUP(B21,'R.H.'!A$3:C$3974,3,FALSE)/100</f>
        <v>#N/A</v>
      </c>
      <c r="J21" s="83">
        <v>0.5</v>
      </c>
      <c r="K21" s="92" t="e">
        <f t="shared" si="2"/>
        <v>#N/A</v>
      </c>
      <c r="L21" s="84">
        <v>735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1909</v>
      </c>
      <c r="C22" s="91" t="e">
        <f>IF(ISBLANK(B22),"",VLOOKUP(B22,SÜRELER!$A:$B,2,FALSE))</f>
        <v>#N/A</v>
      </c>
      <c r="D22" s="80">
        <v>626</v>
      </c>
      <c r="E22" s="92" t="e">
        <f>IF(ISBLANK($B22),"0",VLOOKUP($B22,SÜRELER!$A:$C,3,FALSE))*(D22-F22)</f>
        <v>#N/A</v>
      </c>
      <c r="F22" s="81">
        <v>2</v>
      </c>
      <c r="G22" s="93" t="e">
        <f>VLOOKUP(B22,'R.H.'!A$3:C$3974,3,FALSE)*D22/100</f>
        <v>#N/A</v>
      </c>
      <c r="H22" s="82">
        <f t="shared" si="1"/>
        <v>3.1948881789137379E-3</v>
      </c>
      <c r="I22" s="87" t="e">
        <f>VLOOKUP(B22,'R.H.'!A$3:C$3974,3,FALSE)/100</f>
        <v>#N/A</v>
      </c>
      <c r="J22" s="83">
        <v>0.5</v>
      </c>
      <c r="K22" s="92" t="e">
        <f t="shared" si="2"/>
        <v>#N/A</v>
      </c>
      <c r="L22" s="84">
        <v>735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9110</v>
      </c>
      <c r="C23" s="91" t="e">
        <f>IF(ISBLANK(B23),"",VLOOKUP(B23,SÜRELER!$A:$B,2,FALSE))</f>
        <v>#N/A</v>
      </c>
      <c r="D23" s="80">
        <v>390</v>
      </c>
      <c r="E23" s="92" t="e">
        <f>IF(ISBLANK($B23),"0",VLOOKUP($B23,SÜRELER!$A:$C,3,FALSE))*(D23-F23)</f>
        <v>#N/A</v>
      </c>
      <c r="F23" s="81">
        <v>6</v>
      </c>
      <c r="G23" s="93" t="e">
        <f>VLOOKUP(B23,'R.H.'!A$3:C$3974,3,FALSE)*D23/100</f>
        <v>#N/A</v>
      </c>
      <c r="H23" s="82">
        <f t="shared" si="1"/>
        <v>1.5384615384615385E-2</v>
      </c>
      <c r="I23" s="87" t="e">
        <f>VLOOKUP(B23,'R.H.'!A$3:C$3974,3,FALSE)/100</f>
        <v>#N/A</v>
      </c>
      <c r="J23" s="83">
        <v>0.5</v>
      </c>
      <c r="K23" s="92" t="e">
        <f t="shared" si="2"/>
        <v>#N/A</v>
      </c>
      <c r="L23" s="84">
        <v>320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9120</v>
      </c>
      <c r="C24" s="91" t="e">
        <f>IF(ISBLANK(B24),"",VLOOKUP(B24,SÜRELER!$A:$B,2,FALSE))</f>
        <v>#N/A</v>
      </c>
      <c r="D24" s="80">
        <v>390</v>
      </c>
      <c r="E24" s="92" t="e">
        <f>IF(ISBLANK($B24),"0",VLOOKUP($B24,SÜRELER!$A:$C,3,FALSE))*(D24-F24)</f>
        <v>#N/A</v>
      </c>
      <c r="F24" s="81">
        <v>6</v>
      </c>
      <c r="G24" s="93" t="e">
        <f>VLOOKUP(B24,'R.H.'!A$3:C$3974,3,FALSE)*D24/100</f>
        <v>#N/A</v>
      </c>
      <c r="H24" s="82">
        <f t="shared" si="1"/>
        <v>1.5384615384615385E-2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320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2186</v>
      </c>
      <c r="C25" s="91" t="e">
        <f>IF(ISBLANK(B25),"",VLOOKUP(B25,SÜRELER!$A:$B,2,FALSE))</f>
        <v>#N/A</v>
      </c>
      <c r="D25" s="80"/>
      <c r="E25" s="92" t="e">
        <f>IF(ISBLANK($B25),"0",VLOOKUP($B25,SÜRELER!$A:$C,3,FALSE))*(D25-F25)</f>
        <v>#N/A</v>
      </c>
      <c r="F25" s="81"/>
      <c r="G25" s="93" t="e">
        <f>VLOOKUP(B25,'R.H.'!A$3:C$3974,3,FALSE)*D25/100</f>
        <v>#N/A</v>
      </c>
      <c r="H25" s="82" t="e">
        <f t="shared" si="1"/>
        <v>#DIV/0!</v>
      </c>
      <c r="I25" s="87" t="e">
        <f>VLOOKUP(B25,'R.H.'!A$3:C$3974,3,FALSE)/100</f>
        <v>#N/A</v>
      </c>
      <c r="J25" s="83"/>
      <c r="K25" s="92" t="e">
        <f t="shared" si="2"/>
        <v>#N/A</v>
      </c>
      <c r="L25" s="84"/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/>
      <c r="C26" s="91" t="str">
        <f>IF(ISBLANK(B26),"",VLOOKUP(B26,SÜRELER!$A:$B,2,FALSE))</f>
        <v/>
      </c>
      <c r="D26" s="80"/>
      <c r="E26" s="92">
        <f>IF(ISBLANK($B26),"0",VLOOKUP($B26,SÜRELER!$A:$C,3,FALSE))*(D26-F26)</f>
        <v>0</v>
      </c>
      <c r="F26" s="81"/>
      <c r="G26" s="93" t="e">
        <f>VLOOKUP(B26,'R.H.'!A$3:C$3974,3,FALSE)*D26/100</f>
        <v>#N/A</v>
      </c>
      <c r="H26" s="82" t="e">
        <f t="shared" si="1"/>
        <v>#DIV/0!</v>
      </c>
      <c r="I26" s="87" t="e">
        <f>VLOOKUP(B26,'R.H.'!A$3:C$3974,3,FALSE)/100</f>
        <v>#N/A</v>
      </c>
      <c r="J26" s="83"/>
      <c r="K26" s="92" t="e">
        <f t="shared" si="2"/>
        <v>#DIV/0!</v>
      </c>
      <c r="L26" s="84"/>
      <c r="M26" s="84"/>
      <c r="N26" s="94" t="e">
        <f t="shared" si="3"/>
        <v>#DIV/0!</v>
      </c>
      <c r="O26" s="88" t="e">
        <f t="shared" si="0"/>
        <v>#DIV/0!</v>
      </c>
      <c r="P26" s="119"/>
      <c r="Q26" s="5"/>
      <c r="R26" s="5"/>
    </row>
    <row r="27" spans="1:18" s="4" customFormat="1" ht="16.5" x14ac:dyDescent="0.25">
      <c r="A27" s="90">
        <v>23</v>
      </c>
      <c r="B27" s="86"/>
      <c r="C27" s="91" t="str">
        <f>IF(ISBLANK(B27),"",VLOOKUP(B27,SÜRELER!$A:$B,2,FALSE))</f>
        <v/>
      </c>
      <c r="D27" s="80"/>
      <c r="E27" s="92">
        <f>IF(ISBLANK($B27),"0",VLOOKUP($B27,SÜRELER!$A:$C,3,FALSE))*(D27-F27)</f>
        <v>0</v>
      </c>
      <c r="F27" s="81"/>
      <c r="G27" s="93" t="e">
        <f>VLOOKUP(B27,'R.H.'!A$3:C$3974,3,FALSE)*D27/100</f>
        <v>#N/A</v>
      </c>
      <c r="H27" s="82" t="e">
        <f t="shared" si="1"/>
        <v>#DIV/0!</v>
      </c>
      <c r="I27" s="87" t="e">
        <f>VLOOKUP(B27,'R.H.'!A$3:C$3974,3,FALSE)/100</f>
        <v>#N/A</v>
      </c>
      <c r="J27" s="83"/>
      <c r="K27" s="92" t="e">
        <f t="shared" si="2"/>
        <v>#DIV/0!</v>
      </c>
      <c r="L27" s="84"/>
      <c r="M27" s="84"/>
      <c r="N27" s="94" t="e">
        <f t="shared" si="3"/>
        <v>#DIV/0!</v>
      </c>
      <c r="O27" s="88" t="e">
        <f t="shared" si="0"/>
        <v>#DIV/0!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/>
      <c r="C28" s="91" t="str">
        <f>IF(ISBLANK(B28),"",VLOOKUP(B28,SÜRELER!$A:$B,2,FALSE))</f>
        <v/>
      </c>
      <c r="D28" s="80"/>
      <c r="E28" s="92">
        <f>IF(ISBLANK($B28),"0",VLOOKUP($B28,SÜRELER!$A:$C,3,FALSE))*(D28-F28)</f>
        <v>0</v>
      </c>
      <c r="F28" s="81"/>
      <c r="G28" s="93" t="e">
        <f>VLOOKUP(B28,'R.H.'!A$3:C$3974,3,FALSE)*D28/100</f>
        <v>#N/A</v>
      </c>
      <c r="H28" s="82" t="e">
        <f t="shared" si="1"/>
        <v>#DIV/0!</v>
      </c>
      <c r="I28" s="87" t="e">
        <f>VLOOKUP(B28,'R.H.'!A$3:C$3974,3,FALSE)/100</f>
        <v>#N/A</v>
      </c>
      <c r="J28" s="83"/>
      <c r="K28" s="92" t="e">
        <f t="shared" si="2"/>
        <v>#DIV/0!</v>
      </c>
      <c r="L28" s="84"/>
      <c r="M28" s="84"/>
      <c r="N28" s="94" t="e">
        <f t="shared" si="3"/>
        <v>#DIV/0!</v>
      </c>
      <c r="O28" s="88" t="e">
        <f t="shared" si="0"/>
        <v>#DIV/0!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/>
      <c r="C29" s="91" t="str">
        <f>IF(ISBLANK(B29),"",VLOOKUP(B29,SÜRELER!$A:$B,2,FALSE))</f>
        <v/>
      </c>
      <c r="D29" s="80"/>
      <c r="E29" s="92">
        <f>IF(ISBLANK($B29),"0",VLOOKUP($B29,SÜRELER!$A:$C,3,FALSE))*(D29-F29)</f>
        <v>0</v>
      </c>
      <c r="F29" s="81"/>
      <c r="G29" s="93" t="e">
        <f>VLOOKUP(B29,'R.H.'!A$3:C$3974,3,FALSE)*D29/100</f>
        <v>#N/A</v>
      </c>
      <c r="H29" s="82" t="e">
        <f t="shared" si="1"/>
        <v>#DIV/0!</v>
      </c>
      <c r="I29" s="87" t="e">
        <f>VLOOKUP(B29,'R.H.'!A$3:C$3974,3,FALSE)/100</f>
        <v>#N/A</v>
      </c>
      <c r="J29" s="83"/>
      <c r="K29" s="92" t="e">
        <f t="shared" si="2"/>
        <v>#DIV/0!</v>
      </c>
      <c r="L29" s="84"/>
      <c r="M29" s="84"/>
      <c r="N29" s="94" t="e">
        <f t="shared" si="3"/>
        <v>#DIV/0!</v>
      </c>
      <c r="O29" s="88" t="e">
        <f t="shared" si="0"/>
        <v>#DIV/0!</v>
      </c>
      <c r="P29" s="119"/>
      <c r="Q29" s="5"/>
      <c r="R29" s="5"/>
    </row>
    <row r="30" spans="1:18" s="4" customFormat="1" ht="16.5" x14ac:dyDescent="0.25">
      <c r="A30" s="85">
        <v>26</v>
      </c>
      <c r="B30" s="86"/>
      <c r="C30" s="91" t="str">
        <f>IF(ISBLANK(B30),"",VLOOKUP(B30,SÜRELER!$A:$B,2,FALSE))</f>
        <v/>
      </c>
      <c r="D30" s="80"/>
      <c r="E30" s="92">
        <f>IF(ISBLANK($B30),"0",VLOOKUP($B30,SÜRELER!$A:$C,3,FALSE))*(D30-F30)</f>
        <v>0</v>
      </c>
      <c r="F30" s="81"/>
      <c r="G30" s="93" t="e">
        <f>VLOOKUP(B30,'R.H.'!A$3:C$3974,3,FALSE)*D30/100</f>
        <v>#N/A</v>
      </c>
      <c r="H30" s="82" t="e">
        <f t="shared" si="1"/>
        <v>#DIV/0!</v>
      </c>
      <c r="I30" s="87" t="e">
        <f>VLOOKUP(B30,'R.H.'!A$3:C$3974,3,FALSE)/100</f>
        <v>#N/A</v>
      </c>
      <c r="J30" s="83"/>
      <c r="K30" s="92" t="e">
        <f t="shared" si="2"/>
        <v>#DIV/0!</v>
      </c>
      <c r="L30" s="84"/>
      <c r="M30" s="84"/>
      <c r="N30" s="94" t="e">
        <f t="shared" si="3"/>
        <v>#DIV/0!</v>
      </c>
      <c r="O30" s="88" t="e">
        <f t="shared" si="0"/>
        <v>#DIV/0!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11692</v>
      </c>
      <c r="E45" s="26" t="e">
        <f>SUM(E5:E44)</f>
        <v>#N/A</v>
      </c>
      <c r="F45" s="26">
        <f>SUM(F5:F44)</f>
        <v>106</v>
      </c>
      <c r="G45" s="26"/>
      <c r="H45" s="26"/>
      <c r="I45" s="26"/>
      <c r="J45" s="26"/>
      <c r="K45" s="26"/>
      <c r="L45" s="26">
        <f>SUM(L5:L44)</f>
        <v>12206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0.90660280533698256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11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6810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>
        <v>180</v>
      </c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6630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180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11692</v>
      </c>
      <c r="F63" s="24">
        <f>F45</f>
        <v>106</v>
      </c>
      <c r="G63" s="23">
        <f>(F63*1000000)/E63</f>
        <v>9066.028053369826</v>
      </c>
      <c r="H63" s="22">
        <f>D59</f>
        <v>180</v>
      </c>
      <c r="I63" s="17" t="e">
        <f>N1</f>
        <v>#N/A</v>
      </c>
    </row>
  </sheetData>
  <mergeCells count="17">
    <mergeCell ref="N1:N3"/>
    <mergeCell ref="A2:B3"/>
    <mergeCell ref="E56:N56"/>
    <mergeCell ref="D46:D47"/>
    <mergeCell ref="E46:F47"/>
    <mergeCell ref="A1:B1"/>
    <mergeCell ref="C1:D2"/>
    <mergeCell ref="H1:H3"/>
    <mergeCell ref="P5:P6"/>
    <mergeCell ref="P9:P10"/>
    <mergeCell ref="E57:N57"/>
    <mergeCell ref="E49:N49"/>
    <mergeCell ref="E50:N50"/>
    <mergeCell ref="E51:N51"/>
    <mergeCell ref="E53:N53"/>
    <mergeCell ref="E54:N54"/>
    <mergeCell ref="E55:N55"/>
  </mergeCells>
  <conditionalFormatting sqref="D3">
    <cfRule type="cellIs" dxfId="79" priority="5" stopIfTrue="1" operator="lessThan">
      <formula>0.95</formula>
    </cfRule>
  </conditionalFormatting>
  <conditionalFormatting sqref="F5:F44">
    <cfRule type="cellIs" dxfId="78" priority="1" stopIfTrue="1" operator="greaterThan">
      <formula>$G5</formula>
    </cfRule>
  </conditionalFormatting>
  <conditionalFormatting sqref="H5:H44">
    <cfRule type="cellIs" dxfId="77" priority="2" stopIfTrue="1" operator="greaterThan">
      <formula>$I$5</formula>
    </cfRule>
  </conditionalFormatting>
  <conditionalFormatting sqref="N1:N3">
    <cfRule type="cellIs" dxfId="76" priority="4" stopIfTrue="1" operator="lessThan">
      <formula>0.8</formula>
    </cfRule>
  </conditionalFormatting>
  <conditionalFormatting sqref="N5:O44">
    <cfRule type="cellIs" dxfId="75" priority="3" stopIfTrue="1" operator="lessThan">
      <formula>0.85</formula>
    </cfRule>
  </conditionalFormatting>
  <hyperlinks>
    <hyperlink ref="P1:P3" location="'Ana Sayfa'!A1" display="ANA SAYFA" xr:uid="{E3595FCB-FA61-4787-AC6D-FF9980C592DD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2A2D-885C-43D7-B05A-AFD9581ED519}">
  <sheetPr codeName="Sayfa17">
    <tabColor theme="0" tint="-0.14999847407452621"/>
    <pageSetUpPr fitToPage="1"/>
  </sheetPr>
  <dimension ref="A1:W63"/>
  <sheetViews>
    <sheetView topLeftCell="A3" workbookViewId="0">
      <selection activeCell="B5" sqref="B5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'16'!A1+1</f>
        <v>46220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Cuma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684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 t="s">
        <v>3436</v>
      </c>
      <c r="C5" s="91" t="str">
        <f>IF(ISBLANK(B5),"",VLOOKUP(B5,SÜRELER!$A:$B,2,FALSE))</f>
        <v>Gövde Alt,Tırnaklı,Mercekli Far</v>
      </c>
      <c r="D5" s="80">
        <f>97+177</f>
        <v>274</v>
      </c>
      <c r="E5" s="92">
        <f>IF(ISBLANK($B5),"0",VLOOKUP($B5,SÜRELER!$A:$C,3,FALSE))*(D5-F5)</f>
        <v>184.79999999999998</v>
      </c>
      <c r="F5" s="81">
        <v>10</v>
      </c>
      <c r="G5" s="93">
        <f>VLOOKUP(B5,'R.H.'!A$3:C$3974,3,FALSE)*D5/100</f>
        <v>13.7</v>
      </c>
      <c r="H5" s="82">
        <f>F5/D5</f>
        <v>3.6496350364963501E-2</v>
      </c>
      <c r="I5" s="87">
        <f>VLOOKUP(B5,'R.H.'!A$3:C$3974,3,FALSE)/100</f>
        <v>0.05</v>
      </c>
      <c r="J5" s="83">
        <v>0.5</v>
      </c>
      <c r="K5" s="92">
        <f>E5/J5</f>
        <v>369.59999999999997</v>
      </c>
      <c r="L5" s="84">
        <v>450</v>
      </c>
      <c r="M5" s="84"/>
      <c r="N5" s="94">
        <f>K5/L5</f>
        <v>0.82133333333333325</v>
      </c>
      <c r="O5" s="88">
        <f t="shared" ref="O5:O44" si="0">K5/(L5-M5)</f>
        <v>0.82133333333333325</v>
      </c>
      <c r="P5" s="165" t="s">
        <v>3378</v>
      </c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 t="s">
        <v>3437</v>
      </c>
      <c r="C6" s="91" t="str">
        <f>IF(ISBLANK(B6),"",VLOOKUP(B6,SÜRELER!$A:$B,2,FALSE))</f>
        <v>Gövde Üst,Kısa Hüzme,Plakalı,Mercekli Far</v>
      </c>
      <c r="D6" s="80">
        <v>410</v>
      </c>
      <c r="E6" s="92">
        <f>IF(ISBLANK($B6),"0",VLOOKUP($B6,SÜRELER!$A:$C,3,FALSE))*(D6-F6)</f>
        <v>280</v>
      </c>
      <c r="F6" s="81">
        <v>10</v>
      </c>
      <c r="G6" s="93">
        <f>VLOOKUP(B6,'R.H.'!A$3:C$3974,3,FALSE)*D6/100</f>
        <v>20.5</v>
      </c>
      <c r="H6" s="82">
        <f t="shared" ref="H6:H44" si="1">F6/D6</f>
        <v>2.4390243902439025E-2</v>
      </c>
      <c r="I6" s="87">
        <f>VLOOKUP(B6,'R.H.'!A$3:C$3974,3,FALSE)/100</f>
        <v>0.05</v>
      </c>
      <c r="J6" s="83">
        <v>0.5</v>
      </c>
      <c r="K6" s="92">
        <f t="shared" ref="K6:K44" si="2">E6/J6</f>
        <v>560</v>
      </c>
      <c r="L6" s="84">
        <v>190</v>
      </c>
      <c r="M6" s="84"/>
      <c r="N6" s="94">
        <f t="shared" ref="N6:N44" si="3">K6/L6</f>
        <v>2.9473684210526314</v>
      </c>
      <c r="O6" s="88">
        <f t="shared" si="0"/>
        <v>2.9473684210526314</v>
      </c>
      <c r="P6" s="193" t="s">
        <v>3379</v>
      </c>
      <c r="Q6" s="5"/>
      <c r="R6" s="5"/>
    </row>
    <row r="7" spans="1:23" s="4" customFormat="1" ht="16.5" customHeight="1" x14ac:dyDescent="0.25">
      <c r="A7" s="90">
        <v>3</v>
      </c>
      <c r="B7" s="86" t="s">
        <v>3438</v>
      </c>
      <c r="C7" s="91" t="e">
        <f>IF(ISBLANK(B7),"",VLOOKUP(B7,SÜRELER!$A:$B,2,FALSE))</f>
        <v>#N/A</v>
      </c>
      <c r="D7" s="80"/>
      <c r="E7" s="92" t="e">
        <f>IF(ISBLANK($B7),"0",VLOOKUP($B7,SÜRELER!$A:$C,3,FALSE))*(D7-F7)</f>
        <v>#N/A</v>
      </c>
      <c r="F7" s="81"/>
      <c r="G7" s="93" t="e">
        <f>VLOOKUP(B7,'R.H.'!A$3:C$3974,3,FALSE)*D7/100</f>
        <v>#N/A</v>
      </c>
      <c r="H7" s="82" t="e">
        <f t="shared" si="1"/>
        <v>#DIV/0!</v>
      </c>
      <c r="I7" s="87" t="e">
        <f>VLOOKUP(B7,'R.H.'!A$3:C$3974,3,FALSE)/100</f>
        <v>#N/A</v>
      </c>
      <c r="J7" s="83"/>
      <c r="K7" s="92" t="e">
        <f t="shared" si="2"/>
        <v>#N/A</v>
      </c>
      <c r="L7" s="84">
        <v>190</v>
      </c>
      <c r="M7" s="84"/>
      <c r="N7" s="94" t="e">
        <f t="shared" si="3"/>
        <v>#N/A</v>
      </c>
      <c r="O7" s="88" t="e">
        <f t="shared" si="0"/>
        <v>#N/A</v>
      </c>
      <c r="P7" s="194" t="s">
        <v>3438</v>
      </c>
      <c r="Q7" s="5"/>
      <c r="R7" s="5"/>
    </row>
    <row r="8" spans="1:23" s="4" customFormat="1" ht="16.5" customHeight="1" x14ac:dyDescent="0.25">
      <c r="A8" s="85">
        <v>4</v>
      </c>
      <c r="B8" s="86" t="s">
        <v>3438</v>
      </c>
      <c r="C8" s="91" t="e">
        <f>IF(ISBLANK(B8),"",VLOOKUP(B8,SÜRELER!$A:$B,2,FALSE))</f>
        <v>#N/A</v>
      </c>
      <c r="D8" s="80"/>
      <c r="E8" s="92" t="e">
        <f>IF(ISBLANK($B8),"0",VLOOKUP($B8,SÜRELER!$A:$C,3,FALSE))*(D8-F8)</f>
        <v>#N/A</v>
      </c>
      <c r="F8" s="81"/>
      <c r="G8" s="93" t="e">
        <f>VLOOKUP(B8,'R.H.'!A$3:C$3974,3,FALSE)*D8/100</f>
        <v>#N/A</v>
      </c>
      <c r="H8" s="82" t="e">
        <f t="shared" si="1"/>
        <v>#DIV/0!</v>
      </c>
      <c r="I8" s="87" t="e">
        <f>VLOOKUP(B8,'R.H.'!A$3:C$3974,3,FALSE)/100</f>
        <v>#N/A</v>
      </c>
      <c r="J8" s="83"/>
      <c r="K8" s="92" t="e">
        <f t="shared" si="2"/>
        <v>#N/A</v>
      </c>
      <c r="L8" s="84">
        <v>625</v>
      </c>
      <c r="M8" s="84"/>
      <c r="N8" s="94" t="e">
        <f t="shared" si="3"/>
        <v>#N/A</v>
      </c>
      <c r="O8" s="88" t="e">
        <f t="shared" si="0"/>
        <v>#N/A</v>
      </c>
      <c r="P8" s="119" t="s">
        <v>3438</v>
      </c>
      <c r="Q8" s="5"/>
      <c r="R8" s="5"/>
    </row>
    <row r="9" spans="1:23" s="4" customFormat="1" ht="16.5" x14ac:dyDescent="0.25">
      <c r="A9" s="90">
        <v>5</v>
      </c>
      <c r="B9" s="86" t="s">
        <v>3438</v>
      </c>
      <c r="C9" s="91" t="e">
        <f>IF(ISBLANK(B9),"",VLOOKUP(B9,SÜRELER!$A:$B,2,FALSE))</f>
        <v>#N/A</v>
      </c>
      <c r="D9" s="80"/>
      <c r="E9" s="92" t="e">
        <f>IF(ISBLANK($B9),"0",VLOOKUP($B9,SÜRELER!$A:$C,3,FALSE))*(D9-F9)</f>
        <v>#N/A</v>
      </c>
      <c r="F9" s="81"/>
      <c r="G9" s="93" t="e">
        <f>VLOOKUP(B9,'R.H.'!A$3:C$3974,3,FALSE)*D9/100</f>
        <v>#N/A</v>
      </c>
      <c r="H9" s="82" t="e">
        <f t="shared" si="1"/>
        <v>#DIV/0!</v>
      </c>
      <c r="I9" s="87" t="e">
        <f>VLOOKUP(B9,'R.H.'!A$3:C$3974,3,FALSE)/100</f>
        <v>#N/A</v>
      </c>
      <c r="J9" s="83"/>
      <c r="K9" s="92" t="e">
        <f t="shared" si="2"/>
        <v>#N/A</v>
      </c>
      <c r="L9" s="84">
        <v>625</v>
      </c>
      <c r="M9" s="84"/>
      <c r="N9" s="94" t="e">
        <f t="shared" si="3"/>
        <v>#N/A</v>
      </c>
      <c r="O9" s="88" t="e">
        <f t="shared" si="0"/>
        <v>#N/A</v>
      </c>
      <c r="P9" s="119" t="s">
        <v>3438</v>
      </c>
      <c r="Q9" s="5"/>
      <c r="R9" s="5"/>
    </row>
    <row r="10" spans="1:23" s="4" customFormat="1" ht="16.5" customHeight="1" x14ac:dyDescent="0.25">
      <c r="A10" s="85">
        <v>6</v>
      </c>
      <c r="B10" s="86" t="s">
        <v>3438</v>
      </c>
      <c r="C10" s="91" t="e">
        <f>IF(ISBLANK(B10),"",VLOOKUP(B10,SÜRELER!$A:$B,2,FALSE))</f>
        <v>#N/A</v>
      </c>
      <c r="D10" s="80"/>
      <c r="E10" s="92" t="e">
        <f>IF(ISBLANK($B10),"0",VLOOKUP($B10,SÜRELER!$A:$C,3,FALSE))*(D10-F10)</f>
        <v>#N/A</v>
      </c>
      <c r="F10" s="81"/>
      <c r="G10" s="93" t="e">
        <f>VLOOKUP(B10,'R.H.'!A$3:C$3974,3,FALSE)*D10/100</f>
        <v>#N/A</v>
      </c>
      <c r="H10" s="82" t="e">
        <f t="shared" si="1"/>
        <v>#DIV/0!</v>
      </c>
      <c r="I10" s="87" t="e">
        <f>VLOOKUP(B10,'R.H.'!A$3:C$3974,3,FALSE)/100</f>
        <v>#N/A</v>
      </c>
      <c r="J10" s="83"/>
      <c r="K10" s="92" t="e">
        <f t="shared" si="2"/>
        <v>#N/A</v>
      </c>
      <c r="L10" s="84">
        <v>875</v>
      </c>
      <c r="M10" s="84"/>
      <c r="N10" s="94" t="e">
        <f t="shared" si="3"/>
        <v>#N/A</v>
      </c>
      <c r="O10" s="88" t="e">
        <f t="shared" si="0"/>
        <v>#N/A</v>
      </c>
      <c r="P10" s="119" t="s">
        <v>3438</v>
      </c>
      <c r="Q10" s="5"/>
      <c r="R10" s="5"/>
    </row>
    <row r="11" spans="1:23" s="4" customFormat="1" ht="16.75" customHeight="1" x14ac:dyDescent="0.25">
      <c r="A11" s="90">
        <v>7</v>
      </c>
      <c r="B11" s="86" t="s">
        <v>3438</v>
      </c>
      <c r="C11" s="91" t="e">
        <f>IF(ISBLANK(B11),"",VLOOKUP(B11,SÜRELER!$A:$B,2,FALSE))</f>
        <v>#N/A</v>
      </c>
      <c r="D11" s="80"/>
      <c r="E11" s="92" t="e">
        <f>IF(ISBLANK($B11),"0",VLOOKUP($B11,SÜRELER!$A:$C,3,FALSE))*(D11-F11)</f>
        <v>#N/A</v>
      </c>
      <c r="F11" s="81"/>
      <c r="G11" s="93" t="e">
        <f>VLOOKUP(B11,'R.H.'!A$3:C$3974,3,FALSE)*D11/100</f>
        <v>#N/A</v>
      </c>
      <c r="H11" s="82" t="e">
        <f t="shared" si="1"/>
        <v>#DIV/0!</v>
      </c>
      <c r="I11" s="87" t="e">
        <f>VLOOKUP(B11,'R.H.'!A$3:C$3974,3,FALSE)/100</f>
        <v>#N/A</v>
      </c>
      <c r="J11" s="83"/>
      <c r="K11" s="92" t="e">
        <f t="shared" si="2"/>
        <v>#N/A</v>
      </c>
      <c r="L11" s="84">
        <v>875</v>
      </c>
      <c r="M11" s="84"/>
      <c r="N11" s="94" t="e">
        <f t="shared" si="3"/>
        <v>#N/A</v>
      </c>
      <c r="O11" s="88" t="e">
        <f t="shared" si="0"/>
        <v>#N/A</v>
      </c>
      <c r="P11" s="119" t="s">
        <v>3438</v>
      </c>
      <c r="Q11" s="5"/>
      <c r="R11" s="5"/>
    </row>
    <row r="12" spans="1:23" s="4" customFormat="1" ht="16.5" x14ac:dyDescent="0.25">
      <c r="A12" s="85">
        <v>8</v>
      </c>
      <c r="B12" s="86" t="s">
        <v>3438</v>
      </c>
      <c r="C12" s="91" t="e">
        <f>IF(ISBLANK(B12),"",VLOOKUP(B12,SÜRELER!$A:$B,2,FALSE))</f>
        <v>#N/A</v>
      </c>
      <c r="D12" s="80"/>
      <c r="E12" s="92" t="e">
        <f>IF(ISBLANK($B12),"0",VLOOKUP($B12,SÜRELER!$A:$C,3,FALSE))*(D12-F12)</f>
        <v>#N/A</v>
      </c>
      <c r="F12" s="81"/>
      <c r="G12" s="93" t="e">
        <f>VLOOKUP(B12,'R.H.'!A$3:C$3974,3,FALSE)*D12/100</f>
        <v>#N/A</v>
      </c>
      <c r="H12" s="82" t="e">
        <f t="shared" si="1"/>
        <v>#DIV/0!</v>
      </c>
      <c r="I12" s="87" t="e">
        <f>VLOOKUP(B12,'R.H.'!A$3:C$3974,3,FALSE)/100</f>
        <v>#N/A</v>
      </c>
      <c r="J12" s="83"/>
      <c r="K12" s="92" t="e">
        <f t="shared" si="2"/>
        <v>#N/A</v>
      </c>
      <c r="L12" s="84">
        <v>460</v>
      </c>
      <c r="M12" s="84"/>
      <c r="N12" s="94" t="e">
        <f t="shared" si="3"/>
        <v>#N/A</v>
      </c>
      <c r="O12" s="88" t="e">
        <f t="shared" si="0"/>
        <v>#N/A</v>
      </c>
      <c r="P12" s="119" t="s">
        <v>3438</v>
      </c>
      <c r="Q12" s="5"/>
      <c r="R12" s="5"/>
    </row>
    <row r="13" spans="1:23" s="4" customFormat="1" ht="16.5" customHeight="1" x14ac:dyDescent="0.25">
      <c r="A13" s="90">
        <v>9</v>
      </c>
      <c r="B13" s="86" t="s">
        <v>3438</v>
      </c>
      <c r="C13" s="91" t="e">
        <f>IF(ISBLANK(B13),"",VLOOKUP(B13,SÜRELER!$A:$B,2,FALSE))</f>
        <v>#N/A</v>
      </c>
      <c r="D13" s="80"/>
      <c r="E13" s="92" t="e">
        <f>IF(ISBLANK($B13),"0",VLOOKUP($B13,SÜRELER!$A:$C,3,FALSE))*(D13-F13)</f>
        <v>#N/A</v>
      </c>
      <c r="F13" s="81"/>
      <c r="G13" s="93" t="e">
        <f>VLOOKUP(B13,'R.H.'!A$3:C$3974,3,FALSE)*D13/100</f>
        <v>#N/A</v>
      </c>
      <c r="H13" s="82" t="e">
        <f t="shared" si="1"/>
        <v>#DIV/0!</v>
      </c>
      <c r="I13" s="87" t="e">
        <f>VLOOKUP(B13,'R.H.'!A$3:C$3974,3,FALSE)/100</f>
        <v>#N/A</v>
      </c>
      <c r="J13" s="83"/>
      <c r="K13" s="92" t="e">
        <f t="shared" si="2"/>
        <v>#N/A</v>
      </c>
      <c r="L13" s="84">
        <v>460</v>
      </c>
      <c r="M13" s="84"/>
      <c r="N13" s="94" t="e">
        <f t="shared" si="3"/>
        <v>#N/A</v>
      </c>
      <c r="O13" s="88" t="e">
        <f t="shared" si="0"/>
        <v>#N/A</v>
      </c>
      <c r="P13" s="119" t="s">
        <v>3438</v>
      </c>
      <c r="Q13" s="5"/>
      <c r="R13" s="5"/>
    </row>
    <row r="14" spans="1:23" s="4" customFormat="1" ht="16.75" customHeight="1" x14ac:dyDescent="0.25">
      <c r="A14" s="85">
        <v>10</v>
      </c>
      <c r="B14" s="86" t="s">
        <v>3438</v>
      </c>
      <c r="C14" s="91" t="e">
        <f>IF(ISBLANK(B14),"",VLOOKUP(B14,SÜRELER!$A:$B,2,FALSE))</f>
        <v>#N/A</v>
      </c>
      <c r="D14" s="80"/>
      <c r="E14" s="92" t="e">
        <f>IF(ISBLANK($B14),"0",VLOOKUP($B14,SÜRELER!$A:$C,3,FALSE))*(D14-F14)</f>
        <v>#N/A</v>
      </c>
      <c r="F14" s="81"/>
      <c r="G14" s="93" t="e">
        <f>VLOOKUP(B14,'R.H.'!A$3:C$3974,3,FALSE)*D14/100</f>
        <v>#N/A</v>
      </c>
      <c r="H14" s="82" t="e">
        <f t="shared" si="1"/>
        <v>#DIV/0!</v>
      </c>
      <c r="I14" s="87" t="e">
        <f>VLOOKUP(B14,'R.H.'!A$3:C$3974,3,FALSE)/100</f>
        <v>#N/A</v>
      </c>
      <c r="J14" s="83"/>
      <c r="K14" s="92" t="e">
        <f t="shared" si="2"/>
        <v>#N/A</v>
      </c>
      <c r="L14" s="84">
        <v>800</v>
      </c>
      <c r="M14" s="84"/>
      <c r="N14" s="94" t="e">
        <f t="shared" si="3"/>
        <v>#N/A</v>
      </c>
      <c r="O14" s="88" t="e">
        <f t="shared" si="0"/>
        <v>#N/A</v>
      </c>
      <c r="P14" s="164" t="s">
        <v>3438</v>
      </c>
      <c r="Q14" s="5"/>
      <c r="R14" s="5"/>
    </row>
    <row r="15" spans="1:23" s="4" customFormat="1" ht="16.5" x14ac:dyDescent="0.25">
      <c r="A15" s="90">
        <v>11</v>
      </c>
      <c r="B15" s="86" t="s">
        <v>3438</v>
      </c>
      <c r="C15" s="91" t="e">
        <f>IF(ISBLANK(B15),"",VLOOKUP(B15,SÜRELER!$A:$B,2,FALSE))</f>
        <v>#N/A</v>
      </c>
      <c r="D15" s="80"/>
      <c r="E15" s="92" t="e">
        <f>IF(ISBLANK($B15),"0",VLOOKUP($B15,SÜRELER!$A:$C,3,FALSE))*(D15-F15)</f>
        <v>#N/A</v>
      </c>
      <c r="F15" s="81"/>
      <c r="G15" s="93" t="e">
        <f>VLOOKUP(B15,'R.H.'!A$3:C$3974,3,FALSE)*D15/100</f>
        <v>#N/A</v>
      </c>
      <c r="H15" s="82" t="e">
        <f t="shared" si="1"/>
        <v>#DIV/0!</v>
      </c>
      <c r="I15" s="87" t="e">
        <f>VLOOKUP(B15,'R.H.'!A$3:C$3974,3,FALSE)/100</f>
        <v>#N/A</v>
      </c>
      <c r="J15" s="83"/>
      <c r="K15" s="92" t="e">
        <f t="shared" si="2"/>
        <v>#N/A</v>
      </c>
      <c r="L15" s="84">
        <v>185</v>
      </c>
      <c r="M15" s="84"/>
      <c r="N15" s="94" t="e">
        <f t="shared" si="3"/>
        <v>#N/A</v>
      </c>
      <c r="O15" s="88" t="e">
        <f t="shared" si="0"/>
        <v>#N/A</v>
      </c>
      <c r="P15" s="119" t="s">
        <v>3438</v>
      </c>
      <c r="Q15" s="5"/>
      <c r="R15" s="5"/>
    </row>
    <row r="16" spans="1:23" s="4" customFormat="1" ht="16.5" customHeight="1" x14ac:dyDescent="0.25">
      <c r="A16" s="85">
        <v>12</v>
      </c>
      <c r="B16" s="86" t="s">
        <v>3438</v>
      </c>
      <c r="C16" s="91" t="e">
        <f>IF(ISBLANK(B16),"",VLOOKUP(B16,SÜRELER!$A:$B,2,FALSE))</f>
        <v>#N/A</v>
      </c>
      <c r="D16" s="80"/>
      <c r="E16" s="92" t="e">
        <f>IF(ISBLANK($B16),"0",VLOOKUP($B16,SÜRELER!$A:$C,3,FALSE))*(D16-F16)</f>
        <v>#N/A</v>
      </c>
      <c r="F16" s="81"/>
      <c r="G16" s="93" t="e">
        <f>VLOOKUP(B16,'R.H.'!A$3:C$3974,3,FALSE)*D16/100</f>
        <v>#N/A</v>
      </c>
      <c r="H16" s="82" t="e">
        <f t="shared" si="1"/>
        <v>#DIV/0!</v>
      </c>
      <c r="I16" s="87" t="e">
        <f>VLOOKUP(B16,'R.H.'!A$3:C$3974,3,FALSE)/100</f>
        <v>#N/A</v>
      </c>
      <c r="J16" s="83"/>
      <c r="K16" s="92" t="e">
        <f t="shared" si="2"/>
        <v>#N/A</v>
      </c>
      <c r="L16" s="84">
        <v>200</v>
      </c>
      <c r="M16" s="84"/>
      <c r="N16" s="94" t="e">
        <f t="shared" si="3"/>
        <v>#N/A</v>
      </c>
      <c r="O16" s="88" t="e">
        <f t="shared" si="0"/>
        <v>#N/A</v>
      </c>
      <c r="P16" s="119" t="s">
        <v>3438</v>
      </c>
      <c r="Q16" s="5"/>
      <c r="R16" s="5"/>
    </row>
    <row r="17" spans="1:18" s="4" customFormat="1" ht="16.75" customHeight="1" x14ac:dyDescent="0.25">
      <c r="A17" s="90">
        <v>13</v>
      </c>
      <c r="B17" s="86" t="s">
        <v>3438</v>
      </c>
      <c r="C17" s="91" t="e">
        <f>IF(ISBLANK(B17),"",VLOOKUP(B17,SÜRELER!$A:$B,2,FALSE))</f>
        <v>#N/A</v>
      </c>
      <c r="D17" s="80"/>
      <c r="E17" s="92" t="e">
        <f>IF(ISBLANK($B17),"0",VLOOKUP($B17,SÜRELER!$A:$C,3,FALSE))*(D17-F17)</f>
        <v>#N/A</v>
      </c>
      <c r="F17" s="81"/>
      <c r="G17" s="93" t="e">
        <f>VLOOKUP(B17,'R.H.'!A$3:C$3974,3,FALSE)*D17/100</f>
        <v>#N/A</v>
      </c>
      <c r="H17" s="82" t="e">
        <f t="shared" si="1"/>
        <v>#DIV/0!</v>
      </c>
      <c r="I17" s="87" t="e">
        <f>VLOOKUP(B17,'R.H.'!A$3:C$3974,3,FALSE)/100</f>
        <v>#N/A</v>
      </c>
      <c r="J17" s="83"/>
      <c r="K17" s="92" t="e">
        <f t="shared" si="2"/>
        <v>#N/A</v>
      </c>
      <c r="L17" s="84">
        <v>200</v>
      </c>
      <c r="M17" s="84"/>
      <c r="N17" s="94" t="e">
        <f t="shared" si="3"/>
        <v>#N/A</v>
      </c>
      <c r="O17" s="88" t="e">
        <f t="shared" si="0"/>
        <v>#N/A</v>
      </c>
      <c r="P17" s="119" t="s">
        <v>3438</v>
      </c>
      <c r="Q17" s="5"/>
      <c r="R17" s="5"/>
    </row>
    <row r="18" spans="1:18" s="4" customFormat="1" ht="16.5" x14ac:dyDescent="0.25">
      <c r="A18" s="85">
        <v>14</v>
      </c>
      <c r="B18" s="86" t="s">
        <v>3438</v>
      </c>
      <c r="C18" s="91" t="e">
        <f>IF(ISBLANK(B18),"",VLOOKUP(B18,SÜRELER!$A:$B,2,FALSE))</f>
        <v>#N/A</v>
      </c>
      <c r="D18" s="80"/>
      <c r="E18" s="92" t="e">
        <f>IF(ISBLANK($B18),"0",VLOOKUP($B18,SÜRELER!$A:$C,3,FALSE))*(D18-F18)</f>
        <v>#N/A</v>
      </c>
      <c r="F18" s="81"/>
      <c r="G18" s="93" t="e">
        <f>VLOOKUP(B18,'R.H.'!A$3:C$3974,3,FALSE)*D18/100</f>
        <v>#N/A</v>
      </c>
      <c r="H18" s="82" t="e">
        <f t="shared" si="1"/>
        <v>#DIV/0!</v>
      </c>
      <c r="I18" s="87" t="e">
        <f>VLOOKUP(B18,'R.H.'!A$3:C$3974,3,FALSE)/100</f>
        <v>#N/A</v>
      </c>
      <c r="J18" s="83"/>
      <c r="K18" s="92" t="e">
        <f t="shared" si="2"/>
        <v>#N/A</v>
      </c>
      <c r="L18" s="84">
        <v>500</v>
      </c>
      <c r="M18" s="84"/>
      <c r="N18" s="94" t="e">
        <f t="shared" si="3"/>
        <v>#N/A</v>
      </c>
      <c r="O18" s="88" t="e">
        <f t="shared" si="0"/>
        <v>#N/A</v>
      </c>
      <c r="P18" s="165" t="s">
        <v>3438</v>
      </c>
      <c r="Q18" s="5"/>
      <c r="R18" s="5"/>
    </row>
    <row r="19" spans="1:18" s="4" customFormat="1" ht="16.5" x14ac:dyDescent="0.25">
      <c r="A19" s="90">
        <v>15</v>
      </c>
      <c r="B19" s="86" t="s">
        <v>3438</v>
      </c>
      <c r="C19" s="91" t="e">
        <f>IF(ISBLANK(B19),"",VLOOKUP(B19,SÜRELER!$A:$B,2,FALSE))</f>
        <v>#N/A</v>
      </c>
      <c r="D19" s="80"/>
      <c r="E19" s="92" t="e">
        <f>IF(ISBLANK($B19),"0",VLOOKUP($B19,SÜRELER!$A:$C,3,FALSE))*(D19-F19)</f>
        <v>#N/A</v>
      </c>
      <c r="F19" s="81"/>
      <c r="G19" s="93" t="e">
        <f>VLOOKUP(B19,'R.H.'!A$3:C$3974,3,FALSE)*D19/100</f>
        <v>#N/A</v>
      </c>
      <c r="H19" s="82" t="e">
        <f t="shared" si="1"/>
        <v>#DIV/0!</v>
      </c>
      <c r="I19" s="87" t="e">
        <f>VLOOKUP(B19,'R.H.'!A$3:C$3974,3,FALSE)/100</f>
        <v>#N/A</v>
      </c>
      <c r="J19" s="83"/>
      <c r="K19" s="92" t="e">
        <f t="shared" si="2"/>
        <v>#N/A</v>
      </c>
      <c r="L19" s="84">
        <v>250</v>
      </c>
      <c r="M19" s="84"/>
      <c r="N19" s="94" t="e">
        <f t="shared" si="3"/>
        <v>#N/A</v>
      </c>
      <c r="O19" s="88" t="e">
        <f t="shared" si="0"/>
        <v>#N/A</v>
      </c>
      <c r="P19" s="119" t="s">
        <v>3438</v>
      </c>
      <c r="Q19" s="5"/>
      <c r="R19" s="5"/>
    </row>
    <row r="20" spans="1:18" s="4" customFormat="1" ht="16.5" customHeight="1" x14ac:dyDescent="0.25">
      <c r="A20" s="85">
        <v>16</v>
      </c>
      <c r="B20" s="86" t="s">
        <v>3438</v>
      </c>
      <c r="C20" s="91" t="e">
        <f>IF(ISBLANK(B20),"",VLOOKUP(B20,SÜRELER!$A:$B,2,FALSE))</f>
        <v>#N/A</v>
      </c>
      <c r="D20" s="80"/>
      <c r="E20" s="92" t="e">
        <f>IF(ISBLANK($B20),"0",VLOOKUP($B20,SÜRELER!$A:$C,3,FALSE))*(D20-F20)</f>
        <v>#N/A</v>
      </c>
      <c r="F20" s="81"/>
      <c r="G20" s="93" t="e">
        <f>VLOOKUP(B20,'R.H.'!A$3:C$3974,3,FALSE)*D20/100</f>
        <v>#N/A</v>
      </c>
      <c r="H20" s="82" t="e">
        <f t="shared" si="1"/>
        <v>#DIV/0!</v>
      </c>
      <c r="I20" s="87" t="e">
        <f>VLOOKUP(B20,'R.H.'!A$3:C$3974,3,FALSE)/100</f>
        <v>#N/A</v>
      </c>
      <c r="J20" s="83"/>
      <c r="K20" s="92" t="e">
        <f t="shared" si="2"/>
        <v>#N/A</v>
      </c>
      <c r="L20" s="84">
        <v>250</v>
      </c>
      <c r="M20" s="84"/>
      <c r="N20" s="94" t="e">
        <f t="shared" si="3"/>
        <v>#N/A</v>
      </c>
      <c r="O20" s="88" t="e">
        <f t="shared" si="0"/>
        <v>#N/A</v>
      </c>
      <c r="P20" s="119" t="s">
        <v>3438</v>
      </c>
      <c r="Q20" s="5"/>
      <c r="R20" s="5"/>
    </row>
    <row r="21" spans="1:18" s="4" customFormat="1" ht="16.5" x14ac:dyDescent="0.25">
      <c r="A21" s="90">
        <v>17</v>
      </c>
      <c r="B21" s="86" t="s">
        <v>3438</v>
      </c>
      <c r="C21" s="91" t="e">
        <f>IF(ISBLANK(B21),"",VLOOKUP(B21,SÜRELER!$A:$B,2,FALSE))</f>
        <v>#N/A</v>
      </c>
      <c r="D21" s="80"/>
      <c r="E21" s="92" t="e">
        <f>IF(ISBLANK($B21),"0",VLOOKUP($B21,SÜRELER!$A:$C,3,FALSE))*(D21-F21)</f>
        <v>#N/A</v>
      </c>
      <c r="F21" s="81"/>
      <c r="G21" s="93" t="e">
        <f>VLOOKUP(B21,'R.H.'!A$3:C$3974,3,FALSE)*D21/100</f>
        <v>#N/A</v>
      </c>
      <c r="H21" s="82" t="e">
        <f t="shared" si="1"/>
        <v>#DIV/0!</v>
      </c>
      <c r="I21" s="87" t="e">
        <f>VLOOKUP(B21,'R.H.'!A$3:C$3974,3,FALSE)/100</f>
        <v>#N/A</v>
      </c>
      <c r="J21" s="83"/>
      <c r="K21" s="92" t="e">
        <f t="shared" si="2"/>
        <v>#N/A</v>
      </c>
      <c r="L21" s="84">
        <v>6000</v>
      </c>
      <c r="M21" s="84"/>
      <c r="N21" s="94" t="e">
        <f t="shared" si="3"/>
        <v>#N/A</v>
      </c>
      <c r="O21" s="88" t="e">
        <f t="shared" si="0"/>
        <v>#N/A</v>
      </c>
      <c r="P21" s="165" t="s">
        <v>3438</v>
      </c>
      <c r="Q21" s="5"/>
      <c r="R21" s="5"/>
    </row>
    <row r="22" spans="1:18" s="4" customFormat="1" ht="16.5" customHeight="1" x14ac:dyDescent="0.25">
      <c r="A22" s="85">
        <v>18</v>
      </c>
      <c r="B22" s="86" t="s">
        <v>3438</v>
      </c>
      <c r="C22" s="91" t="e">
        <f>IF(ISBLANK(B22),"",VLOOKUP(B22,SÜRELER!$A:$B,2,FALSE))</f>
        <v>#N/A</v>
      </c>
      <c r="D22" s="80"/>
      <c r="E22" s="92" t="e">
        <f>IF(ISBLANK($B22),"0",VLOOKUP($B22,SÜRELER!$A:$C,3,FALSE))*(D22-F22)</f>
        <v>#N/A</v>
      </c>
      <c r="F22" s="81"/>
      <c r="G22" s="93" t="e">
        <f>VLOOKUP(B22,'R.H.'!A$3:C$3974,3,FALSE)*D22/100</f>
        <v>#N/A</v>
      </c>
      <c r="H22" s="82" t="e">
        <f t="shared" si="1"/>
        <v>#DIV/0!</v>
      </c>
      <c r="I22" s="87" t="e">
        <f>VLOOKUP(B22,'R.H.'!A$3:C$3974,3,FALSE)/100</f>
        <v>#N/A</v>
      </c>
      <c r="J22" s="83"/>
      <c r="K22" s="92" t="e">
        <f t="shared" si="2"/>
        <v>#N/A</v>
      </c>
      <c r="L22" s="84">
        <v>126</v>
      </c>
      <c r="M22" s="84"/>
      <c r="N22" s="94" t="e">
        <f t="shared" si="3"/>
        <v>#N/A</v>
      </c>
      <c r="O22" s="88" t="e">
        <f t="shared" si="0"/>
        <v>#N/A</v>
      </c>
      <c r="P22" s="119" t="s">
        <v>3438</v>
      </c>
      <c r="Q22" s="5"/>
      <c r="R22" s="5"/>
    </row>
    <row r="23" spans="1:18" s="4" customFormat="1" ht="16.5" customHeight="1" x14ac:dyDescent="0.25">
      <c r="A23" s="90">
        <v>19</v>
      </c>
      <c r="B23" s="86" t="s">
        <v>3438</v>
      </c>
      <c r="C23" s="91" t="e">
        <f>IF(ISBLANK(B23),"",VLOOKUP(B23,SÜRELER!$A:$B,2,FALSE))</f>
        <v>#N/A</v>
      </c>
      <c r="D23" s="80"/>
      <c r="E23" s="92" t="e">
        <f>IF(ISBLANK($B23),"0",VLOOKUP($B23,SÜRELER!$A:$C,3,FALSE))*(D23-F23)</f>
        <v>#N/A</v>
      </c>
      <c r="F23" s="81"/>
      <c r="G23" s="93" t="e">
        <f>VLOOKUP(B23,'R.H.'!A$3:C$3974,3,FALSE)*D23/100</f>
        <v>#N/A</v>
      </c>
      <c r="H23" s="82" t="e">
        <f t="shared" si="1"/>
        <v>#DIV/0!</v>
      </c>
      <c r="I23" s="87" t="e">
        <f>VLOOKUP(B23,'R.H.'!A$3:C$3974,3,FALSE)/100</f>
        <v>#N/A</v>
      </c>
      <c r="J23" s="83"/>
      <c r="K23" s="92" t="e">
        <f t="shared" si="2"/>
        <v>#N/A</v>
      </c>
      <c r="L23" s="84">
        <v>126</v>
      </c>
      <c r="M23" s="84"/>
      <c r="N23" s="94" t="e">
        <f t="shared" si="3"/>
        <v>#N/A</v>
      </c>
      <c r="O23" s="88" t="e">
        <f t="shared" si="0"/>
        <v>#N/A</v>
      </c>
      <c r="P23" s="119" t="s">
        <v>3438</v>
      </c>
      <c r="Q23" s="5"/>
      <c r="R23" s="5"/>
    </row>
    <row r="24" spans="1:18" s="4" customFormat="1" ht="16.75" customHeight="1" x14ac:dyDescent="0.25">
      <c r="A24" s="85">
        <v>20</v>
      </c>
      <c r="B24" s="86" t="s">
        <v>3438</v>
      </c>
      <c r="C24" s="91" t="e">
        <f>IF(ISBLANK(B24),"",VLOOKUP(B24,SÜRELER!$A:$B,2,FALSE))</f>
        <v>#N/A</v>
      </c>
      <c r="D24" s="80"/>
      <c r="E24" s="92" t="e">
        <f>IF(ISBLANK($B24),"0",VLOOKUP($B24,SÜRELER!$A:$C,3,FALSE))*(D24-F24)</f>
        <v>#N/A</v>
      </c>
      <c r="F24" s="81"/>
      <c r="G24" s="93" t="e">
        <f>VLOOKUP(B24,'R.H.'!A$3:C$3974,3,FALSE)*D24/100</f>
        <v>#N/A</v>
      </c>
      <c r="H24" s="82" t="e">
        <f t="shared" si="1"/>
        <v>#DIV/0!</v>
      </c>
      <c r="I24" s="87" t="e">
        <f>VLOOKUP(B24,'R.H.'!A$3:C$3974,3,FALSE)/100</f>
        <v>#N/A</v>
      </c>
      <c r="J24" s="83"/>
      <c r="K24" s="92" t="e">
        <f t="shared" si="2"/>
        <v>#N/A</v>
      </c>
      <c r="L24" s="84">
        <v>765</v>
      </c>
      <c r="M24" s="84"/>
      <c r="N24" s="94" t="e">
        <f t="shared" si="3"/>
        <v>#N/A</v>
      </c>
      <c r="O24" s="88" t="e">
        <f t="shared" si="0"/>
        <v>#N/A</v>
      </c>
      <c r="P24" s="119" t="s">
        <v>3438</v>
      </c>
      <c r="Q24" s="5"/>
      <c r="R24" s="5"/>
    </row>
    <row r="25" spans="1:18" s="4" customFormat="1" ht="16.75" customHeight="1" x14ac:dyDescent="0.25">
      <c r="A25" s="90">
        <v>21</v>
      </c>
      <c r="B25" s="86" t="s">
        <v>3438</v>
      </c>
      <c r="C25" s="91" t="e">
        <f>IF(ISBLANK(B25),"",VLOOKUP(B25,SÜRELER!$A:$B,2,FALSE))</f>
        <v>#N/A</v>
      </c>
      <c r="D25" s="80"/>
      <c r="E25" s="92" t="e">
        <f>IF(ISBLANK($B25),"0",VLOOKUP($B25,SÜRELER!$A:$C,3,FALSE))*(D25-F25)</f>
        <v>#N/A</v>
      </c>
      <c r="F25" s="81"/>
      <c r="G25" s="93" t="e">
        <f>VLOOKUP(B25,'R.H.'!A$3:C$3974,3,FALSE)*D25/100</f>
        <v>#N/A</v>
      </c>
      <c r="H25" s="82" t="e">
        <f t="shared" si="1"/>
        <v>#DIV/0!</v>
      </c>
      <c r="I25" s="87" t="e">
        <f>VLOOKUP(B25,'R.H.'!A$3:C$3974,3,FALSE)/100</f>
        <v>#N/A</v>
      </c>
      <c r="J25" s="83"/>
      <c r="K25" s="92" t="e">
        <f t="shared" si="2"/>
        <v>#N/A</v>
      </c>
      <c r="L25" s="84">
        <v>765</v>
      </c>
      <c r="M25" s="84"/>
      <c r="N25" s="94" t="e">
        <f t="shared" si="3"/>
        <v>#N/A</v>
      </c>
      <c r="O25" s="88" t="e">
        <f t="shared" si="0"/>
        <v>#N/A</v>
      </c>
      <c r="P25" s="119" t="s">
        <v>3438</v>
      </c>
      <c r="Q25" s="5"/>
      <c r="R25" s="5"/>
    </row>
    <row r="26" spans="1:18" s="4" customFormat="1" ht="16.75" customHeight="1" x14ac:dyDescent="0.25">
      <c r="A26" s="85">
        <v>22</v>
      </c>
      <c r="B26" s="86" t="s">
        <v>3438</v>
      </c>
      <c r="C26" s="91" t="e">
        <f>IF(ISBLANK(B26),"",VLOOKUP(B26,SÜRELER!$A:$B,2,FALSE))</f>
        <v>#N/A</v>
      </c>
      <c r="D26" s="80"/>
      <c r="E26" s="92" t="e">
        <f>IF(ISBLANK($B26),"0",VLOOKUP($B26,SÜRELER!$A:$C,3,FALSE))*(D26-F26)</f>
        <v>#N/A</v>
      </c>
      <c r="F26" s="81"/>
      <c r="G26" s="93" t="e">
        <f>VLOOKUP(B26,'R.H.'!A$3:C$3974,3,FALSE)*D26/100</f>
        <v>#N/A</v>
      </c>
      <c r="H26" s="82" t="e">
        <f t="shared" si="1"/>
        <v>#DIV/0!</v>
      </c>
      <c r="I26" s="87" t="e">
        <f>VLOOKUP(B26,'R.H.'!A$3:C$3974,3,FALSE)/100</f>
        <v>#N/A</v>
      </c>
      <c r="J26" s="83"/>
      <c r="K26" s="92" t="e">
        <f t="shared" si="2"/>
        <v>#N/A</v>
      </c>
      <c r="L26" s="84">
        <v>490</v>
      </c>
      <c r="M26" s="84"/>
      <c r="N26" s="94" t="e">
        <f t="shared" si="3"/>
        <v>#N/A</v>
      </c>
      <c r="O26" s="88" t="e">
        <f t="shared" si="0"/>
        <v>#N/A</v>
      </c>
      <c r="P26" s="119" t="s">
        <v>3438</v>
      </c>
      <c r="Q26" s="5"/>
      <c r="R26" s="5"/>
    </row>
    <row r="27" spans="1:18" s="4" customFormat="1" ht="16.5" x14ac:dyDescent="0.25">
      <c r="A27" s="90">
        <v>23</v>
      </c>
      <c r="B27" s="86" t="s">
        <v>3438</v>
      </c>
      <c r="C27" s="91" t="e">
        <f>IF(ISBLANK(B27),"",VLOOKUP(B27,SÜRELER!$A:$B,2,FALSE))</f>
        <v>#N/A</v>
      </c>
      <c r="D27" s="80"/>
      <c r="E27" s="92" t="e">
        <f>IF(ISBLANK($B27),"0",VLOOKUP($B27,SÜRELER!$A:$C,3,FALSE))*(D27-F27)</f>
        <v>#N/A</v>
      </c>
      <c r="F27" s="81"/>
      <c r="G27" s="93" t="e">
        <f>VLOOKUP(B27,'R.H.'!A$3:C$3974,3,FALSE)*D27/100</f>
        <v>#N/A</v>
      </c>
      <c r="H27" s="82" t="e">
        <f t="shared" si="1"/>
        <v>#DIV/0!</v>
      </c>
      <c r="I27" s="87" t="e">
        <f>VLOOKUP(B27,'R.H.'!A$3:C$3974,3,FALSE)/100</f>
        <v>#N/A</v>
      </c>
      <c r="J27" s="83"/>
      <c r="K27" s="92" t="e">
        <f t="shared" si="2"/>
        <v>#N/A</v>
      </c>
      <c r="L27" s="84">
        <v>490</v>
      </c>
      <c r="M27" s="84"/>
      <c r="N27" s="94" t="e">
        <f t="shared" si="3"/>
        <v>#N/A</v>
      </c>
      <c r="O27" s="88" t="e">
        <f t="shared" si="0"/>
        <v>#N/A</v>
      </c>
      <c r="P27" s="119" t="s">
        <v>3438</v>
      </c>
      <c r="Q27" s="5"/>
      <c r="R27" s="5"/>
    </row>
    <row r="28" spans="1:18" s="4" customFormat="1" ht="16.5" customHeight="1" x14ac:dyDescent="0.25">
      <c r="A28" s="85">
        <v>24</v>
      </c>
      <c r="B28" s="86" t="s">
        <v>3438</v>
      </c>
      <c r="C28" s="91" t="e">
        <f>IF(ISBLANK(B28),"",VLOOKUP(B28,SÜRELER!$A:$B,2,FALSE))</f>
        <v>#N/A</v>
      </c>
      <c r="D28" s="80"/>
      <c r="E28" s="92" t="e">
        <f>IF(ISBLANK($B28),"0",VLOOKUP($B28,SÜRELER!$A:$C,3,FALSE))*(D28-F28)</f>
        <v>#N/A</v>
      </c>
      <c r="F28" s="81"/>
      <c r="G28" s="93" t="e">
        <f>VLOOKUP(B28,'R.H.'!A$3:C$3974,3,FALSE)*D28/100</f>
        <v>#N/A</v>
      </c>
      <c r="H28" s="82" t="e">
        <f t="shared" si="1"/>
        <v>#DIV/0!</v>
      </c>
      <c r="I28" s="87" t="e">
        <f>VLOOKUP(B28,'R.H.'!A$3:C$3974,3,FALSE)/100</f>
        <v>#N/A</v>
      </c>
      <c r="J28" s="83"/>
      <c r="K28" s="92" t="e">
        <f t="shared" si="2"/>
        <v>#N/A</v>
      </c>
      <c r="L28" s="84">
        <v>440</v>
      </c>
      <c r="M28" s="84"/>
      <c r="N28" s="94" t="e">
        <f t="shared" si="3"/>
        <v>#N/A</v>
      </c>
      <c r="O28" s="88" t="e">
        <f t="shared" si="0"/>
        <v>#N/A</v>
      </c>
      <c r="P28" s="119" t="s">
        <v>3438</v>
      </c>
      <c r="Q28" s="5"/>
      <c r="R28" s="5"/>
    </row>
    <row r="29" spans="1:18" s="4" customFormat="1" ht="16.5" customHeight="1" x14ac:dyDescent="0.25">
      <c r="A29" s="90">
        <v>25</v>
      </c>
      <c r="B29" s="86" t="s">
        <v>3438</v>
      </c>
      <c r="C29" s="91" t="e">
        <f>IF(ISBLANK(B29),"",VLOOKUP(B29,SÜRELER!$A:$B,2,FALSE))</f>
        <v>#N/A</v>
      </c>
      <c r="D29" s="80"/>
      <c r="E29" s="92" t="e">
        <f>IF(ISBLANK($B29),"0",VLOOKUP($B29,SÜRELER!$A:$C,3,FALSE))*(D29-F29)</f>
        <v>#N/A</v>
      </c>
      <c r="F29" s="81"/>
      <c r="G29" s="93" t="e">
        <f>VLOOKUP(B29,'R.H.'!A$3:C$3974,3,FALSE)*D29/100</f>
        <v>#N/A</v>
      </c>
      <c r="H29" s="82" t="e">
        <f t="shared" si="1"/>
        <v>#DIV/0!</v>
      </c>
      <c r="I29" s="87" t="e">
        <f>VLOOKUP(B29,'R.H.'!A$3:C$3974,3,FALSE)/100</f>
        <v>#N/A</v>
      </c>
      <c r="J29" s="83"/>
      <c r="K29" s="92" t="e">
        <f t="shared" si="2"/>
        <v>#N/A</v>
      </c>
      <c r="L29" s="84">
        <v>440</v>
      </c>
      <c r="M29" s="84"/>
      <c r="N29" s="94" t="e">
        <f t="shared" si="3"/>
        <v>#N/A</v>
      </c>
      <c r="O29" s="88" t="e">
        <f t="shared" si="0"/>
        <v>#N/A</v>
      </c>
      <c r="P29" s="119" t="s">
        <v>3438</v>
      </c>
      <c r="Q29" s="5"/>
      <c r="R29" s="5"/>
    </row>
    <row r="30" spans="1:18" s="4" customFormat="1" ht="16.5" x14ac:dyDescent="0.25">
      <c r="A30" s="85">
        <v>26</v>
      </c>
      <c r="B30" s="86" t="s">
        <v>3438</v>
      </c>
      <c r="C30" s="91" t="e">
        <f>IF(ISBLANK(B30),"",VLOOKUP(B30,SÜRELER!$A:$B,2,FALSE))</f>
        <v>#N/A</v>
      </c>
      <c r="D30" s="80"/>
      <c r="E30" s="92" t="e">
        <f>IF(ISBLANK($B30),"0",VLOOKUP($B30,SÜRELER!$A:$C,3,FALSE))*(D30-F30)</f>
        <v>#N/A</v>
      </c>
      <c r="F30" s="81"/>
      <c r="G30" s="93" t="e">
        <f>VLOOKUP(B30,'R.H.'!A$3:C$3974,3,FALSE)*D30/100</f>
        <v>#N/A</v>
      </c>
      <c r="H30" s="82" t="e">
        <f t="shared" si="1"/>
        <v>#DIV/0!</v>
      </c>
      <c r="I30" s="87" t="e">
        <f>VLOOKUP(B30,'R.H.'!A$3:C$3974,3,FALSE)/100</f>
        <v>#N/A</v>
      </c>
      <c r="J30" s="83"/>
      <c r="K30" s="92" t="e">
        <f t="shared" si="2"/>
        <v>#N/A</v>
      </c>
      <c r="L30" s="84"/>
      <c r="M30" s="84"/>
      <c r="N30" s="94" t="e">
        <f t="shared" si="3"/>
        <v>#N/A</v>
      </c>
      <c r="O30" s="88" t="e">
        <f t="shared" si="0"/>
        <v>#N/A</v>
      </c>
      <c r="P30" s="119" t="s">
        <v>3438</v>
      </c>
      <c r="Q30" s="5"/>
      <c r="R30" s="5"/>
    </row>
    <row r="31" spans="1:18" s="4" customFormat="1" ht="16.5" customHeight="1" x14ac:dyDescent="0.25">
      <c r="A31" s="90">
        <v>27</v>
      </c>
      <c r="B31" s="86" t="s">
        <v>3438</v>
      </c>
      <c r="C31" s="91" t="e">
        <f>IF(ISBLANK(B31),"",VLOOKUP(B31,SÜRELER!$A:$B,2,FALSE))</f>
        <v>#N/A</v>
      </c>
      <c r="D31" s="80"/>
      <c r="E31" s="92" t="e">
        <f>IF(ISBLANK($B31),"0",VLOOKUP($B31,SÜRELER!$A:$C,3,FALSE))*(D31-F31)</f>
        <v>#N/A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#N/A</v>
      </c>
      <c r="L31" s="84"/>
      <c r="M31" s="84"/>
      <c r="N31" s="94" t="e">
        <f t="shared" si="3"/>
        <v>#N/A</v>
      </c>
      <c r="O31" s="88" t="e">
        <f t="shared" si="0"/>
        <v>#N/A</v>
      </c>
      <c r="P31" s="119" t="s">
        <v>3438</v>
      </c>
      <c r="Q31" s="5"/>
      <c r="R31" s="5"/>
    </row>
    <row r="32" spans="1:18" s="4" customFormat="1" ht="16.5" customHeight="1" x14ac:dyDescent="0.25">
      <c r="A32" s="85">
        <v>28</v>
      </c>
      <c r="B32" s="86" t="s">
        <v>3438</v>
      </c>
      <c r="C32" s="91" t="e">
        <f>IF(ISBLANK(B32),"",VLOOKUP(B32,SÜRELER!$A:$B,2,FALSE))</f>
        <v>#N/A</v>
      </c>
      <c r="D32" s="80"/>
      <c r="E32" s="92" t="e">
        <f>IF(ISBLANK($B32),"0",VLOOKUP($B32,SÜRELER!$A:$C,3,FALSE))*(D32-F32)</f>
        <v>#N/A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#N/A</v>
      </c>
      <c r="L32" s="84"/>
      <c r="M32" s="84"/>
      <c r="N32" s="94" t="e">
        <f t="shared" si="3"/>
        <v>#N/A</v>
      </c>
      <c r="O32" s="88" t="e">
        <f t="shared" si="0"/>
        <v>#N/A</v>
      </c>
      <c r="P32" s="119" t="s">
        <v>3438</v>
      </c>
      <c r="Q32" s="5"/>
      <c r="R32" s="5"/>
    </row>
    <row r="33" spans="1:18" s="4" customFormat="1" ht="16.5" x14ac:dyDescent="0.25">
      <c r="A33" s="90">
        <v>29</v>
      </c>
      <c r="B33" s="86" t="s">
        <v>3438</v>
      </c>
      <c r="C33" s="91" t="e">
        <f>IF(ISBLANK(B33),"",VLOOKUP(B33,SÜRELER!$A:$B,2,FALSE))</f>
        <v>#N/A</v>
      </c>
      <c r="D33" s="80"/>
      <c r="E33" s="92" t="e">
        <f>IF(ISBLANK($B33),"0",VLOOKUP($B33,SÜRELER!$A:$C,3,FALSE))*(D33-F33)</f>
        <v>#N/A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#N/A</v>
      </c>
      <c r="L33" s="84"/>
      <c r="M33" s="84"/>
      <c r="N33" s="94" t="e">
        <f t="shared" si="3"/>
        <v>#N/A</v>
      </c>
      <c r="O33" s="88" t="e">
        <f t="shared" si="0"/>
        <v>#N/A</v>
      </c>
      <c r="P33" s="119" t="s">
        <v>3438</v>
      </c>
      <c r="Q33" s="5"/>
      <c r="R33" s="5"/>
    </row>
    <row r="34" spans="1:18" s="4" customFormat="1" ht="16.5" customHeight="1" x14ac:dyDescent="0.25">
      <c r="A34" s="85">
        <v>30</v>
      </c>
      <c r="B34" s="86" t="s">
        <v>3438</v>
      </c>
      <c r="C34" s="91" t="e">
        <f>IF(ISBLANK(B34),"",VLOOKUP(B34,SÜRELER!$A:$B,2,FALSE))</f>
        <v>#N/A</v>
      </c>
      <c r="D34" s="80"/>
      <c r="E34" s="92" t="e">
        <f>IF(ISBLANK($B34),"0",VLOOKUP($B34,SÜRELER!$A:$C,3,FALSE))*(D34-F34)</f>
        <v>#N/A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#N/A</v>
      </c>
      <c r="L34" s="84"/>
      <c r="M34" s="84"/>
      <c r="N34" s="94" t="e">
        <f t="shared" si="3"/>
        <v>#N/A</v>
      </c>
      <c r="O34" s="88" t="e">
        <f t="shared" si="0"/>
        <v>#N/A</v>
      </c>
      <c r="P34" s="119" t="s">
        <v>3438</v>
      </c>
      <c r="Q34" s="5"/>
      <c r="R34" s="5"/>
    </row>
    <row r="35" spans="1:18" s="4" customFormat="1" ht="16.5" customHeight="1" x14ac:dyDescent="0.25">
      <c r="A35" s="90">
        <v>31</v>
      </c>
      <c r="B35" s="86" t="s">
        <v>3438</v>
      </c>
      <c r="C35" s="91" t="e">
        <f>IF(ISBLANK(B35),"",VLOOKUP(B35,SÜRELER!$A:$B,2,FALSE))</f>
        <v>#N/A</v>
      </c>
      <c r="D35" s="80"/>
      <c r="E35" s="92" t="e">
        <f>IF(ISBLANK($B35),"0",VLOOKUP($B35,SÜRELER!$A:$C,3,FALSE))*(D35-F35)</f>
        <v>#N/A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#N/A</v>
      </c>
      <c r="L35" s="84"/>
      <c r="M35" s="84"/>
      <c r="N35" s="94" t="e">
        <f t="shared" si="3"/>
        <v>#N/A</v>
      </c>
      <c r="O35" s="88" t="e">
        <f t="shared" si="0"/>
        <v>#N/A</v>
      </c>
      <c r="P35" s="119" t="s">
        <v>3438</v>
      </c>
      <c r="Q35" s="5"/>
      <c r="R35" s="5"/>
    </row>
    <row r="36" spans="1:18" s="4" customFormat="1" ht="16.5" x14ac:dyDescent="0.25">
      <c r="A36" s="85">
        <v>32</v>
      </c>
      <c r="B36" s="86" t="s">
        <v>3438</v>
      </c>
      <c r="C36" s="91" t="e">
        <f>IF(ISBLANK(B36),"",VLOOKUP(B36,SÜRELER!$A:$B,2,FALSE))</f>
        <v>#N/A</v>
      </c>
      <c r="D36" s="80"/>
      <c r="E36" s="92" t="e">
        <f>IF(ISBLANK($B36),"0",VLOOKUP($B36,SÜRELER!$A:$C,3,FALSE))*(D36-F36)</f>
        <v>#N/A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#N/A</v>
      </c>
      <c r="L36" s="84"/>
      <c r="M36" s="84"/>
      <c r="N36" s="94" t="e">
        <f t="shared" si="3"/>
        <v>#N/A</v>
      </c>
      <c r="O36" s="88" t="e">
        <f t="shared" si="0"/>
        <v>#N/A</v>
      </c>
      <c r="P36" s="119" t="s">
        <v>3438</v>
      </c>
      <c r="Q36" s="5"/>
      <c r="R36" s="5"/>
    </row>
    <row r="37" spans="1:18" s="4" customFormat="1" ht="16.5" customHeight="1" x14ac:dyDescent="0.25">
      <c r="A37" s="90">
        <v>33</v>
      </c>
      <c r="B37" s="86" t="s">
        <v>3438</v>
      </c>
      <c r="C37" s="91" t="e">
        <f>IF(ISBLANK(B37),"",VLOOKUP(B37,SÜRELER!$A:$B,2,FALSE))</f>
        <v>#N/A</v>
      </c>
      <c r="D37" s="80"/>
      <c r="E37" s="92" t="e">
        <f>IF(ISBLANK($B37),"0",VLOOKUP($B37,SÜRELER!$A:$C,3,FALSE))*(D37-F37)</f>
        <v>#N/A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#N/A</v>
      </c>
      <c r="L37" s="84"/>
      <c r="M37" s="84"/>
      <c r="N37" s="94" t="e">
        <f t="shared" si="3"/>
        <v>#N/A</v>
      </c>
      <c r="O37" s="88" t="e">
        <f t="shared" si="0"/>
        <v>#N/A</v>
      </c>
      <c r="P37" s="119" t="s">
        <v>3438</v>
      </c>
      <c r="Q37" s="5"/>
      <c r="R37" s="5"/>
    </row>
    <row r="38" spans="1:18" s="4" customFormat="1" ht="16.5" customHeight="1" x14ac:dyDescent="0.25">
      <c r="A38" s="85">
        <v>34</v>
      </c>
      <c r="B38" s="86" t="s">
        <v>3438</v>
      </c>
      <c r="C38" s="91" t="e">
        <f>IF(ISBLANK(B38),"",VLOOKUP(B38,SÜRELER!$A:$B,2,FALSE))</f>
        <v>#N/A</v>
      </c>
      <c r="D38" s="80"/>
      <c r="E38" s="92" t="e">
        <f>IF(ISBLANK($B38),"0",VLOOKUP($B38,SÜRELER!$A:$C,3,FALSE))*(D38-F38)</f>
        <v>#N/A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#N/A</v>
      </c>
      <c r="L38" s="84"/>
      <c r="M38" s="84"/>
      <c r="N38" s="94" t="e">
        <f t="shared" si="3"/>
        <v>#N/A</v>
      </c>
      <c r="O38" s="88" t="e">
        <f t="shared" si="0"/>
        <v>#N/A</v>
      </c>
      <c r="P38" s="119" t="s">
        <v>3438</v>
      </c>
      <c r="Q38" s="5"/>
      <c r="R38" s="5"/>
    </row>
    <row r="39" spans="1:18" s="4" customFormat="1" ht="16.5" x14ac:dyDescent="0.25">
      <c r="A39" s="90">
        <v>35</v>
      </c>
      <c r="B39" s="86" t="s">
        <v>3438</v>
      </c>
      <c r="C39" s="91" t="e">
        <f>IF(ISBLANK(B39),"",VLOOKUP(B39,SÜRELER!$A:$B,2,FALSE))</f>
        <v>#N/A</v>
      </c>
      <c r="D39" s="80"/>
      <c r="E39" s="92" t="e">
        <f>IF(ISBLANK($B39),"0",VLOOKUP($B39,SÜRELER!$A:$C,3,FALSE))*(D39-F39)</f>
        <v>#N/A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#N/A</v>
      </c>
      <c r="L39" s="84"/>
      <c r="M39" s="84"/>
      <c r="N39" s="94" t="e">
        <f t="shared" si="3"/>
        <v>#N/A</v>
      </c>
      <c r="O39" s="88" t="e">
        <f t="shared" si="0"/>
        <v>#N/A</v>
      </c>
      <c r="P39" s="119" t="s">
        <v>3438</v>
      </c>
      <c r="Q39" s="5"/>
      <c r="R39" s="5"/>
    </row>
    <row r="40" spans="1:18" s="4" customFormat="1" ht="16.5" customHeight="1" x14ac:dyDescent="0.25">
      <c r="A40" s="85">
        <v>36</v>
      </c>
      <c r="B40" s="86" t="s">
        <v>3438</v>
      </c>
      <c r="C40" s="91" t="e">
        <f>IF(ISBLANK(B40),"",VLOOKUP(B40,SÜRELER!$A:$B,2,FALSE))</f>
        <v>#N/A</v>
      </c>
      <c r="D40" s="80"/>
      <c r="E40" s="92" t="e">
        <f>IF(ISBLANK($B40),"0",VLOOKUP($B40,SÜRELER!$A:$C,3,FALSE))*(D40-F40)</f>
        <v>#N/A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#N/A</v>
      </c>
      <c r="L40" s="84"/>
      <c r="M40" s="84"/>
      <c r="N40" s="94" t="e">
        <f t="shared" si="3"/>
        <v>#N/A</v>
      </c>
      <c r="O40" s="88" t="e">
        <f t="shared" si="0"/>
        <v>#N/A</v>
      </c>
      <c r="P40" s="119" t="s">
        <v>3438</v>
      </c>
      <c r="Q40" s="5"/>
      <c r="R40" s="5"/>
    </row>
    <row r="41" spans="1:18" s="4" customFormat="1" ht="16.5" customHeight="1" x14ac:dyDescent="0.25">
      <c r="A41" s="90">
        <v>37</v>
      </c>
      <c r="B41" s="86" t="s">
        <v>3438</v>
      </c>
      <c r="C41" s="91" t="e">
        <f>IF(ISBLANK(B41),"",VLOOKUP(B41,SÜRELER!$A:$B,2,FALSE))</f>
        <v>#N/A</v>
      </c>
      <c r="D41" s="80"/>
      <c r="E41" s="92" t="e">
        <f>IF(ISBLANK($B41),"0",VLOOKUP($B41,SÜRELER!$A:$C,3,FALSE))*(D41-F41)</f>
        <v>#N/A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#N/A</v>
      </c>
      <c r="L41" s="84"/>
      <c r="M41" s="84"/>
      <c r="N41" s="94" t="e">
        <f t="shared" si="3"/>
        <v>#N/A</v>
      </c>
      <c r="O41" s="88" t="e">
        <f>K41/(L41-M41)</f>
        <v>#N/A</v>
      </c>
      <c r="P41" s="119" t="s">
        <v>3438</v>
      </c>
      <c r="Q41" s="5"/>
      <c r="R41" s="5"/>
    </row>
    <row r="42" spans="1:18" s="4" customFormat="1" ht="16.5" x14ac:dyDescent="0.25">
      <c r="A42" s="85">
        <v>38</v>
      </c>
      <c r="B42" s="86" t="s">
        <v>3438</v>
      </c>
      <c r="C42" s="91" t="e">
        <f>IF(ISBLANK(B42),"",VLOOKUP(B42,SÜRELER!$A:$B,2,FALSE))</f>
        <v>#N/A</v>
      </c>
      <c r="D42" s="80"/>
      <c r="E42" s="92" t="e">
        <f>IF(ISBLANK($B42),"0",VLOOKUP($B42,SÜRELER!$A:$C,3,FALSE))*(D42-F42)</f>
        <v>#N/A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#N/A</v>
      </c>
      <c r="L42" s="84"/>
      <c r="M42" s="84"/>
      <c r="N42" s="94" t="e">
        <f t="shared" si="3"/>
        <v>#N/A</v>
      </c>
      <c r="O42" s="88" t="e">
        <f t="shared" si="0"/>
        <v>#N/A</v>
      </c>
      <c r="P42" s="119" t="s">
        <v>3438</v>
      </c>
      <c r="Q42" s="5"/>
      <c r="R42" s="5"/>
    </row>
    <row r="43" spans="1:18" s="4" customFormat="1" ht="16.5" customHeight="1" x14ac:dyDescent="0.25">
      <c r="A43" s="90">
        <v>39</v>
      </c>
      <c r="B43" s="86" t="s">
        <v>3438</v>
      </c>
      <c r="C43" s="91" t="e">
        <f>IF(ISBLANK(B43),"",VLOOKUP(B43,SÜRELER!$A:$B,2,FALSE))</f>
        <v>#N/A</v>
      </c>
      <c r="D43" s="80"/>
      <c r="E43" s="92" t="e">
        <f>IF(ISBLANK($B43),"0",VLOOKUP($B43,SÜRELER!$A:$C,3,FALSE))*(D43-F43)</f>
        <v>#N/A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#N/A</v>
      </c>
      <c r="L43" s="84"/>
      <c r="M43" s="84"/>
      <c r="N43" s="94" t="e">
        <f t="shared" si="3"/>
        <v>#N/A</v>
      </c>
      <c r="O43" s="88" t="e">
        <f t="shared" si="0"/>
        <v>#N/A</v>
      </c>
      <c r="P43" s="119" t="s">
        <v>3438</v>
      </c>
      <c r="Q43" s="5"/>
      <c r="R43" s="5"/>
    </row>
    <row r="44" spans="1:18" s="4" customFormat="1" ht="16.5" customHeight="1" x14ac:dyDescent="0.25">
      <c r="A44" s="85">
        <v>40</v>
      </c>
      <c r="B44" s="86" t="s">
        <v>3438</v>
      </c>
      <c r="C44" s="91" t="e">
        <f>IF(ISBLANK(B44),"",VLOOKUP(B44,SÜRELER!$A:$B,2,FALSE))</f>
        <v>#N/A</v>
      </c>
      <c r="D44" s="80"/>
      <c r="E44" s="92" t="e">
        <f>IF(ISBLANK($B44),"0",VLOOKUP($B44,SÜRELER!$A:$C,3,FALSE))*(D44-F44)</f>
        <v>#N/A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#N/A</v>
      </c>
      <c r="L44" s="84"/>
      <c r="M44" s="84"/>
      <c r="N44" s="94" t="e">
        <f t="shared" si="3"/>
        <v>#N/A</v>
      </c>
      <c r="O44" s="88" t="e">
        <f t="shared" si="0"/>
        <v>#N/A</v>
      </c>
      <c r="P44" s="119" t="s">
        <v>3438</v>
      </c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684</v>
      </c>
      <c r="E45" s="26" t="e">
        <f>SUM(E5:E44)</f>
        <v>#N/A</v>
      </c>
      <c r="F45" s="26">
        <f>SUM(F5:F44)</f>
        <v>20</v>
      </c>
      <c r="G45" s="26"/>
      <c r="H45" s="26"/>
      <c r="I45" s="26"/>
      <c r="J45" s="26"/>
      <c r="K45" s="26"/>
      <c r="L45" s="26">
        <f>SUM(L5:L44)</f>
        <v>16777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2.9239766081871341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17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9190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/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9190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684</v>
      </c>
      <c r="F63" s="24">
        <f>F45</f>
        <v>20</v>
      </c>
      <c r="G63" s="23">
        <f>(F63*1000000)/E63</f>
        <v>29239.766081871345</v>
      </c>
      <c r="H63" s="22">
        <f>D59</f>
        <v>0</v>
      </c>
      <c r="I63" s="17" t="e">
        <f>N1</f>
        <v>#N/A</v>
      </c>
    </row>
  </sheetData>
  <mergeCells count="16">
    <mergeCell ref="A1:B1"/>
    <mergeCell ref="C1:D2"/>
    <mergeCell ref="H1:H3"/>
    <mergeCell ref="A2:B3"/>
    <mergeCell ref="E56:N56"/>
    <mergeCell ref="D46:D47"/>
    <mergeCell ref="E46:F47"/>
    <mergeCell ref="N1:N3"/>
    <mergeCell ref="P6:P7"/>
    <mergeCell ref="E57:N57"/>
    <mergeCell ref="E49:N49"/>
    <mergeCell ref="E50:N50"/>
    <mergeCell ref="E51:N51"/>
    <mergeCell ref="E53:N53"/>
    <mergeCell ref="E54:N54"/>
    <mergeCell ref="E55:N55"/>
  </mergeCells>
  <conditionalFormatting sqref="D3">
    <cfRule type="cellIs" dxfId="74" priority="5" stopIfTrue="1" operator="lessThan">
      <formula>0.95</formula>
    </cfRule>
  </conditionalFormatting>
  <conditionalFormatting sqref="F5:F44">
    <cfRule type="cellIs" dxfId="73" priority="1" stopIfTrue="1" operator="greaterThan">
      <formula>$G5</formula>
    </cfRule>
  </conditionalFormatting>
  <conditionalFormatting sqref="H5:H44">
    <cfRule type="cellIs" dxfId="72" priority="2" stopIfTrue="1" operator="greaterThan">
      <formula>$I$5</formula>
    </cfRule>
  </conditionalFormatting>
  <conditionalFormatting sqref="N1:N3">
    <cfRule type="cellIs" dxfId="71" priority="4" stopIfTrue="1" operator="lessThan">
      <formula>0.8</formula>
    </cfRule>
  </conditionalFormatting>
  <conditionalFormatting sqref="N5:O44">
    <cfRule type="cellIs" dxfId="70" priority="3" stopIfTrue="1" operator="lessThan">
      <formula>0.85</formula>
    </cfRule>
  </conditionalFormatting>
  <hyperlinks>
    <hyperlink ref="P1:P3" location="'Ana Sayfa'!A1" display="ANA SAYFA" xr:uid="{0B5491FA-B8AE-49CE-A49D-14226D68A359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EF3A-363A-4241-AFC5-E05CC735387B}">
  <sheetPr codeName="Sayfa18">
    <tabColor theme="0" tint="-0.14999847407452621"/>
    <pageSetUpPr fitToPage="1"/>
  </sheetPr>
  <dimension ref="A1:W63"/>
  <sheetViews>
    <sheetView workbookViewId="0">
      <selection activeCell="I1" sqref="I1:M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'17'!A1+1</f>
        <v>46221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Cumartesi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12976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1332</v>
      </c>
      <c r="C5" s="91" t="e">
        <f>IF(ISBLANK(B5),"",VLOOKUP(B5,SÜRELER!$A:$B,2,FALSE))</f>
        <v>#N/A</v>
      </c>
      <c r="D5" s="80">
        <f>236+66</f>
        <v>302</v>
      </c>
      <c r="E5" s="92" t="e">
        <f>IF(ISBLANK($B5),"0",VLOOKUP($B5,SÜRELER!$A:$C,3,FALSE))*(D5-F5)</f>
        <v>#N/A</v>
      </c>
      <c r="F5" s="81">
        <v>20</v>
      </c>
      <c r="G5" s="93" t="e">
        <f>VLOOKUP(B5,'R.H.'!A$3:C$3974,3,FALSE)*D5/100</f>
        <v>#N/A</v>
      </c>
      <c r="H5" s="82">
        <f>F5/D5</f>
        <v>6.6225165562913912E-2</v>
      </c>
      <c r="I5" s="87" t="e">
        <f>VLOOKUP(B5,'R.H.'!A$3:C$3974,3,FALSE)/100</f>
        <v>#N/A</v>
      </c>
      <c r="J5" s="83">
        <v>0.5</v>
      </c>
      <c r="K5" s="92" t="e">
        <f>E5/J5</f>
        <v>#N/A</v>
      </c>
      <c r="L5" s="84">
        <v>330</v>
      </c>
      <c r="M5" s="84"/>
      <c r="N5" s="94" t="e">
        <f>K5/L5</f>
        <v>#N/A</v>
      </c>
      <c r="O5" s="88" t="e">
        <f t="shared" ref="O5:O44" si="0">K5/(L5-M5)</f>
        <v>#N/A</v>
      </c>
      <c r="P5" s="193" t="s">
        <v>3381</v>
      </c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1333</v>
      </c>
      <c r="C6" s="91" t="e">
        <f>IF(ISBLANK(B6),"",VLOOKUP(B6,SÜRELER!$A:$B,2,FALSE))</f>
        <v>#N/A</v>
      </c>
      <c r="D6" s="80">
        <v>302</v>
      </c>
      <c r="E6" s="92" t="e">
        <f>IF(ISBLANK($B6),"0",VLOOKUP($B6,SÜRELER!$A:$C,3,FALSE))*(D6-F6)</f>
        <v>#N/A</v>
      </c>
      <c r="F6" s="81">
        <v>2</v>
      </c>
      <c r="G6" s="93" t="e">
        <f>VLOOKUP(B6,'R.H.'!A$3:C$3974,3,FALSE)*D6/100</f>
        <v>#N/A</v>
      </c>
      <c r="H6" s="82">
        <f t="shared" ref="H6:H44" si="1">F6/D6</f>
        <v>6.6225165562913907E-3</v>
      </c>
      <c r="I6" s="87" t="e">
        <f>VLOOKUP(B6,'R.H.'!A$3:C$3974,3,FALSE)/100</f>
        <v>#N/A</v>
      </c>
      <c r="J6" s="83">
        <v>0.5</v>
      </c>
      <c r="K6" s="92" t="e">
        <f t="shared" ref="K6:K44" si="2">E6/J6</f>
        <v>#N/A</v>
      </c>
      <c r="L6" s="84">
        <v>330</v>
      </c>
      <c r="M6" s="84"/>
      <c r="N6" s="94" t="e">
        <f t="shared" ref="N6:N44" si="3">K6/L6</f>
        <v>#N/A</v>
      </c>
      <c r="O6" s="88" t="e">
        <f t="shared" si="0"/>
        <v>#N/A</v>
      </c>
      <c r="P6" s="194"/>
      <c r="Q6" s="5"/>
      <c r="R6" s="5"/>
    </row>
    <row r="7" spans="1:23" s="4" customFormat="1" ht="16.5" customHeight="1" x14ac:dyDescent="0.25">
      <c r="A7" s="90">
        <v>3</v>
      </c>
      <c r="B7" s="86">
        <v>955</v>
      </c>
      <c r="C7" s="91" t="e">
        <f>IF(ISBLANK(B7),"",VLOOKUP(B7,SÜRELER!$A:$B,2,FALSE))</f>
        <v>#N/A</v>
      </c>
      <c r="D7" s="80">
        <f>225+229</f>
        <v>454</v>
      </c>
      <c r="E7" s="92" t="e">
        <f>IF(ISBLANK($B7),"0",VLOOKUP($B7,SÜRELER!$A:$C,3,FALSE))*(D7-F7)</f>
        <v>#N/A</v>
      </c>
      <c r="F7" s="81">
        <v>7</v>
      </c>
      <c r="G7" s="93" t="e">
        <f>VLOOKUP(B7,'R.H.'!A$3:C$3974,3,FALSE)*D7/100</f>
        <v>#N/A</v>
      </c>
      <c r="H7" s="82">
        <f t="shared" si="1"/>
        <v>1.5418502202643172E-2</v>
      </c>
      <c r="I7" s="87" t="e">
        <f>VLOOKUP(B7,'R.H.'!A$3:C$3974,3,FALSE)/100</f>
        <v>#N/A</v>
      </c>
      <c r="J7" s="83">
        <v>1</v>
      </c>
      <c r="K7" s="92" t="e">
        <f t="shared" si="2"/>
        <v>#N/A</v>
      </c>
      <c r="L7" s="84">
        <v>800</v>
      </c>
      <c r="M7" s="84"/>
      <c r="N7" s="94" t="e">
        <f t="shared" si="3"/>
        <v>#N/A</v>
      </c>
      <c r="O7" s="88" t="e">
        <f t="shared" si="0"/>
        <v>#N/A</v>
      </c>
      <c r="P7" s="164" t="s">
        <v>3380</v>
      </c>
      <c r="Q7" s="5"/>
      <c r="R7" s="5"/>
    </row>
    <row r="8" spans="1:23" s="4" customFormat="1" ht="16.5" customHeight="1" x14ac:dyDescent="0.25">
      <c r="A8" s="85">
        <v>4</v>
      </c>
      <c r="B8" s="86">
        <v>828</v>
      </c>
      <c r="C8" s="91" t="e">
        <f>IF(ISBLANK(B8),"",VLOOKUP(B8,SÜRELER!$A:$B,2,FALSE))</f>
        <v>#N/A</v>
      </c>
      <c r="D8" s="80">
        <v>135</v>
      </c>
      <c r="E8" s="92" t="e">
        <f>IF(ISBLANK($B8),"0",VLOOKUP($B8,SÜRELER!$A:$C,3,FALSE))*(D8-F8)</f>
        <v>#N/A</v>
      </c>
      <c r="F8" s="81">
        <v>0</v>
      </c>
      <c r="G8" s="93" t="e">
        <f>VLOOKUP(B8,'R.H.'!A$3:C$3974,3,FALSE)*D8/100</f>
        <v>#N/A</v>
      </c>
      <c r="H8" s="82">
        <f t="shared" si="1"/>
        <v>0</v>
      </c>
      <c r="I8" s="87" t="e">
        <f>VLOOKUP(B8,'R.H.'!A$3:C$3974,3,FALSE)/100</f>
        <v>#N/A</v>
      </c>
      <c r="J8" s="83">
        <v>0.05</v>
      </c>
      <c r="K8" s="92" t="e">
        <f t="shared" si="2"/>
        <v>#N/A</v>
      </c>
      <c r="L8" s="84">
        <v>2386</v>
      </c>
      <c r="M8" s="84"/>
      <c r="N8" s="94" t="e">
        <f t="shared" si="3"/>
        <v>#N/A</v>
      </c>
      <c r="O8" s="88" t="e">
        <f t="shared" si="0"/>
        <v>#N/A</v>
      </c>
      <c r="P8" s="119"/>
      <c r="Q8" s="5"/>
      <c r="R8" s="5"/>
    </row>
    <row r="9" spans="1:23" s="4" customFormat="1" ht="16.5" x14ac:dyDescent="0.25">
      <c r="A9" s="90">
        <v>5</v>
      </c>
      <c r="B9" s="86">
        <v>829</v>
      </c>
      <c r="C9" s="91" t="e">
        <f>IF(ISBLANK(B9),"",VLOOKUP(B9,SÜRELER!$A:$B,2,FALSE))</f>
        <v>#N/A</v>
      </c>
      <c r="D9" s="80">
        <f>135+169</f>
        <v>304</v>
      </c>
      <c r="E9" s="92" t="e">
        <f>IF(ISBLANK($B9),"0",VLOOKUP($B9,SÜRELER!$A:$C,3,FALSE))*(D9-F9)</f>
        <v>#N/A</v>
      </c>
      <c r="F9" s="81">
        <v>20</v>
      </c>
      <c r="G9" s="93" t="e">
        <f>VLOOKUP(B9,'R.H.'!A$3:C$3974,3,FALSE)*D9/100</f>
        <v>#N/A</v>
      </c>
      <c r="H9" s="82">
        <f t="shared" si="1"/>
        <v>6.5789473684210523E-2</v>
      </c>
      <c r="I9" s="87" t="e">
        <f>VLOOKUP(B9,'R.H.'!A$3:C$3974,3,FALSE)/100</f>
        <v>#N/A</v>
      </c>
      <c r="J9" s="83">
        <v>0.5</v>
      </c>
      <c r="K9" s="92" t="e">
        <f t="shared" si="2"/>
        <v>#N/A</v>
      </c>
      <c r="L9" s="84">
        <v>510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2188</v>
      </c>
      <c r="C10" s="91" t="e">
        <f>IF(ISBLANK(B10),"",VLOOKUP(B10,SÜRELER!$A:$B,2,FALSE))</f>
        <v>#N/A</v>
      </c>
      <c r="D10" s="80">
        <v>304</v>
      </c>
      <c r="E10" s="92" t="e">
        <f>IF(ISBLANK($B10),"0",VLOOKUP($B10,SÜRELER!$A:$C,3,FALSE))*(D10-F10)</f>
        <v>#N/A</v>
      </c>
      <c r="F10" s="81">
        <v>20</v>
      </c>
      <c r="G10" s="93" t="e">
        <f>VLOOKUP(B10,'R.H.'!A$3:C$3974,3,FALSE)*D10/100</f>
        <v>#N/A</v>
      </c>
      <c r="H10" s="82">
        <f t="shared" si="1"/>
        <v>6.5789473684210523E-2</v>
      </c>
      <c r="I10" s="87" t="e">
        <f>VLOOKUP(B10,'R.H.'!A$3:C$3974,3,FALSE)/100</f>
        <v>#N/A</v>
      </c>
      <c r="J10" s="83">
        <v>0.5</v>
      </c>
      <c r="K10" s="92" t="e">
        <f t="shared" si="2"/>
        <v>#N/A</v>
      </c>
      <c r="L10" s="84">
        <v>305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1923</v>
      </c>
      <c r="C11" s="91" t="e">
        <f>IF(ISBLANK(B11),"",VLOOKUP(B11,SÜRELER!$A:$B,2,FALSE))</f>
        <v>#N/A</v>
      </c>
      <c r="D11" s="80">
        <f>490+675</f>
        <v>1165</v>
      </c>
      <c r="E11" s="92" t="e">
        <f>IF(ISBLANK($B11),"0",VLOOKUP($B11,SÜRELER!$A:$C,3,FALSE))*(D11-F11)</f>
        <v>#N/A</v>
      </c>
      <c r="F11" s="81">
        <v>0</v>
      </c>
      <c r="G11" s="93" t="e">
        <f>VLOOKUP(B11,'R.H.'!A$3:C$3974,3,FALSE)*D11/100</f>
        <v>#N/A</v>
      </c>
      <c r="H11" s="82">
        <f t="shared" si="1"/>
        <v>0</v>
      </c>
      <c r="I11" s="87" t="e">
        <f>VLOOKUP(B11,'R.H.'!A$3:C$3974,3,FALSE)/100</f>
        <v>#N/A</v>
      </c>
      <c r="J11" s="83">
        <v>0.5</v>
      </c>
      <c r="K11" s="92" t="e">
        <f t="shared" si="2"/>
        <v>#N/A</v>
      </c>
      <c r="L11" s="84">
        <v>900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1924</v>
      </c>
      <c r="C12" s="91" t="e">
        <f>IF(ISBLANK(B12),"",VLOOKUP(B12,SÜRELER!$A:$B,2,FALSE))</f>
        <v>#N/A</v>
      </c>
      <c r="D12" s="80">
        <v>1165</v>
      </c>
      <c r="E12" s="92" t="e">
        <f>IF(ISBLANK($B12),"0",VLOOKUP($B12,SÜRELER!$A:$C,3,FALSE))*(D12-F12)</f>
        <v>#N/A</v>
      </c>
      <c r="F12" s="81">
        <v>0</v>
      </c>
      <c r="G12" s="93" t="e">
        <f>VLOOKUP(B12,'R.H.'!A$3:C$3974,3,FALSE)*D12/100</f>
        <v>#N/A</v>
      </c>
      <c r="H12" s="82">
        <f t="shared" si="1"/>
        <v>0</v>
      </c>
      <c r="I12" s="87" t="e">
        <f>VLOOKUP(B12,'R.H.'!A$3:C$3974,3,FALSE)/100</f>
        <v>#N/A</v>
      </c>
      <c r="J12" s="83">
        <v>0.5</v>
      </c>
      <c r="K12" s="92" t="e">
        <f t="shared" si="2"/>
        <v>#N/A</v>
      </c>
      <c r="L12" s="84">
        <v>900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1330</v>
      </c>
      <c r="C13" s="91" t="e">
        <f>IF(ISBLANK(B13),"",VLOOKUP(B13,SÜRELER!$A:$B,2,FALSE))</f>
        <v>#N/A</v>
      </c>
      <c r="D13" s="80">
        <v>1604</v>
      </c>
      <c r="E13" s="92" t="e">
        <f>IF(ISBLANK($B13),"0",VLOOKUP($B13,SÜRELER!$A:$C,3,FALSE))*(D13-F13)</f>
        <v>#N/A</v>
      </c>
      <c r="F13" s="81">
        <v>4</v>
      </c>
      <c r="G13" s="93" t="e">
        <f>VLOOKUP(B13,'R.H.'!A$3:C$3974,3,FALSE)*D13/100</f>
        <v>#N/A</v>
      </c>
      <c r="H13" s="82">
        <f t="shared" si="1"/>
        <v>2.4937655860349127E-3</v>
      </c>
      <c r="I13" s="87" t="e">
        <f>VLOOKUP(B13,'R.H.'!A$3:C$3974,3,FALSE)/100</f>
        <v>#N/A</v>
      </c>
      <c r="J13" s="83">
        <v>0.5</v>
      </c>
      <c r="K13" s="92" t="e">
        <f t="shared" si="2"/>
        <v>#N/A</v>
      </c>
      <c r="L13" s="84">
        <v>685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1331</v>
      </c>
      <c r="C14" s="91" t="e">
        <f>IF(ISBLANK(B14),"",VLOOKUP(B14,SÜRELER!$A:$B,2,FALSE))</f>
        <v>#N/A</v>
      </c>
      <c r="D14" s="80">
        <v>1604</v>
      </c>
      <c r="E14" s="92" t="e">
        <f>IF(ISBLANK($B14),"0",VLOOKUP($B14,SÜRELER!$A:$C,3,FALSE))*(D14-F14)</f>
        <v>#N/A</v>
      </c>
      <c r="F14" s="81">
        <v>0</v>
      </c>
      <c r="G14" s="93" t="e">
        <f>VLOOKUP(B14,'R.H.'!A$3:C$3974,3,FALSE)*D14/100</f>
        <v>#N/A</v>
      </c>
      <c r="H14" s="82">
        <f t="shared" si="1"/>
        <v>0</v>
      </c>
      <c r="I14" s="87" t="e">
        <f>VLOOKUP(B14,'R.H.'!A$3:C$3974,3,FALSE)/100</f>
        <v>#N/A</v>
      </c>
      <c r="J14" s="83">
        <v>0.5</v>
      </c>
      <c r="K14" s="92" t="e">
        <f t="shared" si="2"/>
        <v>#N/A</v>
      </c>
      <c r="L14" s="84">
        <v>685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2121</v>
      </c>
      <c r="C15" s="91" t="e">
        <f>IF(ISBLANK(B15),"",VLOOKUP(B15,SÜRELER!$A:$B,2,FALSE))</f>
        <v>#N/A</v>
      </c>
      <c r="D15" s="80">
        <f>309+118</f>
        <v>427</v>
      </c>
      <c r="E15" s="92" t="e">
        <f>IF(ISBLANK($B15),"0",VLOOKUP($B15,SÜRELER!$A:$C,3,FALSE))*(D15-F15)</f>
        <v>#N/A</v>
      </c>
      <c r="F15" s="81">
        <v>5</v>
      </c>
      <c r="G15" s="93" t="e">
        <f>VLOOKUP(B15,'R.H.'!A$3:C$3974,3,FALSE)*D15/100</f>
        <v>#N/A</v>
      </c>
      <c r="H15" s="82">
        <f t="shared" si="1"/>
        <v>1.1709601873536301E-2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800</v>
      </c>
      <c r="M15" s="84"/>
      <c r="N15" s="94" t="e">
        <f t="shared" si="3"/>
        <v>#N/A</v>
      </c>
      <c r="O15" s="88" t="e">
        <f t="shared" si="0"/>
        <v>#N/A</v>
      </c>
      <c r="P15" s="164" t="s">
        <v>3380</v>
      </c>
      <c r="Q15" s="5"/>
      <c r="R15" s="5"/>
    </row>
    <row r="16" spans="1:23" s="4" customFormat="1" ht="16.5" customHeight="1" x14ac:dyDescent="0.25">
      <c r="A16" s="85">
        <v>12</v>
      </c>
      <c r="B16" s="86">
        <v>742</v>
      </c>
      <c r="C16" s="91" t="e">
        <f>IF(ISBLANK(B16),"",VLOOKUP(B16,SÜRELER!$A:$B,2,FALSE))</f>
        <v>#N/A</v>
      </c>
      <c r="D16" s="80">
        <v>432</v>
      </c>
      <c r="E16" s="92" t="e">
        <f>IF(ISBLANK($B16),"0",VLOOKUP($B16,SÜRELER!$A:$C,3,FALSE))*(D16-F16)</f>
        <v>#N/A</v>
      </c>
      <c r="F16" s="81">
        <v>0</v>
      </c>
      <c r="G16" s="93" t="e">
        <f>VLOOKUP(B16,'R.H.'!A$3:C$3974,3,FALSE)*D16/100</f>
        <v>#N/A</v>
      </c>
      <c r="H16" s="82">
        <f t="shared" si="1"/>
        <v>0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370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743</v>
      </c>
      <c r="C17" s="91" t="e">
        <f>IF(ISBLANK(B17),"",VLOOKUP(B17,SÜRELER!$A:$B,2,FALSE))</f>
        <v>#N/A</v>
      </c>
      <c r="D17" s="80">
        <v>432</v>
      </c>
      <c r="E17" s="92" t="e">
        <f>IF(ISBLANK($B17),"0",VLOOKUP($B17,SÜRELER!$A:$C,3,FALSE))*(D17-F17)</f>
        <v>#N/A</v>
      </c>
      <c r="F17" s="81">
        <v>0</v>
      </c>
      <c r="G17" s="93" t="e">
        <f>VLOOKUP(B17,'R.H.'!A$3:C$3974,3,FALSE)*D17/100</f>
        <v>#N/A</v>
      </c>
      <c r="H17" s="82">
        <f t="shared" si="1"/>
        <v>0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370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1334</v>
      </c>
      <c r="C18" s="91" t="e">
        <f>IF(ISBLANK(B18),"",VLOOKUP(B18,SÜRELER!$A:$B,2,FALSE))</f>
        <v>#N/A</v>
      </c>
      <c r="D18" s="80">
        <v>521</v>
      </c>
      <c r="E18" s="92" t="e">
        <f>IF(ISBLANK($B18),"0",VLOOKUP($B18,SÜRELER!$A:$C,3,FALSE))*(D18-F18)</f>
        <v>#N/A</v>
      </c>
      <c r="F18" s="81">
        <v>3</v>
      </c>
      <c r="G18" s="93" t="e">
        <f>VLOOKUP(B18,'R.H.'!A$3:C$3974,3,FALSE)*D18/100</f>
        <v>#N/A</v>
      </c>
      <c r="H18" s="82">
        <f t="shared" si="1"/>
        <v>5.7581573896353169E-3</v>
      </c>
      <c r="I18" s="87" t="e">
        <f>VLOOKUP(B18,'R.H.'!A$3:C$3974,3,FALSE)/100</f>
        <v>#N/A</v>
      </c>
      <c r="J18" s="83">
        <v>1</v>
      </c>
      <c r="K18" s="92" t="e">
        <f t="shared" si="2"/>
        <v>#N/A</v>
      </c>
      <c r="L18" s="84">
        <v>215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1335</v>
      </c>
      <c r="C19" s="91" t="e">
        <f>IF(ISBLANK(B19),"",VLOOKUP(B19,SÜRELER!$A:$B,2,FALSE))</f>
        <v>#N/A</v>
      </c>
      <c r="D19" s="80">
        <v>521</v>
      </c>
      <c r="E19" s="92" t="e">
        <f>IF(ISBLANK($B19),"0",VLOOKUP($B19,SÜRELER!$A:$C,3,FALSE))*(D19-F19)</f>
        <v>#N/A</v>
      </c>
      <c r="F19" s="81">
        <v>0</v>
      </c>
      <c r="G19" s="93" t="e">
        <f>VLOOKUP(B19,'R.H.'!A$3:C$3974,3,FALSE)*D19/100</f>
        <v>#N/A</v>
      </c>
      <c r="H19" s="82">
        <f t="shared" si="1"/>
        <v>0</v>
      </c>
      <c r="I19" s="87" t="e">
        <f>VLOOKUP(B19,'R.H.'!A$3:C$3974,3,FALSE)/100</f>
        <v>#N/A</v>
      </c>
      <c r="J19" s="83">
        <v>0.17</v>
      </c>
      <c r="K19" s="92" t="e">
        <f t="shared" si="2"/>
        <v>#N/A</v>
      </c>
      <c r="L19" s="84">
        <v>1265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hidden="1" customHeight="1" x14ac:dyDescent="0.25">
      <c r="A20" s="85">
        <v>16</v>
      </c>
      <c r="B20" s="86">
        <v>828</v>
      </c>
      <c r="C20" s="91" t="e">
        <f>IF(ISBLANK(B20),"",VLOOKUP(B20,SÜRELER!$A:$B,2,FALSE))</f>
        <v>#N/A</v>
      </c>
      <c r="D20" s="80">
        <v>169</v>
      </c>
      <c r="E20" s="92" t="e">
        <f>IF(ISBLANK($B20),"0",VLOOKUP($B20,SÜRELER!$A:$C,3,FALSE))*(D20-F20)</f>
        <v>#N/A</v>
      </c>
      <c r="F20" s="81">
        <v>12</v>
      </c>
      <c r="G20" s="93" t="e">
        <f>VLOOKUP(B20,'R.H.'!A$3:C$3974,3,FALSE)*D20/100</f>
        <v>#N/A</v>
      </c>
      <c r="H20" s="82">
        <f t="shared" si="1"/>
        <v>7.1005917159763315E-2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/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hidden="1" x14ac:dyDescent="0.25">
      <c r="A21" s="90">
        <v>17</v>
      </c>
      <c r="B21" s="86">
        <v>829</v>
      </c>
      <c r="C21" s="91" t="e">
        <f>IF(ISBLANK(B21),"",VLOOKUP(B21,SÜRELER!$A:$B,2,FALSE))</f>
        <v>#N/A</v>
      </c>
      <c r="D21" s="80">
        <v>169</v>
      </c>
      <c r="E21" s="92" t="e">
        <f>IF(ISBLANK($B21),"0",VLOOKUP($B21,SÜRELER!$A:$C,3,FALSE))*(D21-F21)</f>
        <v>#N/A</v>
      </c>
      <c r="F21" s="81">
        <v>12</v>
      </c>
      <c r="G21" s="93" t="e">
        <f>VLOOKUP(B21,'R.H.'!A$3:C$3974,3,FALSE)*D21/100</f>
        <v>#N/A</v>
      </c>
      <c r="H21" s="82">
        <f t="shared" si="1"/>
        <v>7.1005917159763315E-2</v>
      </c>
      <c r="I21" s="87" t="e">
        <f>VLOOKUP(B21,'R.H.'!A$3:C$3974,3,FALSE)/100</f>
        <v>#N/A</v>
      </c>
      <c r="J21" s="83">
        <v>0.5</v>
      </c>
      <c r="K21" s="92" t="e">
        <f t="shared" si="2"/>
        <v>#N/A</v>
      </c>
      <c r="L21" s="84"/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2189</v>
      </c>
      <c r="C22" s="91" t="e">
        <f>IF(ISBLANK(B22),"",VLOOKUP(B22,SÜRELER!$A:$B,2,FALSE))</f>
        <v>#N/A</v>
      </c>
      <c r="D22" s="80">
        <v>195</v>
      </c>
      <c r="E22" s="92" t="e">
        <f>IF(ISBLANK($B22),"0",VLOOKUP($B22,SÜRELER!$A:$C,3,FALSE))*(D22-F22)</f>
        <v>#N/A</v>
      </c>
      <c r="F22" s="81">
        <v>0</v>
      </c>
      <c r="G22" s="93" t="e">
        <f>VLOOKUP(B22,'R.H.'!A$3:C$3974,3,FALSE)*D22/100</f>
        <v>#N/A</v>
      </c>
      <c r="H22" s="82">
        <f t="shared" si="1"/>
        <v>0</v>
      </c>
      <c r="I22" s="87" t="e">
        <f>VLOOKUP(B22,'R.H.'!A$3:C$3974,3,FALSE)/100</f>
        <v>#N/A</v>
      </c>
      <c r="J22" s="83">
        <v>0.25</v>
      </c>
      <c r="K22" s="92" t="e">
        <f t="shared" si="2"/>
        <v>#N/A</v>
      </c>
      <c r="L22" s="84">
        <v>240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2190</v>
      </c>
      <c r="C23" s="91" t="e">
        <f>IF(ISBLANK(B23),"",VLOOKUP(B23,SÜRELER!$A:$B,2,FALSE))</f>
        <v>#N/A</v>
      </c>
      <c r="D23" s="80">
        <v>195</v>
      </c>
      <c r="E23" s="92" t="e">
        <f>IF(ISBLANK($B23),"0",VLOOKUP($B23,SÜRELER!$A:$C,3,FALSE))*(D23-F23)</f>
        <v>#N/A</v>
      </c>
      <c r="F23" s="81">
        <v>0</v>
      </c>
      <c r="G23" s="93" t="e">
        <f>VLOOKUP(B23,'R.H.'!A$3:C$3974,3,FALSE)*D23/100</f>
        <v>#N/A</v>
      </c>
      <c r="H23" s="82">
        <f t="shared" si="1"/>
        <v>0</v>
      </c>
      <c r="I23" s="87" t="e">
        <f>VLOOKUP(B23,'R.H.'!A$3:C$3974,3,FALSE)/100</f>
        <v>#N/A</v>
      </c>
      <c r="J23" s="83">
        <v>0.25</v>
      </c>
      <c r="K23" s="92" t="e">
        <f t="shared" si="2"/>
        <v>#N/A</v>
      </c>
      <c r="L23" s="84">
        <v>240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2191</v>
      </c>
      <c r="C24" s="91" t="e">
        <f>IF(ISBLANK(B24),"",VLOOKUP(B24,SÜRELER!$A:$B,2,FALSE))</f>
        <v>#N/A</v>
      </c>
      <c r="D24" s="80">
        <v>195</v>
      </c>
      <c r="E24" s="92" t="e">
        <f>IF(ISBLANK($B24),"0",VLOOKUP($B24,SÜRELER!$A:$C,3,FALSE))*(D24-F24)</f>
        <v>#N/A</v>
      </c>
      <c r="F24" s="81">
        <v>0</v>
      </c>
      <c r="G24" s="93" t="e">
        <f>VLOOKUP(B24,'R.H.'!A$3:C$3974,3,FALSE)*D24/100</f>
        <v>#N/A</v>
      </c>
      <c r="H24" s="82">
        <f t="shared" si="1"/>
        <v>0</v>
      </c>
      <c r="I24" s="87" t="e">
        <f>VLOOKUP(B24,'R.H.'!A$3:C$3974,3,FALSE)/100</f>
        <v>#N/A</v>
      </c>
      <c r="J24" s="83">
        <v>0.25</v>
      </c>
      <c r="K24" s="92" t="e">
        <f t="shared" si="2"/>
        <v>#N/A</v>
      </c>
      <c r="L24" s="84">
        <v>240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2192</v>
      </c>
      <c r="C25" s="91" t="e">
        <f>IF(ISBLANK(B25),"",VLOOKUP(B25,SÜRELER!$A:$B,2,FALSE))</f>
        <v>#N/A</v>
      </c>
      <c r="D25" s="80">
        <v>195</v>
      </c>
      <c r="E25" s="92" t="e">
        <f>IF(ISBLANK($B25),"0",VLOOKUP($B25,SÜRELER!$A:$C,3,FALSE))*(D25-F25)</f>
        <v>#N/A</v>
      </c>
      <c r="F25" s="81">
        <v>0</v>
      </c>
      <c r="G25" s="93" t="e">
        <f>VLOOKUP(B25,'R.H.'!A$3:C$3974,3,FALSE)*D25/100</f>
        <v>#N/A</v>
      </c>
      <c r="H25" s="82">
        <f t="shared" si="1"/>
        <v>0</v>
      </c>
      <c r="I25" s="87" t="e">
        <f>VLOOKUP(B25,'R.H.'!A$3:C$3974,3,FALSE)/100</f>
        <v>#N/A</v>
      </c>
      <c r="J25" s="83">
        <v>0.25</v>
      </c>
      <c r="K25" s="92" t="e">
        <f t="shared" si="2"/>
        <v>#N/A</v>
      </c>
      <c r="L25" s="84">
        <v>240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2072</v>
      </c>
      <c r="C26" s="91" t="e">
        <f>IF(ISBLANK(B26),"",VLOOKUP(B26,SÜRELER!$A:$B,2,FALSE))</f>
        <v>#N/A</v>
      </c>
      <c r="D26" s="80">
        <v>389</v>
      </c>
      <c r="E26" s="92" t="e">
        <f>IF(ISBLANK($B26),"0",VLOOKUP($B26,SÜRELER!$A:$C,3,FALSE))*(D26-F26)</f>
        <v>#N/A</v>
      </c>
      <c r="F26" s="81">
        <v>12</v>
      </c>
      <c r="G26" s="93" t="e">
        <f>VLOOKUP(B26,'R.H.'!A$3:C$3974,3,FALSE)*D26/100</f>
        <v>#N/A</v>
      </c>
      <c r="H26" s="82">
        <f t="shared" si="1"/>
        <v>3.0848329048843187E-2</v>
      </c>
      <c r="I26" s="87" t="e">
        <f>VLOOKUP(B26,'R.H.'!A$3:C$3974,3,FALSE)/100</f>
        <v>#N/A</v>
      </c>
      <c r="J26" s="83">
        <v>0.5</v>
      </c>
      <c r="K26" s="92" t="e">
        <f t="shared" si="2"/>
        <v>#N/A</v>
      </c>
      <c r="L26" s="84">
        <v>270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2073</v>
      </c>
      <c r="C27" s="91" t="e">
        <f>IF(ISBLANK(B27),"",VLOOKUP(B27,SÜRELER!$A:$B,2,FALSE))</f>
        <v>#N/A</v>
      </c>
      <c r="D27" s="80">
        <v>389</v>
      </c>
      <c r="E27" s="92" t="e">
        <f>IF(ISBLANK($B27),"0",VLOOKUP($B27,SÜRELER!$A:$C,3,FALSE))*(D27-F27)</f>
        <v>#N/A</v>
      </c>
      <c r="F27" s="81">
        <v>12</v>
      </c>
      <c r="G27" s="93" t="e">
        <f>VLOOKUP(B27,'R.H.'!A$3:C$3974,3,FALSE)*D27/100</f>
        <v>#N/A</v>
      </c>
      <c r="H27" s="82">
        <f t="shared" si="1"/>
        <v>3.0848329048843187E-2</v>
      </c>
      <c r="I27" s="87" t="e">
        <f>VLOOKUP(B27,'R.H.'!A$3:C$3974,3,FALSE)/100</f>
        <v>#N/A</v>
      </c>
      <c r="J27" s="83">
        <v>0.5</v>
      </c>
      <c r="K27" s="92" t="e">
        <f t="shared" si="2"/>
        <v>#N/A</v>
      </c>
      <c r="L27" s="84">
        <v>270</v>
      </c>
      <c r="M27" s="84"/>
      <c r="N27" s="94" t="e">
        <f t="shared" si="3"/>
        <v>#N/A</v>
      </c>
      <c r="O27" s="88" t="e">
        <f t="shared" si="0"/>
        <v>#N/A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>
        <v>9110</v>
      </c>
      <c r="C28" s="91" t="e">
        <f>IF(ISBLANK(B28),"",VLOOKUP(B28,SÜRELER!$A:$B,2,FALSE))</f>
        <v>#N/A</v>
      </c>
      <c r="D28" s="80">
        <v>704</v>
      </c>
      <c r="E28" s="92" t="e">
        <f>IF(ISBLANK($B28),"0",VLOOKUP($B28,SÜRELER!$A:$C,3,FALSE))*(D28-F28)</f>
        <v>#N/A</v>
      </c>
      <c r="F28" s="81">
        <v>4</v>
      </c>
      <c r="G28" s="93" t="e">
        <f>VLOOKUP(B28,'R.H.'!A$3:C$3974,3,FALSE)*D28/100</f>
        <v>#N/A</v>
      </c>
      <c r="H28" s="82">
        <f t="shared" si="1"/>
        <v>5.681818181818182E-3</v>
      </c>
      <c r="I28" s="87" t="e">
        <f>VLOOKUP(B28,'R.H.'!A$3:C$3974,3,FALSE)/100</f>
        <v>#N/A</v>
      </c>
      <c r="J28" s="83">
        <v>0.5</v>
      </c>
      <c r="K28" s="92" t="e">
        <f t="shared" si="2"/>
        <v>#N/A</v>
      </c>
      <c r="L28" s="84">
        <v>565</v>
      </c>
      <c r="M28" s="84"/>
      <c r="N28" s="94" t="e">
        <f t="shared" si="3"/>
        <v>#N/A</v>
      </c>
      <c r="O28" s="88" t="e">
        <f t="shared" si="0"/>
        <v>#N/A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>
        <v>9120</v>
      </c>
      <c r="C29" s="91" t="e">
        <f>IF(ISBLANK(B29),"",VLOOKUP(B29,SÜRELER!$A:$B,2,FALSE))</f>
        <v>#N/A</v>
      </c>
      <c r="D29" s="80">
        <v>704</v>
      </c>
      <c r="E29" s="92" t="e">
        <f>IF(ISBLANK($B29),"0",VLOOKUP($B29,SÜRELER!$A:$C,3,FALSE))*(D29-F29)</f>
        <v>#N/A</v>
      </c>
      <c r="F29" s="81">
        <v>4</v>
      </c>
      <c r="G29" s="93" t="e">
        <f>VLOOKUP(B29,'R.H.'!A$3:C$3974,3,FALSE)*D29/100</f>
        <v>#N/A</v>
      </c>
      <c r="H29" s="82">
        <f t="shared" si="1"/>
        <v>5.681818181818182E-3</v>
      </c>
      <c r="I29" s="87" t="e">
        <f>VLOOKUP(B29,'R.H.'!A$3:C$3974,3,FALSE)/100</f>
        <v>#N/A</v>
      </c>
      <c r="J29" s="83">
        <v>0.5</v>
      </c>
      <c r="K29" s="92" t="e">
        <f t="shared" si="2"/>
        <v>#N/A</v>
      </c>
      <c r="L29" s="84">
        <v>565</v>
      </c>
      <c r="M29" s="84"/>
      <c r="N29" s="94" t="e">
        <f t="shared" si="3"/>
        <v>#N/A</v>
      </c>
      <c r="O29" s="88" t="e">
        <f t="shared" si="0"/>
        <v>#N/A</v>
      </c>
      <c r="P29" s="119"/>
      <c r="Q29" s="5"/>
      <c r="R29" s="5"/>
    </row>
    <row r="30" spans="1:18" s="4" customFormat="1" ht="16.5" x14ac:dyDescent="0.25">
      <c r="A30" s="85">
        <v>26</v>
      </c>
      <c r="B30" s="86"/>
      <c r="C30" s="91" t="str">
        <f>IF(ISBLANK(B30),"",VLOOKUP(B30,SÜRELER!$A:$B,2,FALSE))</f>
        <v/>
      </c>
      <c r="D30" s="80"/>
      <c r="E30" s="92">
        <f>IF(ISBLANK($B30),"0",VLOOKUP($B30,SÜRELER!$A:$C,3,FALSE))*(D30-F30)</f>
        <v>0</v>
      </c>
      <c r="F30" s="81"/>
      <c r="G30" s="93" t="e">
        <f>VLOOKUP(B30,'R.H.'!A$3:C$3974,3,FALSE)*D30/100</f>
        <v>#N/A</v>
      </c>
      <c r="H30" s="82" t="e">
        <f t="shared" si="1"/>
        <v>#DIV/0!</v>
      </c>
      <c r="I30" s="87" t="e">
        <f>VLOOKUP(B30,'R.H.'!A$3:C$3974,3,FALSE)/100</f>
        <v>#N/A</v>
      </c>
      <c r="J30" s="83"/>
      <c r="K30" s="92" t="e">
        <f t="shared" si="2"/>
        <v>#DIV/0!</v>
      </c>
      <c r="L30" s="84"/>
      <c r="M30" s="84"/>
      <c r="N30" s="94" t="e">
        <f t="shared" si="3"/>
        <v>#DIV/0!</v>
      </c>
      <c r="O30" s="88" t="e">
        <f t="shared" si="0"/>
        <v>#DIV/0!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12976</v>
      </c>
      <c r="E45" s="26" t="e">
        <f>SUM(E5:E44)</f>
        <v>#N/A</v>
      </c>
      <c r="F45" s="26">
        <f>SUM(F5:F44)</f>
        <v>137</v>
      </c>
      <c r="G45" s="26"/>
      <c r="H45" s="26"/>
      <c r="I45" s="26"/>
      <c r="J45" s="26"/>
      <c r="K45" s="26"/>
      <c r="L45" s="26">
        <f>SUM(L5:L44)</f>
        <v>13481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1.0557953144266339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8.1999999999999993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5606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>
        <v>120</v>
      </c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5486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120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12976</v>
      </c>
      <c r="F63" s="24">
        <f>F45</f>
        <v>137</v>
      </c>
      <c r="G63" s="23">
        <f>(F63*1000000)/E63</f>
        <v>10557.953144266337</v>
      </c>
      <c r="H63" s="22">
        <f>D59</f>
        <v>120</v>
      </c>
      <c r="I63" s="17" t="e">
        <f>N1</f>
        <v>#N/A</v>
      </c>
    </row>
  </sheetData>
  <mergeCells count="16">
    <mergeCell ref="P5:P6"/>
    <mergeCell ref="N1:N3"/>
    <mergeCell ref="A2:B3"/>
    <mergeCell ref="E56:N56"/>
    <mergeCell ref="E57:N57"/>
    <mergeCell ref="E49:N49"/>
    <mergeCell ref="E50:N50"/>
    <mergeCell ref="E51:N51"/>
    <mergeCell ref="E53:N53"/>
    <mergeCell ref="E54:N54"/>
    <mergeCell ref="E55:N55"/>
    <mergeCell ref="D46:D47"/>
    <mergeCell ref="E46:F47"/>
    <mergeCell ref="A1:B1"/>
    <mergeCell ref="C1:D2"/>
    <mergeCell ref="H1:H3"/>
  </mergeCells>
  <conditionalFormatting sqref="D3">
    <cfRule type="cellIs" dxfId="69" priority="5" stopIfTrue="1" operator="lessThan">
      <formula>0.95</formula>
    </cfRule>
  </conditionalFormatting>
  <conditionalFormatting sqref="F5:F44">
    <cfRule type="cellIs" dxfId="68" priority="1" stopIfTrue="1" operator="greaterThan">
      <formula>$G5</formula>
    </cfRule>
  </conditionalFormatting>
  <conditionalFormatting sqref="H5:H44">
    <cfRule type="cellIs" dxfId="67" priority="2" stopIfTrue="1" operator="greaterThan">
      <formula>$I$5</formula>
    </cfRule>
  </conditionalFormatting>
  <conditionalFormatting sqref="N1:N3">
    <cfRule type="cellIs" dxfId="66" priority="4" stopIfTrue="1" operator="lessThan">
      <formula>0.8</formula>
    </cfRule>
  </conditionalFormatting>
  <conditionalFormatting sqref="N5:O44">
    <cfRule type="cellIs" dxfId="65" priority="3" stopIfTrue="1" operator="lessThan">
      <formula>0.85</formula>
    </cfRule>
  </conditionalFormatting>
  <hyperlinks>
    <hyperlink ref="P1:P3" location="'Ana Sayfa'!A1" display="ANA SAYFA" xr:uid="{5D5C04F2-91C8-4B61-BDCB-AEA309397DBF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37220-CEDE-4A79-8E5B-12A888C4841F}">
  <sheetPr codeName="Sayfa19">
    <tabColor theme="0" tint="-0.14999847407452621"/>
    <pageSetUpPr fitToPage="1"/>
  </sheetPr>
  <dimension ref="A1:W63"/>
  <sheetViews>
    <sheetView workbookViewId="0">
      <selection activeCell="I1" sqref="I1:M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'18'!A1+1</f>
        <v>46222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Pazar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27714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822</v>
      </c>
      <c r="C5" s="91" t="e">
        <f>IF(ISBLANK(B5),"",VLOOKUP(B5,SÜRELER!$A:$B,2,FALSE))</f>
        <v>#N/A</v>
      </c>
      <c r="D5" s="80">
        <f>20+124</f>
        <v>144</v>
      </c>
      <c r="E5" s="92" t="e">
        <f>IF(ISBLANK($B5),"0",VLOOKUP($B5,SÜRELER!$A:$C,3,FALSE))*(D5-F5)</f>
        <v>#N/A</v>
      </c>
      <c r="F5" s="81">
        <v>4</v>
      </c>
      <c r="G5" s="93" t="e">
        <f>VLOOKUP(B5,'R.H.'!A$3:C$3974,3,FALSE)*D5/100</f>
        <v>#N/A</v>
      </c>
      <c r="H5" s="82">
        <f>F5/D5</f>
        <v>2.7777777777777776E-2</v>
      </c>
      <c r="I5" s="87" t="e">
        <f>VLOOKUP(B5,'R.H.'!A$3:C$3974,3,FALSE)/100</f>
        <v>#N/A</v>
      </c>
      <c r="J5" s="83">
        <v>0.5</v>
      </c>
      <c r="K5" s="92" t="e">
        <f>E5/J5</f>
        <v>#N/A</v>
      </c>
      <c r="L5" s="84">
        <v>320</v>
      </c>
      <c r="M5" s="84"/>
      <c r="N5" s="94" t="e">
        <f>K5/L5</f>
        <v>#N/A</v>
      </c>
      <c r="O5" s="88" t="e">
        <f t="shared" ref="O5:O44" si="0">K5/(L5-M5)</f>
        <v>#N/A</v>
      </c>
      <c r="P5" s="193" t="s">
        <v>3382</v>
      </c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823</v>
      </c>
      <c r="C6" s="91" t="e">
        <f>IF(ISBLANK(B6),"",VLOOKUP(B6,SÜRELER!$A:$B,2,FALSE))</f>
        <v>#N/A</v>
      </c>
      <c r="D6" s="80">
        <v>144</v>
      </c>
      <c r="E6" s="92" t="e">
        <f>IF(ISBLANK($B6),"0",VLOOKUP($B6,SÜRELER!$A:$C,3,FALSE))*(D6-F6)</f>
        <v>#N/A</v>
      </c>
      <c r="F6" s="81">
        <v>4</v>
      </c>
      <c r="G6" s="93" t="e">
        <f>VLOOKUP(B6,'R.H.'!A$3:C$3974,3,FALSE)*D6/100</f>
        <v>#N/A</v>
      </c>
      <c r="H6" s="82">
        <f t="shared" ref="H6:H44" si="1">F6/D6</f>
        <v>2.7777777777777776E-2</v>
      </c>
      <c r="I6" s="87" t="e">
        <f>VLOOKUP(B6,'R.H.'!A$3:C$3974,3,FALSE)/100</f>
        <v>#N/A</v>
      </c>
      <c r="J6" s="83">
        <v>0.5</v>
      </c>
      <c r="K6" s="92" t="e">
        <f t="shared" ref="K6:K44" si="2">E6/J6</f>
        <v>#N/A</v>
      </c>
      <c r="L6" s="84">
        <v>320</v>
      </c>
      <c r="M6" s="84"/>
      <c r="N6" s="94" t="e">
        <f t="shared" ref="N6:N44" si="3">K6/L6</f>
        <v>#N/A</v>
      </c>
      <c r="O6" s="88" t="e">
        <f t="shared" si="0"/>
        <v>#N/A</v>
      </c>
      <c r="P6" s="194"/>
      <c r="Q6" s="5"/>
      <c r="R6" s="5"/>
    </row>
    <row r="7" spans="1:23" s="4" customFormat="1" ht="16.5" customHeight="1" x14ac:dyDescent="0.25">
      <c r="A7" s="90">
        <v>3</v>
      </c>
      <c r="B7" s="86">
        <v>1330</v>
      </c>
      <c r="C7" s="91" t="e">
        <f>IF(ISBLANK(B7),"",VLOOKUP(B7,SÜRELER!$A:$B,2,FALSE))</f>
        <v>#N/A</v>
      </c>
      <c r="D7" s="80">
        <f>1116+700</f>
        <v>1816</v>
      </c>
      <c r="E7" s="92" t="e">
        <f>IF(ISBLANK($B7),"0",VLOOKUP($B7,SÜRELER!$A:$C,3,FALSE))*(D7-F7)</f>
        <v>#N/A</v>
      </c>
      <c r="F7" s="81">
        <v>8</v>
      </c>
      <c r="G7" s="93" t="e">
        <f>VLOOKUP(B7,'R.H.'!A$3:C$3974,3,FALSE)*D7/100</f>
        <v>#N/A</v>
      </c>
      <c r="H7" s="82">
        <f t="shared" si="1"/>
        <v>4.4052863436123352E-3</v>
      </c>
      <c r="I7" s="87" t="e">
        <f>VLOOKUP(B7,'R.H.'!A$3:C$3974,3,FALSE)/100</f>
        <v>#N/A</v>
      </c>
      <c r="J7" s="83">
        <v>0.5</v>
      </c>
      <c r="K7" s="92" t="e">
        <f t="shared" si="2"/>
        <v>#N/A</v>
      </c>
      <c r="L7" s="84">
        <v>850</v>
      </c>
      <c r="M7" s="84"/>
      <c r="N7" s="94" t="e">
        <f t="shared" si="3"/>
        <v>#N/A</v>
      </c>
      <c r="O7" s="88" t="e">
        <f t="shared" si="0"/>
        <v>#N/A</v>
      </c>
      <c r="P7" s="193" t="s">
        <v>3383</v>
      </c>
      <c r="Q7" s="5"/>
      <c r="R7" s="5"/>
    </row>
    <row r="8" spans="1:23" s="4" customFormat="1" ht="16.5" customHeight="1" x14ac:dyDescent="0.25">
      <c r="A8" s="85">
        <v>4</v>
      </c>
      <c r="B8" s="86">
        <v>1331</v>
      </c>
      <c r="C8" s="91" t="e">
        <f>IF(ISBLANK(B8),"",VLOOKUP(B8,SÜRELER!$A:$B,2,FALSE))</f>
        <v>#N/A</v>
      </c>
      <c r="D8" s="80">
        <v>1816</v>
      </c>
      <c r="E8" s="92" t="e">
        <f>IF(ISBLANK($B8),"0",VLOOKUP($B8,SÜRELER!$A:$C,3,FALSE))*(D8-F8)</f>
        <v>#N/A</v>
      </c>
      <c r="F8" s="81">
        <v>8</v>
      </c>
      <c r="G8" s="93" t="e">
        <f>VLOOKUP(B8,'R.H.'!A$3:C$3974,3,FALSE)*D8/100</f>
        <v>#N/A</v>
      </c>
      <c r="H8" s="82">
        <f t="shared" si="1"/>
        <v>4.4052863436123352E-3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850</v>
      </c>
      <c r="M8" s="84"/>
      <c r="N8" s="94" t="e">
        <f t="shared" si="3"/>
        <v>#N/A</v>
      </c>
      <c r="O8" s="88" t="e">
        <f t="shared" si="0"/>
        <v>#N/A</v>
      </c>
      <c r="P8" s="194"/>
      <c r="Q8" s="5"/>
      <c r="R8" s="5"/>
    </row>
    <row r="9" spans="1:23" s="4" customFormat="1" ht="16.5" x14ac:dyDescent="0.25">
      <c r="A9" s="90">
        <v>5</v>
      </c>
      <c r="B9" s="86">
        <v>1342</v>
      </c>
      <c r="C9" s="91" t="e">
        <f>IF(ISBLANK(B9),"",VLOOKUP(B9,SÜRELER!$A:$B,2,FALSE))</f>
        <v>#N/A</v>
      </c>
      <c r="D9" s="80">
        <v>182</v>
      </c>
      <c r="E9" s="92" t="e">
        <f>IF(ISBLANK($B9),"0",VLOOKUP($B9,SÜRELER!$A:$C,3,FALSE))*(D9-F9)</f>
        <v>#N/A</v>
      </c>
      <c r="F9" s="81">
        <v>6</v>
      </c>
      <c r="G9" s="93" t="e">
        <f>VLOOKUP(B9,'R.H.'!A$3:C$3974,3,FALSE)*D9/100</f>
        <v>#N/A</v>
      </c>
      <c r="H9" s="82">
        <f t="shared" si="1"/>
        <v>3.2967032967032968E-2</v>
      </c>
      <c r="I9" s="87" t="e">
        <f>VLOOKUP(B9,'R.H.'!A$3:C$3974,3,FALSE)/100</f>
        <v>#N/A</v>
      </c>
      <c r="J9" s="83">
        <v>1</v>
      </c>
      <c r="K9" s="92" t="e">
        <f t="shared" si="2"/>
        <v>#N/A</v>
      </c>
      <c r="L9" s="84">
        <v>170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444</v>
      </c>
      <c r="C10" s="91" t="e">
        <f>IF(ISBLANK(B10),"",VLOOKUP(B10,SÜRELER!$A:$B,2,FALSE))</f>
        <v>#N/A</v>
      </c>
      <c r="D10" s="80">
        <f>2066+618</f>
        <v>2684</v>
      </c>
      <c r="E10" s="92" t="e">
        <f>IF(ISBLANK($B10),"0",VLOOKUP($B10,SÜRELER!$A:$C,3,FALSE))*(D10-F10)</f>
        <v>#N/A</v>
      </c>
      <c r="F10" s="81">
        <v>4</v>
      </c>
      <c r="G10" s="93" t="e">
        <f>VLOOKUP(B10,'R.H.'!A$3:C$3974,3,FALSE)*D10/100</f>
        <v>#N/A</v>
      </c>
      <c r="H10" s="82">
        <f t="shared" si="1"/>
        <v>1.4903129657228018E-3</v>
      </c>
      <c r="I10" s="87" t="e">
        <f>VLOOKUP(B10,'R.H.'!A$3:C$3974,3,FALSE)/100</f>
        <v>#N/A</v>
      </c>
      <c r="J10" s="83">
        <v>1</v>
      </c>
      <c r="K10" s="92" t="e">
        <f t="shared" si="2"/>
        <v>#N/A</v>
      </c>
      <c r="L10" s="84">
        <v>1375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288</v>
      </c>
      <c r="C11" s="91" t="e">
        <f>IF(ISBLANK(B11),"",VLOOKUP(B11,SÜRELER!$A:$B,2,FALSE))</f>
        <v>#N/A</v>
      </c>
      <c r="D11" s="80">
        <f>807+574</f>
        <v>1381</v>
      </c>
      <c r="E11" s="92" t="e">
        <f>IF(ISBLANK($B11),"0",VLOOKUP($B11,SÜRELER!$A:$C,3,FALSE))*(D11-F11)</f>
        <v>#N/A</v>
      </c>
      <c r="F11" s="81">
        <v>5</v>
      </c>
      <c r="G11" s="93" t="e">
        <f>VLOOKUP(B11,'R.H.'!A$3:C$3974,3,FALSE)*D11/100</f>
        <v>#N/A</v>
      </c>
      <c r="H11" s="82">
        <f t="shared" si="1"/>
        <v>3.6205648081100651E-3</v>
      </c>
      <c r="I11" s="87" t="e">
        <f>VLOOKUP(B11,'R.H.'!A$3:C$3974,3,FALSE)/100</f>
        <v>#N/A</v>
      </c>
      <c r="J11" s="83">
        <v>0.5</v>
      </c>
      <c r="K11" s="92" t="e">
        <f t="shared" si="2"/>
        <v>#N/A</v>
      </c>
      <c r="L11" s="84">
        <v>1165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287</v>
      </c>
      <c r="C12" s="91" t="e">
        <f>IF(ISBLANK(B12),"",VLOOKUP(B12,SÜRELER!$A:$B,2,FALSE))</f>
        <v>#N/A</v>
      </c>
      <c r="D12" s="80">
        <v>1381</v>
      </c>
      <c r="E12" s="92" t="e">
        <f>IF(ISBLANK($B12),"0",VLOOKUP($B12,SÜRELER!$A:$C,3,FALSE))*(D12-F12)</f>
        <v>#N/A</v>
      </c>
      <c r="F12" s="81">
        <v>5</v>
      </c>
      <c r="G12" s="93" t="e">
        <f>VLOOKUP(B12,'R.H.'!A$3:C$3974,3,FALSE)*D12/100</f>
        <v>#N/A</v>
      </c>
      <c r="H12" s="82">
        <f t="shared" si="1"/>
        <v>3.6205648081100651E-3</v>
      </c>
      <c r="I12" s="87" t="e">
        <f>VLOOKUP(B12,'R.H.'!A$3:C$3974,3,FALSE)/100</f>
        <v>#N/A</v>
      </c>
      <c r="J12" s="83">
        <v>0.5</v>
      </c>
      <c r="K12" s="92" t="e">
        <f t="shared" si="2"/>
        <v>#N/A</v>
      </c>
      <c r="L12" s="84">
        <v>1165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1362</v>
      </c>
      <c r="C13" s="91" t="e">
        <f>IF(ISBLANK(B13),"",VLOOKUP(B13,SÜRELER!$A:$B,2,FALSE))</f>
        <v>#N/A</v>
      </c>
      <c r="D13" s="80">
        <f>727+656</f>
        <v>1383</v>
      </c>
      <c r="E13" s="92" t="e">
        <f>IF(ISBLANK($B13),"0",VLOOKUP($B13,SÜRELER!$A:$C,3,FALSE))*(D13-F13)</f>
        <v>#N/A</v>
      </c>
      <c r="F13" s="81">
        <v>0</v>
      </c>
      <c r="G13" s="93" t="e">
        <f>VLOOKUP(B13,'R.H.'!A$3:C$3974,3,FALSE)*D13/100</f>
        <v>#N/A</v>
      </c>
      <c r="H13" s="82">
        <f t="shared" si="1"/>
        <v>0</v>
      </c>
      <c r="I13" s="87" t="e">
        <f>VLOOKUP(B13,'R.H.'!A$3:C$3974,3,FALSE)/100</f>
        <v>#N/A</v>
      </c>
      <c r="J13" s="83">
        <v>0.5</v>
      </c>
      <c r="K13" s="92" t="e">
        <f t="shared" si="2"/>
        <v>#N/A</v>
      </c>
      <c r="L13" s="84">
        <v>1393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1363</v>
      </c>
      <c r="C14" s="91" t="e">
        <f>IF(ISBLANK(B14),"",VLOOKUP(B14,SÜRELER!$A:$B,2,FALSE))</f>
        <v>#N/A</v>
      </c>
      <c r="D14" s="80">
        <v>1383</v>
      </c>
      <c r="E14" s="92" t="e">
        <f>IF(ISBLANK($B14),"0",VLOOKUP($B14,SÜRELER!$A:$C,3,FALSE))*(D14-F14)</f>
        <v>#N/A</v>
      </c>
      <c r="F14" s="81">
        <v>0</v>
      </c>
      <c r="G14" s="93" t="e">
        <f>VLOOKUP(B14,'R.H.'!A$3:C$3974,3,FALSE)*D14/100</f>
        <v>#N/A</v>
      </c>
      <c r="H14" s="82">
        <f t="shared" si="1"/>
        <v>0</v>
      </c>
      <c r="I14" s="87" t="e">
        <f>VLOOKUP(B14,'R.H.'!A$3:C$3974,3,FALSE)/100</f>
        <v>#N/A</v>
      </c>
      <c r="J14" s="83">
        <v>0.5</v>
      </c>
      <c r="K14" s="92" t="e">
        <f t="shared" si="2"/>
        <v>#N/A</v>
      </c>
      <c r="L14" s="84">
        <v>1393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1332</v>
      </c>
      <c r="C15" s="91" t="e">
        <f>IF(ISBLANK(B15),"",VLOOKUP(B15,SÜRELER!$A:$B,2,FALSE))</f>
        <v>#N/A</v>
      </c>
      <c r="D15" s="80">
        <f>1366+436</f>
        <v>1802</v>
      </c>
      <c r="E15" s="92" t="e">
        <f>IF(ISBLANK($B15),"0",VLOOKUP($B15,SÜRELER!$A:$C,3,FALSE))*(D15-F15)</f>
        <v>#N/A</v>
      </c>
      <c r="F15" s="81">
        <v>18</v>
      </c>
      <c r="G15" s="93" t="e">
        <f>VLOOKUP(B15,'R.H.'!A$3:C$3974,3,FALSE)*D15/100</f>
        <v>#N/A</v>
      </c>
      <c r="H15" s="82">
        <f t="shared" si="1"/>
        <v>9.9889012208657056E-3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1900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1333</v>
      </c>
      <c r="C16" s="91" t="e">
        <f>IF(ISBLANK(B16),"",VLOOKUP(B16,SÜRELER!$A:$B,2,FALSE))</f>
        <v>#N/A</v>
      </c>
      <c r="D16" s="80">
        <v>1802</v>
      </c>
      <c r="E16" s="92" t="e">
        <f>IF(ISBLANK($B16),"0",VLOOKUP($B16,SÜRELER!$A:$C,3,FALSE))*(D16-F16)</f>
        <v>#N/A</v>
      </c>
      <c r="F16" s="81">
        <v>18</v>
      </c>
      <c r="G16" s="93" t="e">
        <f>VLOOKUP(B16,'R.H.'!A$3:C$3974,3,FALSE)*D16/100</f>
        <v>#N/A</v>
      </c>
      <c r="H16" s="82">
        <f t="shared" si="1"/>
        <v>9.9889012208657056E-3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1900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826</v>
      </c>
      <c r="C17" s="91" t="e">
        <f>IF(ISBLANK(B17),"",VLOOKUP(B17,SÜRELER!$A:$B,2,FALSE))</f>
        <v>#N/A</v>
      </c>
      <c r="D17" s="80">
        <f>300+209</f>
        <v>509</v>
      </c>
      <c r="E17" s="92" t="e">
        <f>IF(ISBLANK($B17),"0",VLOOKUP($B17,SÜRELER!$A:$C,3,FALSE))*(D17-F17)</f>
        <v>#N/A</v>
      </c>
      <c r="F17" s="81">
        <v>5</v>
      </c>
      <c r="G17" s="93" t="e">
        <f>VLOOKUP(B17,'R.H.'!A$3:C$3974,3,FALSE)*D17/100</f>
        <v>#N/A</v>
      </c>
      <c r="H17" s="82">
        <f t="shared" si="1"/>
        <v>9.823182711198428E-3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540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827</v>
      </c>
      <c r="C18" s="91" t="e">
        <f>IF(ISBLANK(B18),"",VLOOKUP(B18,SÜRELER!$A:$B,2,FALSE))</f>
        <v>#N/A</v>
      </c>
      <c r="D18" s="80">
        <v>510</v>
      </c>
      <c r="E18" s="92" t="e">
        <f>IF(ISBLANK($B18),"0",VLOOKUP($B18,SÜRELER!$A:$C,3,FALSE))*(D18-F18)</f>
        <v>#N/A</v>
      </c>
      <c r="F18" s="81">
        <v>5</v>
      </c>
      <c r="G18" s="93" t="e">
        <f>VLOOKUP(B18,'R.H.'!A$3:C$3974,3,FALSE)*D18/100</f>
        <v>#N/A</v>
      </c>
      <c r="H18" s="82">
        <f t="shared" si="1"/>
        <v>9.8039215686274508E-3</v>
      </c>
      <c r="I18" s="87" t="e">
        <f>VLOOKUP(B18,'R.H.'!A$3:C$3974,3,FALSE)/100</f>
        <v>#N/A</v>
      </c>
      <c r="J18" s="83">
        <v>0.5</v>
      </c>
      <c r="K18" s="92" t="e">
        <f t="shared" si="2"/>
        <v>#N/A</v>
      </c>
      <c r="L18" s="84">
        <v>540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1973</v>
      </c>
      <c r="C19" s="91" t="e">
        <f>IF(ISBLANK(B19),"",VLOOKUP(B19,SÜRELER!$A:$B,2,FALSE))</f>
        <v>#N/A</v>
      </c>
      <c r="D19" s="80">
        <v>380</v>
      </c>
      <c r="E19" s="92" t="e">
        <f>IF(ISBLANK($B19),"0",VLOOKUP($B19,SÜRELER!$A:$C,3,FALSE))*(D19-F19)</f>
        <v>#N/A</v>
      </c>
      <c r="F19" s="81">
        <v>8</v>
      </c>
      <c r="G19" s="93" t="e">
        <f>VLOOKUP(B19,'R.H.'!A$3:C$3974,3,FALSE)*D19/100</f>
        <v>#N/A</v>
      </c>
      <c r="H19" s="82">
        <f t="shared" si="1"/>
        <v>2.1052631578947368E-2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230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1974</v>
      </c>
      <c r="C20" s="91" t="e">
        <f>IF(ISBLANK(B20),"",VLOOKUP(B20,SÜRELER!$A:$B,2,FALSE))</f>
        <v>#N/A</v>
      </c>
      <c r="D20" s="80">
        <v>380</v>
      </c>
      <c r="E20" s="92" t="e">
        <f>IF(ISBLANK($B20),"0",VLOOKUP($B20,SÜRELER!$A:$C,3,FALSE))*(D20-F20)</f>
        <v>#N/A</v>
      </c>
      <c r="F20" s="81">
        <v>8</v>
      </c>
      <c r="G20" s="93" t="e">
        <f>VLOOKUP(B20,'R.H.'!A$3:C$3974,3,FALSE)*D20/100</f>
        <v>#N/A</v>
      </c>
      <c r="H20" s="82">
        <f t="shared" si="1"/>
        <v>2.1052631578947368E-2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230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827</v>
      </c>
      <c r="C21" s="91" t="e">
        <f>IF(ISBLANK(B21),"",VLOOKUP(B21,SÜRELER!$A:$B,2,FALSE))</f>
        <v>#N/A</v>
      </c>
      <c r="D21" s="80">
        <v>127</v>
      </c>
      <c r="E21" s="92" t="e">
        <f>IF(ISBLANK($B21),"0",VLOOKUP($B21,SÜRELER!$A:$C,3,FALSE))*(D21-F21)</f>
        <v>#N/A</v>
      </c>
      <c r="F21" s="81">
        <v>3</v>
      </c>
      <c r="G21" s="93" t="e">
        <f>VLOOKUP(B21,'R.H.'!A$3:C$3974,3,FALSE)*D21/100</f>
        <v>#N/A</v>
      </c>
      <c r="H21" s="82">
        <f t="shared" si="1"/>
        <v>2.3622047244094488E-2</v>
      </c>
      <c r="I21" s="87" t="e">
        <f>VLOOKUP(B21,'R.H.'!A$3:C$3974,3,FALSE)/100</f>
        <v>#N/A</v>
      </c>
      <c r="J21" s="83">
        <v>0.5</v>
      </c>
      <c r="K21" s="92" t="e">
        <f t="shared" si="2"/>
        <v>#N/A</v>
      </c>
      <c r="L21" s="84">
        <v>135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829</v>
      </c>
      <c r="C22" s="91" t="e">
        <f>IF(ISBLANK(B22),"",VLOOKUP(B22,SÜRELER!$A:$B,2,FALSE))</f>
        <v>#N/A</v>
      </c>
      <c r="D22" s="80">
        <v>127</v>
      </c>
      <c r="E22" s="92" t="e">
        <f>IF(ISBLANK($B22),"0",VLOOKUP($B22,SÜRELER!$A:$C,3,FALSE))*(D22-F22)</f>
        <v>#N/A</v>
      </c>
      <c r="F22" s="81">
        <v>3</v>
      </c>
      <c r="G22" s="93" t="e">
        <f>VLOOKUP(B22,'R.H.'!A$3:C$3974,3,FALSE)*D22/100</f>
        <v>#N/A</v>
      </c>
      <c r="H22" s="82">
        <f t="shared" si="1"/>
        <v>2.3622047244094488E-2</v>
      </c>
      <c r="I22" s="87" t="e">
        <f>VLOOKUP(B22,'R.H.'!A$3:C$3974,3,FALSE)/100</f>
        <v>#N/A</v>
      </c>
      <c r="J22" s="83">
        <v>0.5</v>
      </c>
      <c r="K22" s="92" t="e">
        <f t="shared" si="2"/>
        <v>#N/A</v>
      </c>
      <c r="L22" s="84">
        <v>225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1908</v>
      </c>
      <c r="C23" s="91" t="e">
        <f>IF(ISBLANK(B23),"",VLOOKUP(B23,SÜRELER!$A:$B,2,FALSE))</f>
        <v>#N/A</v>
      </c>
      <c r="D23" s="80">
        <f>586+556</f>
        <v>1142</v>
      </c>
      <c r="E23" s="92" t="e">
        <f>IF(ISBLANK($B23),"0",VLOOKUP($B23,SÜRELER!$A:$C,3,FALSE))*(D23-F23)</f>
        <v>#N/A</v>
      </c>
      <c r="F23" s="81">
        <v>2</v>
      </c>
      <c r="G23" s="93" t="e">
        <f>VLOOKUP(B23,'R.H.'!A$3:C$3974,3,FALSE)*D23/100</f>
        <v>#N/A</v>
      </c>
      <c r="H23" s="82">
        <f t="shared" si="1"/>
        <v>1.7513134851138354E-3</v>
      </c>
      <c r="I23" s="87" t="e">
        <f>VLOOKUP(B23,'R.H.'!A$3:C$3974,3,FALSE)/100</f>
        <v>#N/A</v>
      </c>
      <c r="J23" s="83">
        <v>0.5</v>
      </c>
      <c r="K23" s="92" t="e">
        <f t="shared" si="2"/>
        <v>#N/A</v>
      </c>
      <c r="L23" s="84">
        <v>1325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1909</v>
      </c>
      <c r="C24" s="91" t="e">
        <f>IF(ISBLANK(B24),"",VLOOKUP(B24,SÜRELER!$A:$B,2,FALSE))</f>
        <v>#N/A</v>
      </c>
      <c r="D24" s="80">
        <v>1142</v>
      </c>
      <c r="E24" s="92" t="e">
        <f>IF(ISBLANK($B24),"0",VLOOKUP($B24,SÜRELER!$A:$C,3,FALSE))*(D24-F24)</f>
        <v>#N/A</v>
      </c>
      <c r="F24" s="81">
        <v>2</v>
      </c>
      <c r="G24" s="93" t="e">
        <f>VLOOKUP(B24,'R.H.'!A$3:C$3974,3,FALSE)*D24/100</f>
        <v>#N/A</v>
      </c>
      <c r="H24" s="82">
        <f t="shared" si="1"/>
        <v>1.7513134851138354E-3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1325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988</v>
      </c>
      <c r="C25" s="91" t="e">
        <f>IF(ISBLANK(B25),"",VLOOKUP(B25,SÜRELER!$A:$B,2,FALSE))</f>
        <v>#N/A</v>
      </c>
      <c r="D25" s="80">
        <v>114</v>
      </c>
      <c r="E25" s="92" t="e">
        <f>IF(ISBLANK($B25),"0",VLOOKUP($B25,SÜRELER!$A:$C,3,FALSE))*(D25-F25)</f>
        <v>#N/A</v>
      </c>
      <c r="F25" s="81">
        <v>3</v>
      </c>
      <c r="G25" s="93" t="e">
        <f>VLOOKUP(B25,'R.H.'!A$3:C$3974,3,FALSE)*D25/100</f>
        <v>#N/A</v>
      </c>
      <c r="H25" s="82">
        <f t="shared" si="1"/>
        <v>2.6315789473684209E-2</v>
      </c>
      <c r="I25" s="87" t="e">
        <f>VLOOKUP(B25,'R.H.'!A$3:C$3974,3,FALSE)/100</f>
        <v>#N/A</v>
      </c>
      <c r="J25" s="83">
        <v>0.5</v>
      </c>
      <c r="K25" s="92" t="e">
        <f t="shared" si="2"/>
        <v>#N/A</v>
      </c>
      <c r="L25" s="84">
        <v>95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1977</v>
      </c>
      <c r="C26" s="91" t="e">
        <f>IF(ISBLANK(B26),"",VLOOKUP(B26,SÜRELER!$A:$B,2,FALSE))</f>
        <v>#N/A</v>
      </c>
      <c r="D26" s="80">
        <f>315+394</f>
        <v>709</v>
      </c>
      <c r="E26" s="92" t="e">
        <f>IF(ISBLANK($B26),"0",VLOOKUP($B26,SÜRELER!$A:$C,3,FALSE))*(D26-F26)</f>
        <v>#N/A</v>
      </c>
      <c r="F26" s="81">
        <v>4</v>
      </c>
      <c r="G26" s="93" t="e">
        <f>VLOOKUP(B26,'R.H.'!A$3:C$3974,3,FALSE)*D26/100</f>
        <v>#N/A</v>
      </c>
      <c r="H26" s="82">
        <f t="shared" si="1"/>
        <v>5.6417489421720732E-3</v>
      </c>
      <c r="I26" s="87" t="e">
        <f>VLOOKUP(B26,'R.H.'!A$3:C$3974,3,FALSE)/100</f>
        <v>#N/A</v>
      </c>
      <c r="J26" s="83">
        <v>0.5</v>
      </c>
      <c r="K26" s="92" t="e">
        <f t="shared" si="2"/>
        <v>#N/A</v>
      </c>
      <c r="L26" s="84">
        <v>1420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1978</v>
      </c>
      <c r="C27" s="91" t="e">
        <f>IF(ISBLANK(B27),"",VLOOKUP(B27,SÜRELER!$A:$B,2,FALSE))</f>
        <v>#N/A</v>
      </c>
      <c r="D27" s="80">
        <v>709</v>
      </c>
      <c r="E27" s="92" t="e">
        <f>IF(ISBLANK($B27),"0",VLOOKUP($B27,SÜRELER!$A:$C,3,FALSE))*(D27-F27)</f>
        <v>#N/A</v>
      </c>
      <c r="F27" s="81">
        <v>4</v>
      </c>
      <c r="G27" s="93" t="e">
        <f>VLOOKUP(B27,'R.H.'!A$3:C$3974,3,FALSE)*D27/100</f>
        <v>#N/A</v>
      </c>
      <c r="H27" s="82">
        <f t="shared" si="1"/>
        <v>5.6417489421720732E-3</v>
      </c>
      <c r="I27" s="87" t="e">
        <f>VLOOKUP(B27,'R.H.'!A$3:C$3974,3,FALSE)/100</f>
        <v>#N/A</v>
      </c>
      <c r="J27" s="83">
        <v>0.5</v>
      </c>
      <c r="K27" s="92" t="e">
        <f t="shared" si="2"/>
        <v>#N/A</v>
      </c>
      <c r="L27" s="84">
        <v>1420</v>
      </c>
      <c r="M27" s="84"/>
      <c r="N27" s="94" t="e">
        <f t="shared" si="3"/>
        <v>#N/A</v>
      </c>
      <c r="O27" s="88" t="e">
        <f t="shared" si="0"/>
        <v>#N/A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>
        <v>1979</v>
      </c>
      <c r="C28" s="91" t="e">
        <f>IF(ISBLANK(B28),"",VLOOKUP(B28,SÜRELER!$A:$B,2,FALSE))</f>
        <v>#N/A</v>
      </c>
      <c r="D28" s="80">
        <v>709</v>
      </c>
      <c r="E28" s="92" t="e">
        <f>IF(ISBLANK($B28),"0",VLOOKUP($B28,SÜRELER!$A:$C,3,FALSE))*(D28-F28)</f>
        <v>#N/A</v>
      </c>
      <c r="F28" s="81">
        <v>4</v>
      </c>
      <c r="G28" s="93" t="e">
        <f>VLOOKUP(B28,'R.H.'!A$3:C$3974,3,FALSE)*D28/100</f>
        <v>#N/A</v>
      </c>
      <c r="H28" s="82">
        <f t="shared" si="1"/>
        <v>5.6417489421720732E-3</v>
      </c>
      <c r="I28" s="87" t="e">
        <f>VLOOKUP(B28,'R.H.'!A$3:C$3974,3,FALSE)/100</f>
        <v>#N/A</v>
      </c>
      <c r="J28" s="83">
        <v>0.5</v>
      </c>
      <c r="K28" s="92" t="e">
        <f t="shared" si="2"/>
        <v>#N/A</v>
      </c>
      <c r="L28" s="84">
        <v>1420</v>
      </c>
      <c r="M28" s="84"/>
      <c r="N28" s="94" t="e">
        <f t="shared" si="3"/>
        <v>#N/A</v>
      </c>
      <c r="O28" s="88" t="e">
        <f t="shared" si="0"/>
        <v>#N/A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>
        <v>1980</v>
      </c>
      <c r="C29" s="91" t="e">
        <f>IF(ISBLANK(B29),"",VLOOKUP(B29,SÜRELER!$A:$B,2,FALSE))</f>
        <v>#N/A</v>
      </c>
      <c r="D29" s="80">
        <v>709</v>
      </c>
      <c r="E29" s="92" t="e">
        <f>IF(ISBLANK($B29),"0",VLOOKUP($B29,SÜRELER!$A:$C,3,FALSE))*(D29-F29)</f>
        <v>#N/A</v>
      </c>
      <c r="F29" s="81">
        <v>4</v>
      </c>
      <c r="G29" s="93" t="e">
        <f>VLOOKUP(B29,'R.H.'!A$3:C$3974,3,FALSE)*D29/100</f>
        <v>#N/A</v>
      </c>
      <c r="H29" s="82">
        <f t="shared" si="1"/>
        <v>5.6417489421720732E-3</v>
      </c>
      <c r="I29" s="87" t="e">
        <f>VLOOKUP(B29,'R.H.'!A$3:C$3974,3,FALSE)/100</f>
        <v>#N/A</v>
      </c>
      <c r="J29" s="83">
        <v>0.5</v>
      </c>
      <c r="K29" s="92" t="e">
        <f t="shared" si="2"/>
        <v>#N/A</v>
      </c>
      <c r="L29" s="84">
        <v>1420</v>
      </c>
      <c r="M29" s="84"/>
      <c r="N29" s="94" t="e">
        <f t="shared" si="3"/>
        <v>#N/A</v>
      </c>
      <c r="O29" s="88" t="e">
        <f t="shared" si="0"/>
        <v>#N/A</v>
      </c>
      <c r="P29" s="119"/>
      <c r="Q29" s="5"/>
      <c r="R29" s="5"/>
    </row>
    <row r="30" spans="1:18" s="4" customFormat="1" ht="16.5" x14ac:dyDescent="0.25">
      <c r="A30" s="85">
        <v>26</v>
      </c>
      <c r="B30" s="86">
        <v>2037</v>
      </c>
      <c r="C30" s="91" t="e">
        <f>IF(ISBLANK(B30),"",VLOOKUP(B30,SÜRELER!$A:$B,2,FALSE))</f>
        <v>#N/A</v>
      </c>
      <c r="D30" s="80">
        <v>214</v>
      </c>
      <c r="E30" s="92" t="e">
        <f>IF(ISBLANK($B30),"0",VLOOKUP($B30,SÜRELER!$A:$C,3,FALSE))*(D30-F30)</f>
        <v>#N/A</v>
      </c>
      <c r="F30" s="81">
        <v>4</v>
      </c>
      <c r="G30" s="93" t="e">
        <f>VLOOKUP(B30,'R.H.'!A$3:C$3974,3,FALSE)*D30/100</f>
        <v>#N/A</v>
      </c>
      <c r="H30" s="82">
        <f t="shared" si="1"/>
        <v>1.8691588785046728E-2</v>
      </c>
      <c r="I30" s="87" t="e">
        <f>VLOOKUP(B30,'R.H.'!A$3:C$3974,3,FALSE)/100</f>
        <v>#N/A</v>
      </c>
      <c r="J30" s="83">
        <v>0.5</v>
      </c>
      <c r="K30" s="92" t="e">
        <f t="shared" si="2"/>
        <v>#N/A</v>
      </c>
      <c r="L30" s="84">
        <v>128</v>
      </c>
      <c r="M30" s="84"/>
      <c r="N30" s="94" t="e">
        <f t="shared" si="3"/>
        <v>#N/A</v>
      </c>
      <c r="O30" s="88" t="e">
        <f t="shared" si="0"/>
        <v>#N/A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>
        <v>2039</v>
      </c>
      <c r="C31" s="91" t="e">
        <f>IF(ISBLANK(B31),"",VLOOKUP(B31,SÜRELER!$A:$B,2,FALSE))</f>
        <v>#N/A</v>
      </c>
      <c r="D31" s="80">
        <v>214</v>
      </c>
      <c r="E31" s="92" t="e">
        <f>IF(ISBLANK($B31),"0",VLOOKUP($B31,SÜRELER!$A:$C,3,FALSE))*(D31-F31)</f>
        <v>#N/A</v>
      </c>
      <c r="F31" s="81">
        <v>4</v>
      </c>
      <c r="G31" s="93" t="e">
        <f>VLOOKUP(B31,'R.H.'!A$3:C$3974,3,FALSE)*D31/100</f>
        <v>#N/A</v>
      </c>
      <c r="H31" s="82">
        <f t="shared" si="1"/>
        <v>1.8691588785046728E-2</v>
      </c>
      <c r="I31" s="87" t="e">
        <f>VLOOKUP(B31,'R.H.'!A$3:C$3974,3,FALSE)/100</f>
        <v>#N/A</v>
      </c>
      <c r="J31" s="83">
        <v>0.5</v>
      </c>
      <c r="K31" s="92" t="e">
        <f t="shared" si="2"/>
        <v>#N/A</v>
      </c>
      <c r="L31" s="84">
        <v>128</v>
      </c>
      <c r="M31" s="84"/>
      <c r="N31" s="94" t="e">
        <f t="shared" si="3"/>
        <v>#N/A</v>
      </c>
      <c r="O31" s="88" t="e">
        <f t="shared" si="0"/>
        <v>#N/A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>
        <v>1108</v>
      </c>
      <c r="C32" s="91" t="e">
        <f>IF(ISBLANK(B32),"",VLOOKUP(B32,SÜRELER!$A:$B,2,FALSE))</f>
        <v>#N/A</v>
      </c>
      <c r="D32" s="80">
        <f>198+909</f>
        <v>1107</v>
      </c>
      <c r="E32" s="92" t="e">
        <f>IF(ISBLANK($B32),"0",VLOOKUP($B32,SÜRELER!$A:$C,3,FALSE))*(D32-F32)</f>
        <v>#N/A</v>
      </c>
      <c r="F32" s="81">
        <v>12</v>
      </c>
      <c r="G32" s="93" t="e">
        <f>VLOOKUP(B32,'R.H.'!A$3:C$3974,3,FALSE)*D32/100</f>
        <v>#N/A</v>
      </c>
      <c r="H32" s="82">
        <f t="shared" si="1"/>
        <v>1.0840108401084011E-2</v>
      </c>
      <c r="I32" s="87" t="e">
        <f>VLOOKUP(B32,'R.H.'!A$3:C$3974,3,FALSE)/100</f>
        <v>#N/A</v>
      </c>
      <c r="J32" s="83">
        <v>1</v>
      </c>
      <c r="K32" s="92" t="e">
        <f t="shared" si="2"/>
        <v>#N/A</v>
      </c>
      <c r="L32" s="84">
        <v>520</v>
      </c>
      <c r="M32" s="84"/>
      <c r="N32" s="94" t="e">
        <f t="shared" si="3"/>
        <v>#N/A</v>
      </c>
      <c r="O32" s="88" t="e">
        <f t="shared" si="0"/>
        <v>#N/A</v>
      </c>
      <c r="P32" s="119"/>
      <c r="Q32" s="5"/>
      <c r="R32" s="5"/>
    </row>
    <row r="33" spans="1:18" s="4" customFormat="1" ht="16.5" x14ac:dyDescent="0.25">
      <c r="A33" s="90">
        <v>29</v>
      </c>
      <c r="B33" s="86">
        <v>1131</v>
      </c>
      <c r="C33" s="91" t="e">
        <f>IF(ISBLANK(B33),"",VLOOKUP(B33,SÜRELER!$A:$B,2,FALSE))</f>
        <v>#N/A</v>
      </c>
      <c r="D33" s="80">
        <f>916+1278</f>
        <v>2194</v>
      </c>
      <c r="E33" s="92" t="e">
        <f>IF(ISBLANK($B33),"0",VLOOKUP($B33,SÜRELER!$A:$C,3,FALSE))*(D33-F33)</f>
        <v>#N/A</v>
      </c>
      <c r="F33" s="81">
        <v>10</v>
      </c>
      <c r="G33" s="93" t="e">
        <f>VLOOKUP(B33,'R.H.'!A$3:C$3974,3,FALSE)*D33/100</f>
        <v>#N/A</v>
      </c>
      <c r="H33" s="82">
        <f t="shared" si="1"/>
        <v>4.5578851412944391E-3</v>
      </c>
      <c r="I33" s="87" t="e">
        <f>VLOOKUP(B33,'R.H.'!A$3:C$3974,3,FALSE)/100</f>
        <v>#N/A</v>
      </c>
      <c r="J33" s="83">
        <v>1</v>
      </c>
      <c r="K33" s="92" t="e">
        <f t="shared" si="2"/>
        <v>#N/A</v>
      </c>
      <c r="L33" s="84">
        <v>730</v>
      </c>
      <c r="M33" s="84"/>
      <c r="N33" s="94" t="e">
        <f t="shared" si="3"/>
        <v>#N/A</v>
      </c>
      <c r="O33" s="88" t="e">
        <f t="shared" si="0"/>
        <v>#N/A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>
        <v>9110</v>
      </c>
      <c r="C34" s="91" t="e">
        <f>IF(ISBLANK(B34),"",VLOOKUP(B34,SÜRELER!$A:$B,2,FALSE))</f>
        <v>#N/A</v>
      </c>
      <c r="D34" s="80">
        <v>400</v>
      </c>
      <c r="E34" s="92" t="e">
        <f>IF(ISBLANK($B34),"0",VLOOKUP($B34,SÜRELER!$A:$C,3,FALSE))*(D34-F34)</f>
        <v>#N/A</v>
      </c>
      <c r="F34" s="81">
        <v>0</v>
      </c>
      <c r="G34" s="93" t="e">
        <f>VLOOKUP(B34,'R.H.'!A$3:C$3974,3,FALSE)*D34/100</f>
        <v>#N/A</v>
      </c>
      <c r="H34" s="82">
        <f t="shared" si="1"/>
        <v>0</v>
      </c>
      <c r="I34" s="87" t="e">
        <f>VLOOKUP(B34,'R.H.'!A$3:C$3974,3,FALSE)/100</f>
        <v>#N/A</v>
      </c>
      <c r="J34" s="83">
        <v>0.5</v>
      </c>
      <c r="K34" s="92" t="e">
        <f t="shared" si="2"/>
        <v>#N/A</v>
      </c>
      <c r="L34" s="84">
        <v>325</v>
      </c>
      <c r="M34" s="84"/>
      <c r="N34" s="94" t="e">
        <f t="shared" si="3"/>
        <v>#N/A</v>
      </c>
      <c r="O34" s="88" t="e">
        <f t="shared" si="0"/>
        <v>#N/A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>
        <v>9120</v>
      </c>
      <c r="C35" s="91" t="e">
        <f>IF(ISBLANK(B35),"",VLOOKUP(B35,SÜRELER!$A:$B,2,FALSE))</f>
        <v>#N/A</v>
      </c>
      <c r="D35" s="80">
        <v>400</v>
      </c>
      <c r="E35" s="92" t="e">
        <f>IF(ISBLANK($B35),"0",VLOOKUP($B35,SÜRELER!$A:$C,3,FALSE))*(D35-F35)</f>
        <v>#N/A</v>
      </c>
      <c r="F35" s="81">
        <v>0</v>
      </c>
      <c r="G35" s="93" t="e">
        <f>VLOOKUP(B35,'R.H.'!A$3:C$3974,3,FALSE)*D35/100</f>
        <v>#N/A</v>
      </c>
      <c r="H35" s="82">
        <f t="shared" si="1"/>
        <v>0</v>
      </c>
      <c r="I35" s="87" t="e">
        <f>VLOOKUP(B35,'R.H.'!A$3:C$3974,3,FALSE)/100</f>
        <v>#N/A</v>
      </c>
      <c r="J35" s="83">
        <v>0.5</v>
      </c>
      <c r="K35" s="92" t="e">
        <f t="shared" si="2"/>
        <v>#N/A</v>
      </c>
      <c r="L35" s="84">
        <v>325</v>
      </c>
      <c r="M35" s="84"/>
      <c r="N35" s="94" t="e">
        <f t="shared" si="3"/>
        <v>#N/A</v>
      </c>
      <c r="O35" s="88" t="e">
        <f t="shared" si="0"/>
        <v>#N/A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27714</v>
      </c>
      <c r="E45" s="26" t="e">
        <f>SUM(E5:E44)</f>
        <v>#N/A</v>
      </c>
      <c r="F45" s="26">
        <f>SUM(F5:F44)</f>
        <v>165</v>
      </c>
      <c r="G45" s="26"/>
      <c r="H45" s="26"/>
      <c r="I45" s="26"/>
      <c r="J45" s="26"/>
      <c r="K45" s="26"/>
      <c r="L45" s="26">
        <f>SUM(L5:L44)</f>
        <v>25282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0.59536696254600563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30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14980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>
        <v>150</v>
      </c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14830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150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27714</v>
      </c>
      <c r="F63" s="24">
        <f>F45</f>
        <v>165</v>
      </c>
      <c r="G63" s="23">
        <f>(F63*1000000)/E63</f>
        <v>5953.6696254600565</v>
      </c>
      <c r="H63" s="22">
        <f>D59</f>
        <v>150</v>
      </c>
      <c r="I63" s="17" t="e">
        <f>N1</f>
        <v>#N/A</v>
      </c>
    </row>
  </sheetData>
  <mergeCells count="17">
    <mergeCell ref="P5:P6"/>
    <mergeCell ref="P7:P8"/>
    <mergeCell ref="N1:N3"/>
    <mergeCell ref="A2:B3"/>
    <mergeCell ref="E56:N56"/>
    <mergeCell ref="D46:D47"/>
    <mergeCell ref="E46:F47"/>
    <mergeCell ref="A1:B1"/>
    <mergeCell ref="C1:D2"/>
    <mergeCell ref="H1:H3"/>
    <mergeCell ref="E57:N57"/>
    <mergeCell ref="E49:N49"/>
    <mergeCell ref="E50:N50"/>
    <mergeCell ref="E51:N51"/>
    <mergeCell ref="E53:N53"/>
    <mergeCell ref="E54:N54"/>
    <mergeCell ref="E55:N55"/>
  </mergeCells>
  <conditionalFormatting sqref="D3">
    <cfRule type="cellIs" dxfId="64" priority="5" stopIfTrue="1" operator="lessThan">
      <formula>0.95</formula>
    </cfRule>
  </conditionalFormatting>
  <conditionalFormatting sqref="F5:F44">
    <cfRule type="cellIs" dxfId="63" priority="1" stopIfTrue="1" operator="greaterThan">
      <formula>$G5</formula>
    </cfRule>
  </conditionalFormatting>
  <conditionalFormatting sqref="H5:H44">
    <cfRule type="cellIs" dxfId="62" priority="2" stopIfTrue="1" operator="greaterThan">
      <formula>$I$5</formula>
    </cfRule>
  </conditionalFormatting>
  <conditionalFormatting sqref="N1:N3">
    <cfRule type="cellIs" dxfId="61" priority="4" stopIfTrue="1" operator="lessThan">
      <formula>0.8</formula>
    </cfRule>
  </conditionalFormatting>
  <conditionalFormatting sqref="N5:O44">
    <cfRule type="cellIs" dxfId="60" priority="3" stopIfTrue="1" operator="lessThan">
      <formula>0.85</formula>
    </cfRule>
  </conditionalFormatting>
  <hyperlinks>
    <hyperlink ref="P1:P3" location="'Ana Sayfa'!A1" display="ANA SAYFA" xr:uid="{28DD84F3-7BAD-4FEA-8195-A5F8414F0C1B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D9AF7-8D25-4FD5-8E86-735B9C5B9710}">
  <sheetPr codeName="Sayfa20">
    <tabColor theme="0" tint="-0.14999847407452621"/>
    <pageSetUpPr fitToPage="1"/>
  </sheetPr>
  <dimension ref="A1:W63"/>
  <sheetViews>
    <sheetView topLeftCell="A13" workbookViewId="0">
      <selection activeCell="I1" sqref="I1:M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'19'!A1+1</f>
        <v>46223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Pazartesi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25335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2070</v>
      </c>
      <c r="C5" s="91" t="e">
        <f>IF(ISBLANK(B5),"",VLOOKUP(B5,SÜRELER!$A:$B,2,FALSE))</f>
        <v>#N/A</v>
      </c>
      <c r="D5" s="80">
        <v>432</v>
      </c>
      <c r="E5" s="92" t="e">
        <f>IF(ISBLANK($B5),"0",VLOOKUP($B5,SÜRELER!$A:$C,3,FALSE))*(D5-F5)</f>
        <v>#N/A</v>
      </c>
      <c r="F5" s="81">
        <v>2</v>
      </c>
      <c r="G5" s="93" t="e">
        <f>VLOOKUP(B5,'R.H.'!A$3:C$3974,3,FALSE)*D5/100</f>
        <v>#N/A</v>
      </c>
      <c r="H5" s="82">
        <f>F5/D5</f>
        <v>4.6296296296296294E-3</v>
      </c>
      <c r="I5" s="87" t="e">
        <f>VLOOKUP(B5,'R.H.'!A$3:C$3974,3,FALSE)/100</f>
        <v>#N/A</v>
      </c>
      <c r="J5" s="83">
        <v>0.5</v>
      </c>
      <c r="K5" s="92" t="e">
        <f>E5/J5</f>
        <v>#N/A</v>
      </c>
      <c r="L5" s="84">
        <v>400</v>
      </c>
      <c r="M5" s="84"/>
      <c r="N5" s="94" t="e">
        <f>K5/L5</f>
        <v>#N/A</v>
      </c>
      <c r="O5" s="88" t="e">
        <f t="shared" ref="O5:O44" si="0">K5/(L5-M5)</f>
        <v>#N/A</v>
      </c>
      <c r="P5" s="119"/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2071</v>
      </c>
      <c r="C6" s="91" t="e">
        <f>IF(ISBLANK(B6),"",VLOOKUP(B6,SÜRELER!$A:$B,2,FALSE))</f>
        <v>#N/A</v>
      </c>
      <c r="D6" s="80">
        <v>432</v>
      </c>
      <c r="E6" s="92" t="e">
        <f>IF(ISBLANK($B6),"0",VLOOKUP($B6,SÜRELER!$A:$C,3,FALSE))*(D6-F6)</f>
        <v>#N/A</v>
      </c>
      <c r="F6" s="81">
        <v>2</v>
      </c>
      <c r="G6" s="93" t="e">
        <f>VLOOKUP(B6,'R.H.'!A$3:C$3974,3,FALSE)*D6/100</f>
        <v>#N/A</v>
      </c>
      <c r="H6" s="82">
        <f t="shared" ref="H6:H44" si="1">F6/D6</f>
        <v>4.6296296296296294E-3</v>
      </c>
      <c r="I6" s="87" t="e">
        <f>VLOOKUP(B6,'R.H.'!A$3:C$3974,3,FALSE)/100</f>
        <v>#N/A</v>
      </c>
      <c r="J6" s="83">
        <v>0.5</v>
      </c>
      <c r="K6" s="92" t="e">
        <f t="shared" ref="K6:K44" si="2">E6/J6</f>
        <v>#N/A</v>
      </c>
      <c r="L6" s="84">
        <v>400</v>
      </c>
      <c r="M6" s="84"/>
      <c r="N6" s="94" t="e">
        <f t="shared" ref="N6:N44" si="3">K6/L6</f>
        <v>#N/A</v>
      </c>
      <c r="O6" s="88" t="e">
        <f t="shared" si="0"/>
        <v>#N/A</v>
      </c>
      <c r="P6" s="119"/>
      <c r="Q6" s="5"/>
      <c r="R6" s="5"/>
    </row>
    <row r="7" spans="1:23" s="4" customFormat="1" ht="16.5" customHeight="1" x14ac:dyDescent="0.25">
      <c r="A7" s="90">
        <v>3</v>
      </c>
      <c r="B7" s="86">
        <v>1320</v>
      </c>
      <c r="C7" s="91" t="e">
        <f>IF(ISBLANK(B7),"",VLOOKUP(B7,SÜRELER!$A:$B,2,FALSE))</f>
        <v>#N/A</v>
      </c>
      <c r="D7" s="80">
        <v>557</v>
      </c>
      <c r="E7" s="92" t="e">
        <f>IF(ISBLANK($B7),"0",VLOOKUP($B7,SÜRELER!$A:$C,3,FALSE))*(D7-F7)</f>
        <v>#N/A</v>
      </c>
      <c r="F7" s="81">
        <v>2</v>
      </c>
      <c r="G7" s="93" t="e">
        <f>VLOOKUP(B7,'R.H.'!A$3:C$3974,3,FALSE)*D7/100</f>
        <v>#N/A</v>
      </c>
      <c r="H7" s="82">
        <f t="shared" si="1"/>
        <v>3.5906642728904849E-3</v>
      </c>
      <c r="I7" s="87" t="e">
        <f>VLOOKUP(B7,'R.H.'!A$3:C$3974,3,FALSE)/100</f>
        <v>#N/A</v>
      </c>
      <c r="J7" s="83">
        <v>0.5</v>
      </c>
      <c r="K7" s="92" t="e">
        <f t="shared" si="2"/>
        <v>#N/A</v>
      </c>
      <c r="L7" s="84">
        <v>395</v>
      </c>
      <c r="M7" s="84"/>
      <c r="N7" s="94" t="e">
        <f t="shared" si="3"/>
        <v>#N/A</v>
      </c>
      <c r="O7" s="88" t="e">
        <f t="shared" si="0"/>
        <v>#N/A</v>
      </c>
      <c r="P7" s="119"/>
      <c r="Q7" s="5"/>
      <c r="R7" s="5"/>
    </row>
    <row r="8" spans="1:23" s="4" customFormat="1" ht="16.5" customHeight="1" x14ac:dyDescent="0.25">
      <c r="A8" s="85">
        <v>4</v>
      </c>
      <c r="B8" s="86">
        <v>1320</v>
      </c>
      <c r="C8" s="91" t="e">
        <f>IF(ISBLANK(B8),"",VLOOKUP(B8,SÜRELER!$A:$B,2,FALSE))</f>
        <v>#N/A</v>
      </c>
      <c r="D8" s="80">
        <v>557</v>
      </c>
      <c r="E8" s="92" t="e">
        <f>IF(ISBLANK($B8),"0",VLOOKUP($B8,SÜRELER!$A:$C,3,FALSE))*(D8-F8)</f>
        <v>#N/A</v>
      </c>
      <c r="F8" s="81">
        <v>2</v>
      </c>
      <c r="G8" s="93" t="e">
        <f>VLOOKUP(B8,'R.H.'!A$3:C$3974,3,FALSE)*D8/100</f>
        <v>#N/A</v>
      </c>
      <c r="H8" s="82">
        <f t="shared" si="1"/>
        <v>3.5906642728904849E-3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395</v>
      </c>
      <c r="M8" s="84"/>
      <c r="N8" s="94" t="e">
        <f t="shared" si="3"/>
        <v>#N/A</v>
      </c>
      <c r="O8" s="88" t="e">
        <f t="shared" si="0"/>
        <v>#N/A</v>
      </c>
      <c r="P8" s="119"/>
      <c r="Q8" s="5"/>
      <c r="R8" s="5"/>
    </row>
    <row r="9" spans="1:23" s="4" customFormat="1" ht="16.5" x14ac:dyDescent="0.25">
      <c r="A9" s="90">
        <v>5</v>
      </c>
      <c r="B9" s="86">
        <v>1662</v>
      </c>
      <c r="C9" s="91" t="e">
        <f>IF(ISBLANK(B9),"",VLOOKUP(B9,SÜRELER!$A:$B,2,FALSE))</f>
        <v>#N/A</v>
      </c>
      <c r="D9" s="80">
        <f>528+480</f>
        <v>1008</v>
      </c>
      <c r="E9" s="92" t="e">
        <f>IF(ISBLANK($B9),"0",VLOOKUP($B9,SÜRELER!$A:$C,3,FALSE))*(D9-F9)</f>
        <v>#N/A</v>
      </c>
      <c r="F9" s="81">
        <v>0</v>
      </c>
      <c r="G9" s="93" t="e">
        <f>VLOOKUP(B9,'R.H.'!A$3:C$3974,3,FALSE)*D9/100</f>
        <v>#N/A</v>
      </c>
      <c r="H9" s="82">
        <f t="shared" si="1"/>
        <v>0</v>
      </c>
      <c r="I9" s="87" t="e">
        <f>VLOOKUP(B9,'R.H.'!A$3:C$3974,3,FALSE)/100</f>
        <v>#N/A</v>
      </c>
      <c r="J9" s="83">
        <v>0.5</v>
      </c>
      <c r="K9" s="92" t="e">
        <f t="shared" si="2"/>
        <v>#N/A</v>
      </c>
      <c r="L9" s="84">
        <v>532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1663</v>
      </c>
      <c r="C10" s="91" t="e">
        <f>IF(ISBLANK(B10),"",VLOOKUP(B10,SÜRELER!$A:$B,2,FALSE))</f>
        <v>#N/A</v>
      </c>
      <c r="D10" s="80">
        <v>1008</v>
      </c>
      <c r="E10" s="92" t="e">
        <f>IF(ISBLANK($B10),"0",VLOOKUP($B10,SÜRELER!$A:$C,3,FALSE))*(D10-F10)</f>
        <v>#N/A</v>
      </c>
      <c r="F10" s="81">
        <v>0</v>
      </c>
      <c r="G10" s="93" t="e">
        <f>VLOOKUP(B10,'R.H.'!A$3:C$3974,3,FALSE)*D10/100</f>
        <v>#N/A</v>
      </c>
      <c r="H10" s="82">
        <f t="shared" si="1"/>
        <v>0</v>
      </c>
      <c r="I10" s="87" t="e">
        <f>VLOOKUP(B10,'R.H.'!A$3:C$3974,3,FALSE)/100</f>
        <v>#N/A</v>
      </c>
      <c r="J10" s="83">
        <v>0.5</v>
      </c>
      <c r="K10" s="92" t="e">
        <f t="shared" si="2"/>
        <v>#N/A</v>
      </c>
      <c r="L10" s="84">
        <v>532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1664</v>
      </c>
      <c r="C11" s="91" t="e">
        <f>IF(ISBLANK(B11),"",VLOOKUP(B11,SÜRELER!$A:$B,2,FALSE))</f>
        <v>#N/A</v>
      </c>
      <c r="D11" s="80">
        <v>1008</v>
      </c>
      <c r="E11" s="92" t="e">
        <f>IF(ISBLANK($B11),"0",VLOOKUP($B11,SÜRELER!$A:$C,3,FALSE))*(D11-F11)</f>
        <v>#N/A</v>
      </c>
      <c r="F11" s="81">
        <v>0</v>
      </c>
      <c r="G11" s="93" t="e">
        <f>VLOOKUP(B11,'R.H.'!A$3:C$3974,3,FALSE)*D11/100</f>
        <v>#N/A</v>
      </c>
      <c r="H11" s="82">
        <f t="shared" si="1"/>
        <v>0</v>
      </c>
      <c r="I11" s="87" t="e">
        <f>VLOOKUP(B11,'R.H.'!A$3:C$3974,3,FALSE)/100</f>
        <v>#N/A</v>
      </c>
      <c r="J11" s="83">
        <v>0.5</v>
      </c>
      <c r="K11" s="92" t="e">
        <f t="shared" si="2"/>
        <v>#N/A</v>
      </c>
      <c r="L11" s="84">
        <v>532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1665</v>
      </c>
      <c r="C12" s="91" t="e">
        <f>IF(ISBLANK(B12),"",VLOOKUP(B12,SÜRELER!$A:$B,2,FALSE))</f>
        <v>#N/A</v>
      </c>
      <c r="D12" s="80">
        <v>1008</v>
      </c>
      <c r="E12" s="92" t="e">
        <f>IF(ISBLANK($B12),"0",VLOOKUP($B12,SÜRELER!$A:$C,3,FALSE))*(D12-F12)</f>
        <v>#N/A</v>
      </c>
      <c r="F12" s="81">
        <v>0</v>
      </c>
      <c r="G12" s="93" t="e">
        <f>VLOOKUP(B12,'R.H.'!A$3:C$3974,3,FALSE)*D12/100</f>
        <v>#N/A</v>
      </c>
      <c r="H12" s="82">
        <f t="shared" si="1"/>
        <v>0</v>
      </c>
      <c r="I12" s="87" t="e">
        <f>VLOOKUP(B12,'R.H.'!A$3:C$3974,3,FALSE)/100</f>
        <v>#N/A</v>
      </c>
      <c r="J12" s="83">
        <v>0.5</v>
      </c>
      <c r="K12" s="92" t="e">
        <f t="shared" si="2"/>
        <v>#N/A</v>
      </c>
      <c r="L12" s="84">
        <v>532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1730</v>
      </c>
      <c r="C13" s="91" t="e">
        <f>IF(ISBLANK(B13),"",VLOOKUP(B13,SÜRELER!$A:$B,2,FALSE))</f>
        <v>#N/A</v>
      </c>
      <c r="D13" s="80">
        <f>264+55</f>
        <v>319</v>
      </c>
      <c r="E13" s="92" t="e">
        <f>IF(ISBLANK($B13),"0",VLOOKUP($B13,SÜRELER!$A:$C,3,FALSE))*(D13-F13)</f>
        <v>#N/A</v>
      </c>
      <c r="F13" s="81">
        <v>3</v>
      </c>
      <c r="G13" s="93" t="e">
        <f>VLOOKUP(B13,'R.H.'!A$3:C$3974,3,FALSE)*D13/100</f>
        <v>#N/A</v>
      </c>
      <c r="H13" s="82">
        <f t="shared" si="1"/>
        <v>9.4043887147335428E-3</v>
      </c>
      <c r="I13" s="87" t="e">
        <f>VLOOKUP(B13,'R.H.'!A$3:C$3974,3,FALSE)/100</f>
        <v>#N/A</v>
      </c>
      <c r="J13" s="83">
        <v>1</v>
      </c>
      <c r="K13" s="92" t="e">
        <f t="shared" si="2"/>
        <v>#N/A</v>
      </c>
      <c r="L13" s="84">
        <v>510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1908</v>
      </c>
      <c r="C14" s="91" t="e">
        <f>IF(ISBLANK(B14),"",VLOOKUP(B14,SÜRELER!$A:$B,2,FALSE))</f>
        <v>#N/A</v>
      </c>
      <c r="D14" s="80">
        <v>567</v>
      </c>
      <c r="E14" s="92" t="e">
        <f>IF(ISBLANK($B14),"0",VLOOKUP($B14,SÜRELER!$A:$C,3,FALSE))*(D14-F14)</f>
        <v>#N/A</v>
      </c>
      <c r="F14" s="81">
        <v>3</v>
      </c>
      <c r="G14" s="93" t="e">
        <f>VLOOKUP(B14,'R.H.'!A$3:C$3974,3,FALSE)*D14/100</f>
        <v>#N/A</v>
      </c>
      <c r="H14" s="82">
        <f t="shared" si="1"/>
        <v>5.2910052910052907E-3</v>
      </c>
      <c r="I14" s="87" t="e">
        <f>VLOOKUP(B14,'R.H.'!A$3:C$3974,3,FALSE)/100</f>
        <v>#N/A</v>
      </c>
      <c r="J14" s="83">
        <v>0.56000000000000005</v>
      </c>
      <c r="K14" s="92" t="e">
        <f t="shared" si="2"/>
        <v>#N/A</v>
      </c>
      <c r="L14" s="84">
        <v>590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1909</v>
      </c>
      <c r="C15" s="91" t="e">
        <f>IF(ISBLANK(B15),"",VLOOKUP(B15,SÜRELER!$A:$B,2,FALSE))</f>
        <v>#N/A</v>
      </c>
      <c r="D15" s="80">
        <v>567</v>
      </c>
      <c r="E15" s="92" t="e">
        <f>IF(ISBLANK($B15),"0",VLOOKUP($B15,SÜRELER!$A:$C,3,FALSE))*(D15-F15)</f>
        <v>#N/A</v>
      </c>
      <c r="F15" s="81">
        <v>3</v>
      </c>
      <c r="G15" s="93" t="e">
        <f>VLOOKUP(B15,'R.H.'!A$3:C$3974,3,FALSE)*D15/100</f>
        <v>#N/A</v>
      </c>
      <c r="H15" s="82">
        <f t="shared" si="1"/>
        <v>5.2910052910052907E-3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665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248</v>
      </c>
      <c r="C16" s="91" t="e">
        <f>IF(ISBLANK(B16),"",VLOOKUP(B16,SÜRELER!$A:$B,2,FALSE))</f>
        <v>#N/A</v>
      </c>
      <c r="D16" s="80">
        <f>504+486</f>
        <v>990</v>
      </c>
      <c r="E16" s="92" t="e">
        <f>IF(ISBLANK($B16),"0",VLOOKUP($B16,SÜRELER!$A:$C,3,FALSE))*(D16-F16)</f>
        <v>#N/A</v>
      </c>
      <c r="F16" s="81">
        <v>2</v>
      </c>
      <c r="G16" s="93" t="e">
        <f>VLOOKUP(B16,'R.H.'!A$3:C$3974,3,FALSE)*D16/100</f>
        <v>#N/A</v>
      </c>
      <c r="H16" s="82">
        <f t="shared" si="1"/>
        <v>2.0202020202020202E-3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935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249</v>
      </c>
      <c r="C17" s="91" t="e">
        <f>IF(ISBLANK(B17),"",VLOOKUP(B17,SÜRELER!$A:$B,2,FALSE))</f>
        <v>#N/A</v>
      </c>
      <c r="D17" s="80">
        <v>990</v>
      </c>
      <c r="E17" s="92" t="e">
        <f>IF(ISBLANK($B17),"0",VLOOKUP($B17,SÜRELER!$A:$C,3,FALSE))*(D17-F17)</f>
        <v>#N/A</v>
      </c>
      <c r="F17" s="81">
        <v>2</v>
      </c>
      <c r="G17" s="93" t="e">
        <f>VLOOKUP(B17,'R.H.'!A$3:C$3974,3,FALSE)*D17/100</f>
        <v>#N/A</v>
      </c>
      <c r="H17" s="82">
        <f t="shared" si="1"/>
        <v>2.0202020202020202E-3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935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1453</v>
      </c>
      <c r="C18" s="91" t="e">
        <f>IF(ISBLANK(B18),"",VLOOKUP(B18,SÜRELER!$A:$B,2,FALSE))</f>
        <v>#N/A</v>
      </c>
      <c r="D18" s="80">
        <f>230+230</f>
        <v>460</v>
      </c>
      <c r="E18" s="92" t="e">
        <f>IF(ISBLANK($B18),"0",VLOOKUP($B18,SÜRELER!$A:$C,3,FALSE))*(D18-F18)</f>
        <v>#N/A</v>
      </c>
      <c r="F18" s="81">
        <v>16</v>
      </c>
      <c r="G18" s="93" t="e">
        <f>VLOOKUP(B18,'R.H.'!A$3:C$3974,3,FALSE)*D18/100</f>
        <v>#N/A</v>
      </c>
      <c r="H18" s="82">
        <f t="shared" si="1"/>
        <v>3.4782608695652174E-2</v>
      </c>
      <c r="I18" s="87" t="e">
        <f>VLOOKUP(B18,'R.H.'!A$3:C$3974,3,FALSE)/100</f>
        <v>#N/A</v>
      </c>
      <c r="J18" s="83">
        <v>0.5</v>
      </c>
      <c r="K18" s="92" t="e">
        <f t="shared" si="2"/>
        <v>#N/A</v>
      </c>
      <c r="L18" s="84">
        <v>2052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1454</v>
      </c>
      <c r="C19" s="91" t="e">
        <f>IF(ISBLANK(B19),"",VLOOKUP(B19,SÜRELER!$A:$B,2,FALSE))</f>
        <v>#N/A</v>
      </c>
      <c r="D19" s="80">
        <v>460</v>
      </c>
      <c r="E19" s="92" t="e">
        <f>IF(ISBLANK($B19),"0",VLOOKUP($B19,SÜRELER!$A:$C,3,FALSE))*(D19-F19)</f>
        <v>#N/A</v>
      </c>
      <c r="F19" s="81">
        <v>16</v>
      </c>
      <c r="G19" s="93" t="e">
        <f>VLOOKUP(B19,'R.H.'!A$3:C$3974,3,FALSE)*D19/100</f>
        <v>#N/A</v>
      </c>
      <c r="H19" s="82">
        <f t="shared" si="1"/>
        <v>3.4782608695652174E-2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2052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540</v>
      </c>
      <c r="C20" s="91" t="e">
        <f>IF(ISBLANK(B20),"",VLOOKUP(B20,SÜRELER!$A:$B,2,FALSE))</f>
        <v>#N/A</v>
      </c>
      <c r="D20" s="80">
        <v>375</v>
      </c>
      <c r="E20" s="92" t="e">
        <f>IF(ISBLANK($B20),"0",VLOOKUP($B20,SÜRELER!$A:$C,3,FALSE))*(D20-F20)</f>
        <v>#N/A</v>
      </c>
      <c r="F20" s="81">
        <v>0</v>
      </c>
      <c r="G20" s="93" t="e">
        <f>VLOOKUP(B20,'R.H.'!A$3:C$3974,3,FALSE)*D20/100</f>
        <v>#N/A</v>
      </c>
      <c r="H20" s="82">
        <f t="shared" si="1"/>
        <v>0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410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540</v>
      </c>
      <c r="C21" s="91" t="e">
        <f>IF(ISBLANK(B21),"",VLOOKUP(B21,SÜRELER!$A:$B,2,FALSE))</f>
        <v>#N/A</v>
      </c>
      <c r="D21" s="80">
        <v>375</v>
      </c>
      <c r="E21" s="92" t="e">
        <f>IF(ISBLANK($B21),"0",VLOOKUP($B21,SÜRELER!$A:$C,3,FALSE))*(D21-F21)</f>
        <v>#N/A</v>
      </c>
      <c r="F21" s="81">
        <v>0</v>
      </c>
      <c r="G21" s="93" t="e">
        <f>VLOOKUP(B21,'R.H.'!A$3:C$3974,3,FALSE)*D21/100</f>
        <v>#N/A</v>
      </c>
      <c r="H21" s="82">
        <f t="shared" si="1"/>
        <v>0</v>
      </c>
      <c r="I21" s="87" t="e">
        <f>VLOOKUP(B21,'R.H.'!A$3:C$3974,3,FALSE)/100</f>
        <v>#N/A</v>
      </c>
      <c r="J21" s="83">
        <v>0.5</v>
      </c>
      <c r="K21" s="92" t="e">
        <f t="shared" si="2"/>
        <v>#N/A</v>
      </c>
      <c r="L21" s="84">
        <v>410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2179</v>
      </c>
      <c r="C22" s="91" t="e">
        <f>IF(ISBLANK(B22),"",VLOOKUP(B22,SÜRELER!$A:$B,2,FALSE))</f>
        <v>#N/A</v>
      </c>
      <c r="D22" s="80">
        <f>354+472</f>
        <v>826</v>
      </c>
      <c r="E22" s="92" t="e">
        <f>IF(ISBLANK($B22),"0",VLOOKUP($B22,SÜRELER!$A:$C,3,FALSE))*(D22-F22)</f>
        <v>#N/A</v>
      </c>
      <c r="F22" s="81">
        <v>10</v>
      </c>
      <c r="G22" s="93" t="e">
        <f>VLOOKUP(B22,'R.H.'!A$3:C$3974,3,FALSE)*D22/100</f>
        <v>#N/A</v>
      </c>
      <c r="H22" s="82">
        <f t="shared" si="1"/>
        <v>1.2106537530266344E-2</v>
      </c>
      <c r="I22" s="87" t="e">
        <f>VLOOKUP(B22,'R.H.'!A$3:C$3974,3,FALSE)/100</f>
        <v>#N/A</v>
      </c>
      <c r="J22" s="83">
        <v>0.5</v>
      </c>
      <c r="K22" s="92" t="e">
        <f t="shared" si="2"/>
        <v>#N/A</v>
      </c>
      <c r="L22" s="84">
        <v>825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2180</v>
      </c>
      <c r="C23" s="91" t="e">
        <f>IF(ISBLANK(B23),"",VLOOKUP(B23,SÜRELER!$A:$B,2,FALSE))</f>
        <v>#N/A</v>
      </c>
      <c r="D23" s="80">
        <v>826</v>
      </c>
      <c r="E23" s="92" t="e">
        <f>IF(ISBLANK($B23),"0",VLOOKUP($B23,SÜRELER!$A:$C,3,FALSE))*(D23-F23)</f>
        <v>#N/A</v>
      </c>
      <c r="F23" s="81">
        <v>10</v>
      </c>
      <c r="G23" s="93" t="e">
        <f>VLOOKUP(B23,'R.H.'!A$3:C$3974,3,FALSE)*D23/100</f>
        <v>#N/A</v>
      </c>
      <c r="H23" s="82">
        <f t="shared" si="1"/>
        <v>1.2106537530266344E-2</v>
      </c>
      <c r="I23" s="87" t="e">
        <f>VLOOKUP(B23,'R.H.'!A$3:C$3974,3,FALSE)/100</f>
        <v>#N/A</v>
      </c>
      <c r="J23" s="83">
        <v>0.5</v>
      </c>
      <c r="K23" s="92" t="e">
        <f t="shared" si="2"/>
        <v>#N/A</v>
      </c>
      <c r="L23" s="84">
        <v>825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1675</v>
      </c>
      <c r="C24" s="91" t="e">
        <f>IF(ISBLANK(B24),"",VLOOKUP(B24,SÜRELER!$A:$B,2,FALSE))</f>
        <v>#N/A</v>
      </c>
      <c r="D24" s="80">
        <v>8000</v>
      </c>
      <c r="E24" s="92" t="e">
        <f>IF(ISBLANK($B24),"0",VLOOKUP($B24,SÜRELER!$A:$C,3,FALSE))*(D24-F24)</f>
        <v>#N/A</v>
      </c>
      <c r="F24" s="81">
        <v>0</v>
      </c>
      <c r="G24" s="93" t="e">
        <f>VLOOKUP(B24,'R.H.'!A$3:C$3974,3,FALSE)*D24/100</f>
        <v>#N/A</v>
      </c>
      <c r="H24" s="82">
        <f t="shared" si="1"/>
        <v>0</v>
      </c>
      <c r="I24" s="87" t="e">
        <f>VLOOKUP(B24,'R.H.'!A$3:C$3974,3,FALSE)/100</f>
        <v>#N/A</v>
      </c>
      <c r="J24" s="83">
        <v>1</v>
      </c>
      <c r="K24" s="92" t="e">
        <f t="shared" si="2"/>
        <v>#N/A</v>
      </c>
      <c r="L24" s="84">
        <v>1290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1339</v>
      </c>
      <c r="C25" s="91" t="e">
        <f>IF(ISBLANK(B25),"",VLOOKUP(B25,SÜRELER!$A:$B,2,FALSE))</f>
        <v>#N/A</v>
      </c>
      <c r="D25" s="80">
        <f>408+460</f>
        <v>868</v>
      </c>
      <c r="E25" s="92" t="e">
        <f>IF(ISBLANK($B25),"0",VLOOKUP($B25,SÜRELER!$A:$C,3,FALSE))*(D25-F25)</f>
        <v>#N/A</v>
      </c>
      <c r="F25" s="81">
        <v>4</v>
      </c>
      <c r="G25" s="93" t="e">
        <f>VLOOKUP(B25,'R.H.'!A$3:C$3974,3,FALSE)*D25/100</f>
        <v>#N/A</v>
      </c>
      <c r="H25" s="82">
        <f t="shared" si="1"/>
        <v>4.608294930875576E-3</v>
      </c>
      <c r="I25" s="87" t="e">
        <f>VLOOKUP(B25,'R.H.'!A$3:C$3974,3,FALSE)/100</f>
        <v>#N/A</v>
      </c>
      <c r="J25" s="83">
        <v>1</v>
      </c>
      <c r="K25" s="92" t="e">
        <f t="shared" si="2"/>
        <v>#N/A</v>
      </c>
      <c r="L25" s="84">
        <v>875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518</v>
      </c>
      <c r="C26" s="91" t="e">
        <f>IF(ISBLANK(B26),"",VLOOKUP(B26,SÜRELER!$A:$B,2,FALSE))</f>
        <v>#N/A</v>
      </c>
      <c r="D26" s="80">
        <v>80</v>
      </c>
      <c r="E26" s="92" t="e">
        <f>IF(ISBLANK($B26),"0",VLOOKUP($B26,SÜRELER!$A:$C,3,FALSE))*(D26-F26)</f>
        <v>#N/A</v>
      </c>
      <c r="F26" s="81">
        <v>0</v>
      </c>
      <c r="G26" s="93" t="e">
        <f>VLOOKUP(B26,'R.H.'!A$3:C$3974,3,FALSE)*D26/100</f>
        <v>#N/A</v>
      </c>
      <c r="H26" s="82">
        <f t="shared" si="1"/>
        <v>0</v>
      </c>
      <c r="I26" s="87" t="e">
        <f>VLOOKUP(B26,'R.H.'!A$3:C$3974,3,FALSE)/100</f>
        <v>#N/A</v>
      </c>
      <c r="J26" s="83">
        <v>0.5</v>
      </c>
      <c r="K26" s="92" t="e">
        <f t="shared" si="2"/>
        <v>#N/A</v>
      </c>
      <c r="L26" s="84">
        <v>118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519</v>
      </c>
      <c r="C27" s="91" t="e">
        <f>IF(ISBLANK(B27),"",VLOOKUP(B27,SÜRELER!$A:$B,2,FALSE))</f>
        <v>#N/A</v>
      </c>
      <c r="D27" s="80">
        <v>80</v>
      </c>
      <c r="E27" s="92" t="e">
        <f>IF(ISBLANK($B27),"0",VLOOKUP($B27,SÜRELER!$A:$C,3,FALSE))*(D27-F27)</f>
        <v>#N/A</v>
      </c>
      <c r="F27" s="81">
        <v>0</v>
      </c>
      <c r="G27" s="93" t="e">
        <f>VLOOKUP(B27,'R.H.'!A$3:C$3974,3,FALSE)*D27/100</f>
        <v>#N/A</v>
      </c>
      <c r="H27" s="82">
        <f t="shared" si="1"/>
        <v>0</v>
      </c>
      <c r="I27" s="87" t="e">
        <f>VLOOKUP(B27,'R.H.'!A$3:C$3974,3,FALSE)/100</f>
        <v>#N/A</v>
      </c>
      <c r="J27" s="83">
        <v>0.5</v>
      </c>
      <c r="K27" s="92" t="e">
        <f t="shared" si="2"/>
        <v>#N/A</v>
      </c>
      <c r="L27" s="84">
        <v>118</v>
      </c>
      <c r="M27" s="84"/>
      <c r="N27" s="94" t="e">
        <f t="shared" si="3"/>
        <v>#N/A</v>
      </c>
      <c r="O27" s="88" t="e">
        <f t="shared" si="0"/>
        <v>#N/A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>
        <v>472</v>
      </c>
      <c r="C28" s="91" t="e">
        <f>IF(ISBLANK(B28),"",VLOOKUP(B28,SÜRELER!$A:$B,2,FALSE))</f>
        <v>#N/A</v>
      </c>
      <c r="D28" s="80">
        <f>672+288</f>
        <v>960</v>
      </c>
      <c r="E28" s="92" t="e">
        <f>IF(ISBLANK($B28),"0",VLOOKUP($B28,SÜRELER!$A:$C,3,FALSE))*(D28-F28)</f>
        <v>#N/A</v>
      </c>
      <c r="F28" s="81">
        <v>0</v>
      </c>
      <c r="G28" s="93" t="e">
        <f>VLOOKUP(B28,'R.H.'!A$3:C$3974,3,FALSE)*D28/100</f>
        <v>#N/A</v>
      </c>
      <c r="H28" s="82">
        <f t="shared" si="1"/>
        <v>0</v>
      </c>
      <c r="I28" s="87" t="e">
        <f>VLOOKUP(B28,'R.H.'!A$3:C$3974,3,FALSE)/100</f>
        <v>#N/A</v>
      </c>
      <c r="J28" s="83">
        <v>0.5</v>
      </c>
      <c r="K28" s="92" t="e">
        <f t="shared" si="2"/>
        <v>#N/A</v>
      </c>
      <c r="L28" s="84">
        <v>740</v>
      </c>
      <c r="M28" s="84"/>
      <c r="N28" s="94" t="e">
        <f t="shared" si="3"/>
        <v>#N/A</v>
      </c>
      <c r="O28" s="88" t="e">
        <f t="shared" si="0"/>
        <v>#N/A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>
        <v>473</v>
      </c>
      <c r="C29" s="91" t="e">
        <f>IF(ISBLANK(B29),"",VLOOKUP(B29,SÜRELER!$A:$B,2,FALSE))</f>
        <v>#N/A</v>
      </c>
      <c r="D29" s="80">
        <v>960</v>
      </c>
      <c r="E29" s="92" t="e">
        <f>IF(ISBLANK($B29),"0",VLOOKUP($B29,SÜRELER!$A:$C,3,FALSE))*(D29-F29)</f>
        <v>#N/A</v>
      </c>
      <c r="F29" s="81">
        <v>0</v>
      </c>
      <c r="G29" s="93" t="e">
        <f>VLOOKUP(B29,'R.H.'!A$3:C$3974,3,FALSE)*D29/100</f>
        <v>#N/A</v>
      </c>
      <c r="H29" s="82">
        <f t="shared" si="1"/>
        <v>0</v>
      </c>
      <c r="I29" s="87" t="e">
        <f>VLOOKUP(B29,'R.H.'!A$3:C$3974,3,FALSE)/100</f>
        <v>#N/A</v>
      </c>
      <c r="J29" s="83">
        <v>0.5</v>
      </c>
      <c r="K29" s="92" t="e">
        <f t="shared" si="2"/>
        <v>#N/A</v>
      </c>
      <c r="L29" s="84">
        <v>740</v>
      </c>
      <c r="M29" s="84"/>
      <c r="N29" s="94" t="e">
        <f t="shared" si="3"/>
        <v>#N/A</v>
      </c>
      <c r="O29" s="88" t="e">
        <f t="shared" si="0"/>
        <v>#N/A</v>
      </c>
      <c r="P29" s="119"/>
      <c r="Q29" s="5"/>
      <c r="R29" s="5"/>
    </row>
    <row r="30" spans="1:18" s="4" customFormat="1" ht="16.5" x14ac:dyDescent="0.25">
      <c r="A30" s="85">
        <v>26</v>
      </c>
      <c r="B30" s="86">
        <v>540</v>
      </c>
      <c r="C30" s="91" t="e">
        <f>IF(ISBLANK(B30),"",VLOOKUP(B30,SÜRELER!$A:$B,2,FALSE))</f>
        <v>#N/A</v>
      </c>
      <c r="D30" s="80">
        <v>361</v>
      </c>
      <c r="E30" s="92" t="e">
        <f>IF(ISBLANK($B30),"0",VLOOKUP($B30,SÜRELER!$A:$C,3,FALSE))*(D30-F30)</f>
        <v>#N/A</v>
      </c>
      <c r="F30" s="81">
        <v>0</v>
      </c>
      <c r="G30" s="93" t="e">
        <f>VLOOKUP(B30,'R.H.'!A$3:C$3974,3,FALSE)*D30/100</f>
        <v>#N/A</v>
      </c>
      <c r="H30" s="82">
        <f t="shared" si="1"/>
        <v>0</v>
      </c>
      <c r="I30" s="87" t="e">
        <f>VLOOKUP(B30,'R.H.'!A$3:C$3974,3,FALSE)/100</f>
        <v>#N/A</v>
      </c>
      <c r="J30" s="83">
        <v>0.5</v>
      </c>
      <c r="K30" s="92" t="e">
        <f t="shared" si="2"/>
        <v>#N/A</v>
      </c>
      <c r="L30" s="84">
        <v>400</v>
      </c>
      <c r="M30" s="84"/>
      <c r="N30" s="94" t="e">
        <f t="shared" si="3"/>
        <v>#N/A</v>
      </c>
      <c r="O30" s="88" t="e">
        <f t="shared" si="0"/>
        <v>#N/A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>
        <v>541</v>
      </c>
      <c r="C31" s="91" t="e">
        <f>IF(ISBLANK(B31),"",VLOOKUP(B31,SÜRELER!$A:$B,2,FALSE))</f>
        <v>#N/A</v>
      </c>
      <c r="D31" s="80">
        <v>361</v>
      </c>
      <c r="E31" s="92" t="e">
        <f>IF(ISBLANK($B31),"0",VLOOKUP($B31,SÜRELER!$A:$C,3,FALSE))*(D31-F31)</f>
        <v>#N/A</v>
      </c>
      <c r="F31" s="81">
        <v>0</v>
      </c>
      <c r="G31" s="93" t="e">
        <f>VLOOKUP(B31,'R.H.'!A$3:C$3974,3,FALSE)*D31/100</f>
        <v>#N/A</v>
      </c>
      <c r="H31" s="82">
        <f t="shared" si="1"/>
        <v>0</v>
      </c>
      <c r="I31" s="87" t="e">
        <f>VLOOKUP(B31,'R.H.'!A$3:C$3974,3,FALSE)/100</f>
        <v>#N/A</v>
      </c>
      <c r="J31" s="83">
        <v>0.5</v>
      </c>
      <c r="K31" s="92" t="e">
        <f t="shared" si="2"/>
        <v>#N/A</v>
      </c>
      <c r="L31" s="84">
        <v>400</v>
      </c>
      <c r="M31" s="84"/>
      <c r="N31" s="94" t="e">
        <f t="shared" si="3"/>
        <v>#N/A</v>
      </c>
      <c r="O31" s="88" t="e">
        <f t="shared" si="0"/>
        <v>#N/A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>
        <v>9110</v>
      </c>
      <c r="C32" s="91" t="e">
        <f>IF(ISBLANK(B32),"",VLOOKUP(B32,SÜRELER!$A:$B,2,FALSE))</f>
        <v>#N/A</v>
      </c>
      <c r="D32" s="80">
        <v>450</v>
      </c>
      <c r="E32" s="92" t="e">
        <f>IF(ISBLANK($B32),"0",VLOOKUP($B32,SÜRELER!$A:$C,3,FALSE))*(D32-F32)</f>
        <v>#N/A</v>
      </c>
      <c r="F32" s="81">
        <v>0</v>
      </c>
      <c r="G32" s="93" t="e">
        <f>VLOOKUP(B32,'R.H.'!A$3:C$3974,3,FALSE)*D32/100</f>
        <v>#N/A</v>
      </c>
      <c r="H32" s="82">
        <f t="shared" si="1"/>
        <v>0</v>
      </c>
      <c r="I32" s="87" t="e">
        <f>VLOOKUP(B32,'R.H.'!A$3:C$3974,3,FALSE)/100</f>
        <v>#N/A</v>
      </c>
      <c r="J32" s="83">
        <v>0.5</v>
      </c>
      <c r="K32" s="92" t="e">
        <f t="shared" si="2"/>
        <v>#N/A</v>
      </c>
      <c r="L32" s="84">
        <v>370</v>
      </c>
      <c r="M32" s="84"/>
      <c r="N32" s="94" t="e">
        <f t="shared" si="3"/>
        <v>#N/A</v>
      </c>
      <c r="O32" s="88" t="e">
        <f t="shared" si="0"/>
        <v>#N/A</v>
      </c>
      <c r="P32" s="119"/>
      <c r="Q32" s="5"/>
      <c r="R32" s="5"/>
    </row>
    <row r="33" spans="1:18" s="4" customFormat="1" ht="16.5" x14ac:dyDescent="0.25">
      <c r="A33" s="90">
        <v>29</v>
      </c>
      <c r="B33" s="86">
        <v>9120</v>
      </c>
      <c r="C33" s="91" t="e">
        <f>IF(ISBLANK(B33),"",VLOOKUP(B33,SÜRELER!$A:$B,2,FALSE))</f>
        <v>#N/A</v>
      </c>
      <c r="D33" s="80">
        <v>450</v>
      </c>
      <c r="E33" s="92" t="e">
        <f>IF(ISBLANK($B33),"0",VLOOKUP($B33,SÜRELER!$A:$C,3,FALSE))*(D33-F33)</f>
        <v>#N/A</v>
      </c>
      <c r="F33" s="81">
        <v>0</v>
      </c>
      <c r="G33" s="93" t="e">
        <f>VLOOKUP(B33,'R.H.'!A$3:C$3974,3,FALSE)*D33/100</f>
        <v>#N/A</v>
      </c>
      <c r="H33" s="82">
        <f t="shared" si="1"/>
        <v>0</v>
      </c>
      <c r="I33" s="87" t="e">
        <f>VLOOKUP(B33,'R.H.'!A$3:C$3974,3,FALSE)/100</f>
        <v>#N/A</v>
      </c>
      <c r="J33" s="83">
        <v>0.5</v>
      </c>
      <c r="K33" s="92" t="e">
        <f t="shared" si="2"/>
        <v>#N/A</v>
      </c>
      <c r="L33" s="84">
        <v>370</v>
      </c>
      <c r="M33" s="84"/>
      <c r="N33" s="94" t="e">
        <f t="shared" si="3"/>
        <v>#N/A</v>
      </c>
      <c r="O33" s="88" t="e">
        <f t="shared" si="0"/>
        <v>#N/A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25335</v>
      </c>
      <c r="E45" s="26" t="e">
        <f>SUM(E5:E44)</f>
        <v>#N/A</v>
      </c>
      <c r="F45" s="26">
        <f>SUM(F5:F44)</f>
        <v>77</v>
      </c>
      <c r="G45" s="26"/>
      <c r="H45" s="26"/>
      <c r="I45" s="26"/>
      <c r="J45" s="26"/>
      <c r="K45" s="26"/>
      <c r="L45" s="26">
        <f>SUM(L5:L44)</f>
        <v>19348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0.30392737319913166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21.3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11239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/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11239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25335</v>
      </c>
      <c r="F63" s="24">
        <f>F45</f>
        <v>77</v>
      </c>
      <c r="G63" s="23">
        <f>(F63*1000000)/E63</f>
        <v>3039.2737319913163</v>
      </c>
      <c r="H63" s="22">
        <f>D59</f>
        <v>0</v>
      </c>
      <c r="I63" s="17" t="e">
        <f>N1</f>
        <v>#N/A</v>
      </c>
    </row>
  </sheetData>
  <mergeCells count="15">
    <mergeCell ref="N1:N3"/>
    <mergeCell ref="A2:B3"/>
    <mergeCell ref="E56:N56"/>
    <mergeCell ref="E57:N57"/>
    <mergeCell ref="E49:N49"/>
    <mergeCell ref="E50:N50"/>
    <mergeCell ref="E51:N51"/>
    <mergeCell ref="E53:N53"/>
    <mergeCell ref="E54:N54"/>
    <mergeCell ref="E55:N55"/>
    <mergeCell ref="D46:D47"/>
    <mergeCell ref="E46:F47"/>
    <mergeCell ref="A1:B1"/>
    <mergeCell ref="C1:D2"/>
    <mergeCell ref="H1:H3"/>
  </mergeCells>
  <conditionalFormatting sqref="D3">
    <cfRule type="cellIs" dxfId="59" priority="5" stopIfTrue="1" operator="lessThan">
      <formula>0.95</formula>
    </cfRule>
  </conditionalFormatting>
  <conditionalFormatting sqref="F5:F44">
    <cfRule type="cellIs" dxfId="58" priority="1" stopIfTrue="1" operator="greaterThan">
      <formula>$G5</formula>
    </cfRule>
  </conditionalFormatting>
  <conditionalFormatting sqref="H5:H44">
    <cfRule type="cellIs" dxfId="57" priority="2" stopIfTrue="1" operator="greaterThan">
      <formula>$I$5</formula>
    </cfRule>
  </conditionalFormatting>
  <conditionalFormatting sqref="N1:N3">
    <cfRule type="cellIs" dxfId="56" priority="4" stopIfTrue="1" operator="lessThan">
      <formula>0.8</formula>
    </cfRule>
  </conditionalFormatting>
  <conditionalFormatting sqref="N5:O44">
    <cfRule type="cellIs" dxfId="55" priority="3" stopIfTrue="1" operator="lessThan">
      <formula>0.85</formula>
    </cfRule>
  </conditionalFormatting>
  <hyperlinks>
    <hyperlink ref="P1:P3" location="'Ana Sayfa'!A1" display="ANA SAYFA" xr:uid="{ACC5A9B7-4AEC-472F-A86C-1144DF6700E3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537E-1595-4AAA-BCC7-24FE59DD5D51}">
  <sheetPr codeName="Sayfa21">
    <tabColor theme="0" tint="-0.14999847407452621"/>
    <pageSetUpPr fitToPage="1"/>
  </sheetPr>
  <dimension ref="A1:W63"/>
  <sheetViews>
    <sheetView workbookViewId="0">
      <selection activeCell="I1" sqref="I1:M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'20'!A1+1</f>
        <v>46224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Salı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15517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1662</v>
      </c>
      <c r="C5" s="91" t="e">
        <f>IF(ISBLANK(B5),"",VLOOKUP(B5,SÜRELER!$A:$B,2,FALSE))</f>
        <v>#N/A</v>
      </c>
      <c r="D5" s="80">
        <f>480+80</f>
        <v>560</v>
      </c>
      <c r="E5" s="92" t="e">
        <f>IF(ISBLANK($B5),"0",VLOOKUP($B5,SÜRELER!$A:$C,3,FALSE))*(D5-F5)</f>
        <v>#N/A</v>
      </c>
      <c r="F5" s="81"/>
      <c r="G5" s="93" t="e">
        <f>VLOOKUP(B5,'R.H.'!A$3:C$3974,3,FALSE)*D5/100</f>
        <v>#N/A</v>
      </c>
      <c r="H5" s="82">
        <f>F5/D5</f>
        <v>0</v>
      </c>
      <c r="I5" s="87" t="e">
        <f>VLOOKUP(B5,'R.H.'!A$3:C$3974,3,FALSE)/100</f>
        <v>#N/A</v>
      </c>
      <c r="J5" s="83">
        <v>0.17</v>
      </c>
      <c r="K5" s="92" t="e">
        <f>E5/J5</f>
        <v>#N/A</v>
      </c>
      <c r="L5" s="84">
        <v>865</v>
      </c>
      <c r="M5" s="84"/>
      <c r="N5" s="94" t="e">
        <f>K5/L5</f>
        <v>#N/A</v>
      </c>
      <c r="O5" s="88" t="e">
        <f t="shared" ref="O5:O44" si="0">K5/(L5-M5)</f>
        <v>#N/A</v>
      </c>
      <c r="P5" s="119"/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1663</v>
      </c>
      <c r="C6" s="91" t="e">
        <f>IF(ISBLANK(B6),"",VLOOKUP(B6,SÜRELER!$A:$B,2,FALSE))</f>
        <v>#N/A</v>
      </c>
      <c r="D6" s="80">
        <v>560</v>
      </c>
      <c r="E6" s="92" t="e">
        <f>IF(ISBLANK($B6),"0",VLOOKUP($B6,SÜRELER!$A:$C,3,FALSE))*(D6-F6)</f>
        <v>#N/A</v>
      </c>
      <c r="F6" s="81"/>
      <c r="G6" s="93" t="e">
        <f>VLOOKUP(B6,'R.H.'!A$3:C$3974,3,FALSE)*D6/100</f>
        <v>#N/A</v>
      </c>
      <c r="H6" s="82">
        <f t="shared" ref="H6:H44" si="1">F6/D6</f>
        <v>0</v>
      </c>
      <c r="I6" s="87" t="e">
        <f>VLOOKUP(B6,'R.H.'!A$3:C$3974,3,FALSE)/100</f>
        <v>#N/A</v>
      </c>
      <c r="J6" s="83">
        <v>0.17</v>
      </c>
      <c r="K6" s="92" t="e">
        <f t="shared" ref="K6:K44" si="2">E6/J6</f>
        <v>#N/A</v>
      </c>
      <c r="L6" s="84">
        <v>865</v>
      </c>
      <c r="M6" s="84"/>
      <c r="N6" s="94" t="e">
        <f t="shared" ref="N6:N44" si="3">K6/L6</f>
        <v>#N/A</v>
      </c>
      <c r="O6" s="88" t="e">
        <f t="shared" si="0"/>
        <v>#N/A</v>
      </c>
      <c r="P6" s="119"/>
      <c r="Q6" s="5"/>
      <c r="R6" s="5"/>
    </row>
    <row r="7" spans="1:23" s="4" customFormat="1" ht="16.5" customHeight="1" x14ac:dyDescent="0.25">
      <c r="A7" s="90">
        <v>3</v>
      </c>
      <c r="B7" s="86">
        <v>1664</v>
      </c>
      <c r="C7" s="91" t="e">
        <f>IF(ISBLANK(B7),"",VLOOKUP(B7,SÜRELER!$A:$B,2,FALSE))</f>
        <v>#N/A</v>
      </c>
      <c r="D7" s="80">
        <v>560</v>
      </c>
      <c r="E7" s="92" t="e">
        <f>IF(ISBLANK($B7),"0",VLOOKUP($B7,SÜRELER!$A:$C,3,FALSE))*(D7-F7)</f>
        <v>#N/A</v>
      </c>
      <c r="F7" s="81"/>
      <c r="G7" s="93" t="e">
        <f>VLOOKUP(B7,'R.H.'!A$3:C$3974,3,FALSE)*D7/100</f>
        <v>#N/A</v>
      </c>
      <c r="H7" s="82">
        <f t="shared" si="1"/>
        <v>0</v>
      </c>
      <c r="I7" s="87" t="e">
        <f>VLOOKUP(B7,'R.H.'!A$3:C$3974,3,FALSE)/100</f>
        <v>#N/A</v>
      </c>
      <c r="J7" s="83">
        <v>0.17</v>
      </c>
      <c r="K7" s="92" t="e">
        <f t="shared" si="2"/>
        <v>#N/A</v>
      </c>
      <c r="L7" s="84">
        <v>865</v>
      </c>
      <c r="M7" s="84"/>
      <c r="N7" s="94" t="e">
        <f t="shared" si="3"/>
        <v>#N/A</v>
      </c>
      <c r="O7" s="88" t="e">
        <f t="shared" si="0"/>
        <v>#N/A</v>
      </c>
      <c r="P7" s="119"/>
      <c r="Q7" s="5"/>
      <c r="R7" s="5"/>
    </row>
    <row r="8" spans="1:23" s="4" customFormat="1" ht="16.5" customHeight="1" x14ac:dyDescent="0.25">
      <c r="A8" s="85">
        <v>4</v>
      </c>
      <c r="B8" s="86">
        <v>1665</v>
      </c>
      <c r="C8" s="91" t="e">
        <f>IF(ISBLANK(B8),"",VLOOKUP(B8,SÜRELER!$A:$B,2,FALSE))</f>
        <v>#N/A</v>
      </c>
      <c r="D8" s="80">
        <v>560</v>
      </c>
      <c r="E8" s="92" t="e">
        <f>IF(ISBLANK($B8),"0",VLOOKUP($B8,SÜRELER!$A:$C,3,FALSE))*(D8-F8)</f>
        <v>#N/A</v>
      </c>
      <c r="F8" s="81"/>
      <c r="G8" s="93" t="e">
        <f>VLOOKUP(B8,'R.H.'!A$3:C$3974,3,FALSE)*D8/100</f>
        <v>#N/A</v>
      </c>
      <c r="H8" s="82">
        <f t="shared" si="1"/>
        <v>0</v>
      </c>
      <c r="I8" s="87" t="e">
        <f>VLOOKUP(B8,'R.H.'!A$3:C$3974,3,FALSE)/100</f>
        <v>#N/A</v>
      </c>
      <c r="J8" s="83">
        <v>0.17</v>
      </c>
      <c r="K8" s="92" t="e">
        <f t="shared" si="2"/>
        <v>#N/A</v>
      </c>
      <c r="L8" s="84">
        <v>865</v>
      </c>
      <c r="M8" s="84"/>
      <c r="N8" s="94" t="e">
        <f t="shared" si="3"/>
        <v>#N/A</v>
      </c>
      <c r="O8" s="88" t="e">
        <f t="shared" si="0"/>
        <v>#N/A</v>
      </c>
      <c r="P8" s="119"/>
      <c r="Q8" s="5"/>
      <c r="R8" s="5"/>
    </row>
    <row r="9" spans="1:23" s="4" customFormat="1" ht="16.5" x14ac:dyDescent="0.25">
      <c r="A9" s="90">
        <v>5</v>
      </c>
      <c r="B9" s="86">
        <v>990</v>
      </c>
      <c r="C9" s="91" t="e">
        <f>IF(ISBLANK(B9),"",VLOOKUP(B9,SÜRELER!$A:$B,2,FALSE))</f>
        <v>#N/A</v>
      </c>
      <c r="D9" s="80">
        <f>252+24</f>
        <v>276</v>
      </c>
      <c r="E9" s="92" t="e">
        <f>IF(ISBLANK($B9),"0",VLOOKUP($B9,SÜRELER!$A:$C,3,FALSE))*(D9-F9)</f>
        <v>#N/A</v>
      </c>
      <c r="F9" s="81"/>
      <c r="G9" s="93" t="e">
        <f>VLOOKUP(B9,'R.H.'!A$3:C$3974,3,FALSE)*D9/100</f>
        <v>#N/A</v>
      </c>
      <c r="H9" s="82">
        <f t="shared" si="1"/>
        <v>0</v>
      </c>
      <c r="I9" s="87" t="e">
        <f>VLOOKUP(B9,'R.H.'!A$3:C$3974,3,FALSE)/100</f>
        <v>#N/A</v>
      </c>
      <c r="J9" s="83">
        <v>0.5</v>
      </c>
      <c r="K9" s="92" t="e">
        <f t="shared" si="2"/>
        <v>#N/A</v>
      </c>
      <c r="L9" s="84">
        <v>395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991</v>
      </c>
      <c r="C10" s="91" t="e">
        <f>IF(ISBLANK(B10),"",VLOOKUP(B10,SÜRELER!$A:$B,2,FALSE))</f>
        <v>#N/A</v>
      </c>
      <c r="D10" s="80">
        <v>276</v>
      </c>
      <c r="E10" s="92" t="e">
        <f>IF(ISBLANK($B10),"0",VLOOKUP($B10,SÜRELER!$A:$C,3,FALSE))*(D10-F10)</f>
        <v>#N/A</v>
      </c>
      <c r="F10" s="81"/>
      <c r="G10" s="93" t="e">
        <f>VLOOKUP(B10,'R.H.'!A$3:C$3974,3,FALSE)*D10/100</f>
        <v>#N/A</v>
      </c>
      <c r="H10" s="82">
        <f t="shared" si="1"/>
        <v>0</v>
      </c>
      <c r="I10" s="87" t="e">
        <f>VLOOKUP(B10,'R.H.'!A$3:C$3974,3,FALSE)/100</f>
        <v>#N/A</v>
      </c>
      <c r="J10" s="83">
        <v>0.5</v>
      </c>
      <c r="K10" s="92" t="e">
        <f t="shared" si="2"/>
        <v>#N/A</v>
      </c>
      <c r="L10" s="84">
        <v>395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1340</v>
      </c>
      <c r="C11" s="91" t="e">
        <f>IF(ISBLANK(B11),"",VLOOKUP(B11,SÜRELER!$A:$B,2,FALSE))</f>
        <v>#N/A</v>
      </c>
      <c r="D11" s="80">
        <f>304+468</f>
        <v>772</v>
      </c>
      <c r="E11" s="92" t="e">
        <f>IF(ISBLANK($B11),"0",VLOOKUP($B11,SÜRELER!$A:$C,3,FALSE))*(D11-F11)</f>
        <v>#N/A</v>
      </c>
      <c r="F11" s="81">
        <v>4</v>
      </c>
      <c r="G11" s="93" t="e">
        <f>VLOOKUP(B11,'R.H.'!A$3:C$3974,3,FALSE)*D11/100</f>
        <v>#N/A</v>
      </c>
      <c r="H11" s="82">
        <f t="shared" si="1"/>
        <v>5.1813471502590676E-3</v>
      </c>
      <c r="I11" s="87" t="e">
        <f>VLOOKUP(B11,'R.H.'!A$3:C$3974,3,FALSE)/100</f>
        <v>#N/A</v>
      </c>
      <c r="J11" s="83">
        <v>1</v>
      </c>
      <c r="K11" s="92" t="e">
        <f t="shared" si="2"/>
        <v>#N/A</v>
      </c>
      <c r="L11" s="84">
        <v>775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1131</v>
      </c>
      <c r="C12" s="91" t="e">
        <f>IF(ISBLANK(B12),"",VLOOKUP(B12,SÜRELER!$A:$B,2,FALSE))</f>
        <v>#N/A</v>
      </c>
      <c r="D12" s="80">
        <f>1055+1248</f>
        <v>2303</v>
      </c>
      <c r="E12" s="92" t="e">
        <f>IF(ISBLANK($B12),"0",VLOOKUP($B12,SÜRELER!$A:$C,3,FALSE))*(D12-F12)</f>
        <v>#N/A</v>
      </c>
      <c r="F12" s="81">
        <v>2</v>
      </c>
      <c r="G12" s="93" t="e">
        <f>VLOOKUP(B12,'R.H.'!A$3:C$3974,3,FALSE)*D12/100</f>
        <v>#N/A</v>
      </c>
      <c r="H12" s="82">
        <f t="shared" si="1"/>
        <v>8.6843247937472864E-4</v>
      </c>
      <c r="I12" s="87" t="e">
        <f>VLOOKUP(B12,'R.H.'!A$3:C$3974,3,FALSE)/100</f>
        <v>#N/A</v>
      </c>
      <c r="J12" s="83">
        <v>1</v>
      </c>
      <c r="K12" s="92" t="e">
        <f t="shared" si="2"/>
        <v>#N/A</v>
      </c>
      <c r="L12" s="84">
        <v>770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1339</v>
      </c>
      <c r="C13" s="91" t="e">
        <f>IF(ISBLANK(B13),"",VLOOKUP(B13,SÜRELER!$A:$B,2,FALSE))</f>
        <v>#N/A</v>
      </c>
      <c r="D13" s="80">
        <f>604+322</f>
        <v>926</v>
      </c>
      <c r="E13" s="92" t="e">
        <f>IF(ISBLANK($B13),"0",VLOOKUP($B13,SÜRELER!$A:$C,3,FALSE))*(D13-F13)</f>
        <v>#N/A</v>
      </c>
      <c r="F13" s="81">
        <v>14</v>
      </c>
      <c r="G13" s="93" t="e">
        <f>VLOOKUP(B13,'R.H.'!A$3:C$3974,3,FALSE)*D13/100</f>
        <v>#N/A</v>
      </c>
      <c r="H13" s="82">
        <f t="shared" si="1"/>
        <v>1.511879049676026E-2</v>
      </c>
      <c r="I13" s="87" t="e">
        <f>VLOOKUP(B13,'R.H.'!A$3:C$3974,3,FALSE)/100</f>
        <v>#N/A</v>
      </c>
      <c r="J13" s="83">
        <v>1</v>
      </c>
      <c r="K13" s="92" t="e">
        <f t="shared" si="2"/>
        <v>#N/A</v>
      </c>
      <c r="L13" s="84">
        <v>920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1334</v>
      </c>
      <c r="C14" s="91" t="e">
        <f>IF(ISBLANK(B14),"",VLOOKUP(B14,SÜRELER!$A:$B,2,FALSE))</f>
        <v>#N/A</v>
      </c>
      <c r="D14" s="80">
        <f>477+100</f>
        <v>577</v>
      </c>
      <c r="E14" s="92" t="e">
        <f>IF(ISBLANK($B14),"0",VLOOKUP($B14,SÜRELER!$A:$C,3,FALSE))*(D14-F14)</f>
        <v>#N/A</v>
      </c>
      <c r="F14" s="81">
        <v>5</v>
      </c>
      <c r="G14" s="93" t="e">
        <f>VLOOKUP(B14,'R.H.'!A$3:C$3974,3,FALSE)*D14/100</f>
        <v>#N/A</v>
      </c>
      <c r="H14" s="82">
        <f t="shared" si="1"/>
        <v>8.6655112651646445E-3</v>
      </c>
      <c r="I14" s="87" t="e">
        <f>VLOOKUP(B14,'R.H.'!A$3:C$3974,3,FALSE)/100</f>
        <v>#N/A</v>
      </c>
      <c r="J14" s="83">
        <v>0.5</v>
      </c>
      <c r="K14" s="92" t="e">
        <f t="shared" si="2"/>
        <v>#N/A</v>
      </c>
      <c r="L14" s="84">
        <v>480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1335</v>
      </c>
      <c r="C15" s="91" t="e">
        <f>IF(ISBLANK(B15),"",VLOOKUP(B15,SÜRELER!$A:$B,2,FALSE))</f>
        <v>#N/A</v>
      </c>
      <c r="D15" s="80">
        <v>577</v>
      </c>
      <c r="E15" s="92" t="e">
        <f>IF(ISBLANK($B15),"0",VLOOKUP($B15,SÜRELER!$A:$C,3,FALSE))*(D15-F15)</f>
        <v>#N/A</v>
      </c>
      <c r="F15" s="81">
        <v>5</v>
      </c>
      <c r="G15" s="93" t="e">
        <f>VLOOKUP(B15,'R.H.'!A$3:C$3974,3,FALSE)*D15/100</f>
        <v>#N/A</v>
      </c>
      <c r="H15" s="82">
        <f t="shared" si="1"/>
        <v>8.6655112651646445E-3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480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248</v>
      </c>
      <c r="C16" s="91" t="e">
        <f>IF(ISBLANK(B16),"",VLOOKUP(B16,SÜRELER!$A:$B,2,FALSE))</f>
        <v>#N/A</v>
      </c>
      <c r="D16" s="80">
        <f>432+648</f>
        <v>1080</v>
      </c>
      <c r="E16" s="92" t="e">
        <f>IF(ISBLANK($B16),"0",VLOOKUP($B16,SÜRELER!$A:$C,3,FALSE))*(D16-F16)</f>
        <v>#N/A</v>
      </c>
      <c r="F16" s="81"/>
      <c r="G16" s="93" t="e">
        <f>VLOOKUP(B16,'R.H.'!A$3:C$3974,3,FALSE)*D16/100</f>
        <v>#N/A</v>
      </c>
      <c r="H16" s="82">
        <f t="shared" si="1"/>
        <v>0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1030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249</v>
      </c>
      <c r="C17" s="91" t="e">
        <f>IF(ISBLANK(B17),"",VLOOKUP(B17,SÜRELER!$A:$B,2,FALSE))</f>
        <v>#N/A</v>
      </c>
      <c r="D17" s="80">
        <v>1080</v>
      </c>
      <c r="E17" s="92" t="e">
        <f>IF(ISBLANK($B17),"0",VLOOKUP($B17,SÜRELER!$A:$C,3,FALSE))*(D17-F17)</f>
        <v>#N/A</v>
      </c>
      <c r="F17" s="81"/>
      <c r="G17" s="93" t="e">
        <f>VLOOKUP(B17,'R.H.'!A$3:C$3974,3,FALSE)*D17/100</f>
        <v>#N/A</v>
      </c>
      <c r="H17" s="82">
        <f t="shared" si="1"/>
        <v>0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1030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712</v>
      </c>
      <c r="C18" s="91" t="e">
        <f>IF(ISBLANK(B18),"",VLOOKUP(B18,SÜRELER!$A:$B,2,FALSE))</f>
        <v>#N/A</v>
      </c>
      <c r="D18" s="80">
        <f>226+278</f>
        <v>504</v>
      </c>
      <c r="E18" s="92" t="e">
        <f>IF(ISBLANK($B18),"0",VLOOKUP($B18,SÜRELER!$A:$C,3,FALSE))*(D18-F18)</f>
        <v>#N/A</v>
      </c>
      <c r="F18" s="81">
        <v>18</v>
      </c>
      <c r="G18" s="93" t="e">
        <f>VLOOKUP(B18,'R.H.'!A$3:C$3974,3,FALSE)*D18/100</f>
        <v>#N/A</v>
      </c>
      <c r="H18" s="82">
        <f t="shared" si="1"/>
        <v>3.5714285714285712E-2</v>
      </c>
      <c r="I18" s="87" t="e">
        <f>VLOOKUP(B18,'R.H.'!A$3:C$3974,3,FALSE)/100</f>
        <v>#N/A</v>
      </c>
      <c r="J18" s="83">
        <v>0.5</v>
      </c>
      <c r="K18" s="92" t="e">
        <f t="shared" si="2"/>
        <v>#N/A</v>
      </c>
      <c r="L18" s="84">
        <v>660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713</v>
      </c>
      <c r="C19" s="91" t="e">
        <f>IF(ISBLANK(B19),"",VLOOKUP(B19,SÜRELER!$A:$B,2,FALSE))</f>
        <v>#N/A</v>
      </c>
      <c r="D19" s="80">
        <v>504</v>
      </c>
      <c r="E19" s="92" t="e">
        <f>IF(ISBLANK($B19),"0",VLOOKUP($B19,SÜRELER!$A:$C,3,FALSE))*(D19-F19)</f>
        <v>#N/A</v>
      </c>
      <c r="F19" s="81">
        <v>18</v>
      </c>
      <c r="G19" s="93" t="e">
        <f>VLOOKUP(B19,'R.H.'!A$3:C$3974,3,FALSE)*D19/100</f>
        <v>#N/A</v>
      </c>
      <c r="H19" s="82">
        <f t="shared" si="1"/>
        <v>3.5714285714285712E-2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660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2179</v>
      </c>
      <c r="C20" s="91" t="e">
        <f>IF(ISBLANK(B20),"",VLOOKUP(B20,SÜRELER!$A:$B,2,FALSE))</f>
        <v>#N/A</v>
      </c>
      <c r="D20" s="80">
        <f>344+32</f>
        <v>376</v>
      </c>
      <c r="E20" s="92" t="e">
        <f>IF(ISBLANK($B20),"0",VLOOKUP($B20,SÜRELER!$A:$C,3,FALSE))*(D20-F20)</f>
        <v>#N/A</v>
      </c>
      <c r="F20" s="81">
        <v>4</v>
      </c>
      <c r="G20" s="93" t="e">
        <f>VLOOKUP(B20,'R.H.'!A$3:C$3974,3,FALSE)*D20/100</f>
        <v>#N/A</v>
      </c>
      <c r="H20" s="82">
        <f t="shared" si="1"/>
        <v>1.0638297872340425E-2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380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2180</v>
      </c>
      <c r="C21" s="91" t="e">
        <f>IF(ISBLANK(B21),"",VLOOKUP(B21,SÜRELER!$A:$B,2,FALSE))</f>
        <v>#N/A</v>
      </c>
      <c r="D21" s="80">
        <v>376</v>
      </c>
      <c r="E21" s="92" t="e">
        <f>IF(ISBLANK($B21),"0",VLOOKUP($B21,SÜRELER!$A:$C,3,FALSE))*(D21-F21)</f>
        <v>#N/A</v>
      </c>
      <c r="F21" s="81">
        <v>4</v>
      </c>
      <c r="G21" s="93" t="e">
        <f>VLOOKUP(B21,'R.H.'!A$3:C$3974,3,FALSE)*D21/100</f>
        <v>#N/A</v>
      </c>
      <c r="H21" s="82">
        <f t="shared" si="1"/>
        <v>1.0638297872340425E-2</v>
      </c>
      <c r="I21" s="87" t="e">
        <f>VLOOKUP(B21,'R.H.'!A$3:C$3974,3,FALSE)/100</f>
        <v>#N/A</v>
      </c>
      <c r="J21" s="83">
        <v>0.5</v>
      </c>
      <c r="K21" s="92" t="e">
        <f t="shared" si="2"/>
        <v>#N/A</v>
      </c>
      <c r="L21" s="84">
        <v>380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9110</v>
      </c>
      <c r="C22" s="91" t="e">
        <f>IF(ISBLANK(B22),"",VLOOKUP(B22,SÜRELER!$A:$B,2,FALSE))</f>
        <v>#N/A</v>
      </c>
      <c r="D22" s="80">
        <v>500</v>
      </c>
      <c r="E22" s="92" t="e">
        <f>IF(ISBLANK($B22),"0",VLOOKUP($B22,SÜRELER!$A:$C,3,FALSE))*(D22-F22)</f>
        <v>#N/A</v>
      </c>
      <c r="F22" s="81">
        <v>0</v>
      </c>
      <c r="G22" s="93" t="e">
        <f>VLOOKUP(B22,'R.H.'!A$3:C$3974,3,FALSE)*D22/100</f>
        <v>#N/A</v>
      </c>
      <c r="H22" s="82">
        <f t="shared" si="1"/>
        <v>0</v>
      </c>
      <c r="I22" s="87" t="e">
        <f>VLOOKUP(B22,'R.H.'!A$3:C$3974,3,FALSE)/100</f>
        <v>#N/A</v>
      </c>
      <c r="J22" s="83">
        <v>0.5</v>
      </c>
      <c r="K22" s="92" t="e">
        <f t="shared" si="2"/>
        <v>#N/A</v>
      </c>
      <c r="L22" s="84">
        <v>410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9120</v>
      </c>
      <c r="C23" s="91" t="e">
        <f>IF(ISBLANK(B23),"",VLOOKUP(B23,SÜRELER!$A:$B,2,FALSE))</f>
        <v>#N/A</v>
      </c>
      <c r="D23" s="80">
        <v>500</v>
      </c>
      <c r="E23" s="92" t="e">
        <f>IF(ISBLANK($B23),"0",VLOOKUP($B23,SÜRELER!$A:$C,3,FALSE))*(D23-F23)</f>
        <v>#N/A</v>
      </c>
      <c r="F23" s="81">
        <v>0</v>
      </c>
      <c r="G23" s="93" t="e">
        <f>VLOOKUP(B23,'R.H.'!A$3:C$3974,3,FALSE)*D23/100</f>
        <v>#N/A</v>
      </c>
      <c r="H23" s="82">
        <f t="shared" si="1"/>
        <v>0</v>
      </c>
      <c r="I23" s="87" t="e">
        <f>VLOOKUP(B23,'R.H.'!A$3:C$3974,3,FALSE)/100</f>
        <v>#N/A</v>
      </c>
      <c r="J23" s="83">
        <v>0.5</v>
      </c>
      <c r="K23" s="92" t="e">
        <f t="shared" si="2"/>
        <v>#N/A</v>
      </c>
      <c r="L23" s="84">
        <v>410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472</v>
      </c>
      <c r="C24" s="91" t="e">
        <f>IF(ISBLANK(B24),"",VLOOKUP(B24,SÜRELER!$A:$B,2,FALSE))</f>
        <v>#N/A</v>
      </c>
      <c r="D24" s="80">
        <f>720+336</f>
        <v>1056</v>
      </c>
      <c r="E24" s="92" t="e">
        <f>IF(ISBLANK($B24),"0",VLOOKUP($B24,SÜRELER!$A:$C,3,FALSE))*(D24-F24)</f>
        <v>#N/A</v>
      </c>
      <c r="F24" s="81">
        <v>0</v>
      </c>
      <c r="G24" s="93" t="e">
        <f>VLOOKUP(B24,'R.H.'!A$3:C$3974,3,FALSE)*D24/100</f>
        <v>#N/A</v>
      </c>
      <c r="H24" s="82">
        <f t="shared" si="1"/>
        <v>0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810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473</v>
      </c>
      <c r="C25" s="91" t="e">
        <f>IF(ISBLANK(B25),"",VLOOKUP(B25,SÜRELER!$A:$B,2,FALSE))</f>
        <v>#N/A</v>
      </c>
      <c r="D25" s="80">
        <v>1056</v>
      </c>
      <c r="E25" s="92" t="e">
        <f>IF(ISBLANK($B25),"0",VLOOKUP($B25,SÜRELER!$A:$C,3,FALSE))*(D25-F25)</f>
        <v>#N/A</v>
      </c>
      <c r="F25" s="81">
        <v>0</v>
      </c>
      <c r="G25" s="93" t="e">
        <f>VLOOKUP(B25,'R.H.'!A$3:C$3974,3,FALSE)*D25/100</f>
        <v>#N/A</v>
      </c>
      <c r="H25" s="82">
        <f t="shared" si="1"/>
        <v>0</v>
      </c>
      <c r="I25" s="87" t="e">
        <f>VLOOKUP(B25,'R.H.'!A$3:C$3974,3,FALSE)/100</f>
        <v>#N/A</v>
      </c>
      <c r="J25" s="83">
        <v>0.5</v>
      </c>
      <c r="K25" s="92" t="e">
        <f t="shared" si="2"/>
        <v>#N/A</v>
      </c>
      <c r="L25" s="84">
        <v>810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598</v>
      </c>
      <c r="C26" s="91" t="e">
        <f>IF(ISBLANK(B26),"",VLOOKUP(B26,SÜRELER!$A:$B,2,FALSE))</f>
        <v>#N/A</v>
      </c>
      <c r="D26" s="80">
        <v>179</v>
      </c>
      <c r="E26" s="92" t="e">
        <f>IF(ISBLANK($B26),"0",VLOOKUP($B26,SÜRELER!$A:$C,3,FALSE))*(D26-F26)</f>
        <v>#N/A</v>
      </c>
      <c r="F26" s="81">
        <v>10</v>
      </c>
      <c r="G26" s="93" t="e">
        <f>VLOOKUP(B26,'R.H.'!A$3:C$3974,3,FALSE)*D26/100</f>
        <v>#N/A</v>
      </c>
      <c r="H26" s="82">
        <f t="shared" si="1"/>
        <v>5.5865921787709494E-2</v>
      </c>
      <c r="I26" s="87" t="e">
        <f>VLOOKUP(B26,'R.H.'!A$3:C$3974,3,FALSE)/100</f>
        <v>#N/A</v>
      </c>
      <c r="J26" s="83">
        <v>0.5</v>
      </c>
      <c r="K26" s="92" t="e">
        <f t="shared" si="2"/>
        <v>#N/A</v>
      </c>
      <c r="L26" s="84">
        <v>360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599</v>
      </c>
      <c r="C27" s="91" t="e">
        <f>IF(ISBLANK(B27),"",VLOOKUP(B27,SÜRELER!$A:$B,2,FALSE))</f>
        <v>#N/A</v>
      </c>
      <c r="D27" s="80">
        <v>179</v>
      </c>
      <c r="E27" s="92" t="e">
        <f>IF(ISBLANK($B27),"0",VLOOKUP($B27,SÜRELER!$A:$C,3,FALSE))*(D27-F27)</f>
        <v>#N/A</v>
      </c>
      <c r="F27" s="81">
        <v>10</v>
      </c>
      <c r="G27" s="93" t="e">
        <f>VLOOKUP(B27,'R.H.'!A$3:C$3974,3,FALSE)*D27/100</f>
        <v>#N/A</v>
      </c>
      <c r="H27" s="82">
        <f t="shared" si="1"/>
        <v>5.5865921787709494E-2</v>
      </c>
      <c r="I27" s="87" t="e">
        <f>VLOOKUP(B27,'R.H.'!A$3:C$3974,3,FALSE)/100</f>
        <v>#N/A</v>
      </c>
      <c r="J27" s="83">
        <v>0.5</v>
      </c>
      <c r="K27" s="92" t="e">
        <f t="shared" si="2"/>
        <v>#N/A</v>
      </c>
      <c r="L27" s="84">
        <v>360</v>
      </c>
      <c r="M27" s="84"/>
      <c r="N27" s="94" t="e">
        <f t="shared" si="3"/>
        <v>#N/A</v>
      </c>
      <c r="O27" s="88" t="e">
        <f t="shared" si="0"/>
        <v>#N/A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>
        <v>542</v>
      </c>
      <c r="C28" s="91" t="e">
        <f>IF(ISBLANK(B28),"",VLOOKUP(B28,SÜRELER!$A:$B,2,FALSE))</f>
        <v>#N/A</v>
      </c>
      <c r="D28" s="80">
        <v>90</v>
      </c>
      <c r="E28" s="92" t="e">
        <f>IF(ISBLANK($B28),"0",VLOOKUP($B28,SÜRELER!$A:$C,3,FALSE))*(D28-F28)</f>
        <v>#N/A</v>
      </c>
      <c r="F28" s="81">
        <v>4</v>
      </c>
      <c r="G28" s="93" t="e">
        <f>VLOOKUP(B28,'R.H.'!A$3:C$3974,3,FALSE)*D28/100</f>
        <v>#N/A</v>
      </c>
      <c r="H28" s="82">
        <f t="shared" si="1"/>
        <v>4.4444444444444446E-2</v>
      </c>
      <c r="I28" s="87" t="e">
        <f>VLOOKUP(B28,'R.H.'!A$3:C$3974,3,FALSE)/100</f>
        <v>#N/A</v>
      </c>
      <c r="J28" s="83">
        <v>0.5</v>
      </c>
      <c r="K28" s="92" t="e">
        <f t="shared" si="2"/>
        <v>#N/A</v>
      </c>
      <c r="L28" s="84">
        <v>145</v>
      </c>
      <c r="M28" s="84"/>
      <c r="N28" s="94" t="e">
        <f t="shared" si="3"/>
        <v>#N/A</v>
      </c>
      <c r="O28" s="88" t="e">
        <f t="shared" si="0"/>
        <v>#N/A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>
        <v>543</v>
      </c>
      <c r="C29" s="91" t="e">
        <f>IF(ISBLANK(B29),"",VLOOKUP(B29,SÜRELER!$A:$B,2,FALSE))</f>
        <v>#N/A</v>
      </c>
      <c r="D29" s="80">
        <v>90</v>
      </c>
      <c r="E29" s="92" t="e">
        <f>IF(ISBLANK($B29),"0",VLOOKUP($B29,SÜRELER!$A:$C,3,FALSE))*(D29-F29)</f>
        <v>#N/A</v>
      </c>
      <c r="F29" s="81">
        <v>4</v>
      </c>
      <c r="G29" s="93" t="e">
        <f>VLOOKUP(B29,'R.H.'!A$3:C$3974,3,FALSE)*D29/100</f>
        <v>#N/A</v>
      </c>
      <c r="H29" s="82">
        <f t="shared" si="1"/>
        <v>4.4444444444444446E-2</v>
      </c>
      <c r="I29" s="87" t="e">
        <f>VLOOKUP(B29,'R.H.'!A$3:C$3974,3,FALSE)/100</f>
        <v>#N/A</v>
      </c>
      <c r="J29" s="83">
        <v>0.5</v>
      </c>
      <c r="K29" s="92" t="e">
        <f t="shared" si="2"/>
        <v>#N/A</v>
      </c>
      <c r="L29" s="84">
        <v>145</v>
      </c>
      <c r="M29" s="84"/>
      <c r="N29" s="94" t="e">
        <f t="shared" si="3"/>
        <v>#N/A</v>
      </c>
      <c r="O29" s="88" t="e">
        <f t="shared" si="0"/>
        <v>#N/A</v>
      </c>
      <c r="P29" s="119"/>
      <c r="Q29" s="5"/>
      <c r="R29" s="5"/>
    </row>
    <row r="30" spans="1:18" s="4" customFormat="1" ht="16.5" x14ac:dyDescent="0.25">
      <c r="A30" s="85">
        <v>26</v>
      </c>
      <c r="B30" s="86"/>
      <c r="C30" s="91" t="str">
        <f>IF(ISBLANK(B30),"",VLOOKUP(B30,SÜRELER!$A:$B,2,FALSE))</f>
        <v/>
      </c>
      <c r="D30" s="80"/>
      <c r="E30" s="92">
        <f>IF(ISBLANK($B30),"0",VLOOKUP($B30,SÜRELER!$A:$C,3,FALSE))*(D30-F30)</f>
        <v>0</v>
      </c>
      <c r="F30" s="81"/>
      <c r="G30" s="93" t="e">
        <f>VLOOKUP(B30,'R.H.'!A$3:C$3974,3,FALSE)*D30/100</f>
        <v>#N/A</v>
      </c>
      <c r="H30" s="82" t="e">
        <f t="shared" si="1"/>
        <v>#DIV/0!</v>
      </c>
      <c r="I30" s="87" t="e">
        <f>VLOOKUP(B30,'R.H.'!A$3:C$3974,3,FALSE)/100</f>
        <v>#N/A</v>
      </c>
      <c r="J30" s="83"/>
      <c r="K30" s="92" t="e">
        <f t="shared" si="2"/>
        <v>#DIV/0!</v>
      </c>
      <c r="L30" s="84"/>
      <c r="M30" s="84"/>
      <c r="N30" s="94" t="e">
        <f t="shared" si="3"/>
        <v>#DIV/0!</v>
      </c>
      <c r="O30" s="88" t="e">
        <f t="shared" si="0"/>
        <v>#DIV/0!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15517</v>
      </c>
      <c r="E45" s="26" t="e">
        <f>SUM(E5:E44)</f>
        <v>#N/A</v>
      </c>
      <c r="F45" s="26">
        <f>SUM(F5:F44)</f>
        <v>102</v>
      </c>
      <c r="G45" s="26"/>
      <c r="H45" s="26"/>
      <c r="I45" s="26"/>
      <c r="J45" s="26"/>
      <c r="K45" s="26"/>
      <c r="L45" s="26">
        <f>SUM(L5:L44)</f>
        <v>15265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0.65734355867757943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13.5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7885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/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7885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15517</v>
      </c>
      <c r="F63" s="24">
        <f>F45</f>
        <v>102</v>
      </c>
      <c r="G63" s="23">
        <f>(F63*1000000)/E63</f>
        <v>6573.435586775794</v>
      </c>
      <c r="H63" s="22">
        <f>D59</f>
        <v>0</v>
      </c>
      <c r="I63" s="17" t="e">
        <f>N1</f>
        <v>#N/A</v>
      </c>
    </row>
  </sheetData>
  <mergeCells count="15">
    <mergeCell ref="N1:N3"/>
    <mergeCell ref="A2:B3"/>
    <mergeCell ref="E56:N56"/>
    <mergeCell ref="E57:N57"/>
    <mergeCell ref="E49:N49"/>
    <mergeCell ref="E50:N50"/>
    <mergeCell ref="E51:N51"/>
    <mergeCell ref="E53:N53"/>
    <mergeCell ref="E54:N54"/>
    <mergeCell ref="E55:N55"/>
    <mergeCell ref="D46:D47"/>
    <mergeCell ref="E46:F47"/>
    <mergeCell ref="A1:B1"/>
    <mergeCell ref="C1:D2"/>
    <mergeCell ref="H1:H3"/>
  </mergeCells>
  <conditionalFormatting sqref="D3">
    <cfRule type="cellIs" dxfId="54" priority="5" stopIfTrue="1" operator="lessThan">
      <formula>0.95</formula>
    </cfRule>
  </conditionalFormatting>
  <conditionalFormatting sqref="F5:F44">
    <cfRule type="cellIs" dxfId="53" priority="1" stopIfTrue="1" operator="greaterThan">
      <formula>$G5</formula>
    </cfRule>
  </conditionalFormatting>
  <conditionalFormatting sqref="H5:H44">
    <cfRule type="cellIs" dxfId="52" priority="2" stopIfTrue="1" operator="greaterThan">
      <formula>$I$5</formula>
    </cfRule>
  </conditionalFormatting>
  <conditionalFormatting sqref="N1:N3">
    <cfRule type="cellIs" dxfId="51" priority="4" stopIfTrue="1" operator="lessThan">
      <formula>0.8</formula>
    </cfRule>
  </conditionalFormatting>
  <conditionalFormatting sqref="N5:O44">
    <cfRule type="cellIs" dxfId="50" priority="3" stopIfTrue="1" operator="lessThan">
      <formula>0.85</formula>
    </cfRule>
  </conditionalFormatting>
  <hyperlinks>
    <hyperlink ref="P1:P3" location="'Ana Sayfa'!A1" display="ANA SAYFA" xr:uid="{E19B7C22-536B-497B-92DD-B01EEB27A9C3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4C8F1-BF96-4C25-A4D2-5C7B37E6D1EE}">
  <sheetPr codeName="Sayfa22">
    <tabColor theme="0" tint="-0.14999847407452621"/>
    <pageSetUpPr fitToPage="1"/>
  </sheetPr>
  <dimension ref="A1:W63"/>
  <sheetViews>
    <sheetView workbookViewId="0">
      <selection activeCell="I1" sqref="I1:M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'21'!A1+1</f>
        <v>46225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Çarşamba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23408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2119</v>
      </c>
      <c r="C5" s="91" t="e">
        <f>IF(ISBLANK(B5),"",VLOOKUP(B5,SÜRELER!$A:$B,2,FALSE))</f>
        <v>#N/A</v>
      </c>
      <c r="D5" s="80">
        <f>130+52</f>
        <v>182</v>
      </c>
      <c r="E5" s="92" t="e">
        <f>IF(ISBLANK($B5),"0",VLOOKUP($B5,SÜRELER!$A:$C,3,FALSE))*(D5-F5)</f>
        <v>#N/A</v>
      </c>
      <c r="F5" s="81">
        <v>22</v>
      </c>
      <c r="G5" s="93" t="e">
        <f>VLOOKUP(B5,'R.H.'!A$3:C$3974,3,FALSE)*D5/100</f>
        <v>#N/A</v>
      </c>
      <c r="H5" s="82">
        <f>F5/D5</f>
        <v>0.12087912087912088</v>
      </c>
      <c r="I5" s="87" t="e">
        <f>VLOOKUP(B5,'R.H.'!A$3:C$3974,3,FALSE)/100</f>
        <v>#N/A</v>
      </c>
      <c r="J5" s="83">
        <v>0.5</v>
      </c>
      <c r="K5" s="92" t="e">
        <f>E5/J5</f>
        <v>#N/A</v>
      </c>
      <c r="L5" s="84">
        <v>230</v>
      </c>
      <c r="M5" s="84"/>
      <c r="N5" s="94" t="e">
        <f>K5/L5</f>
        <v>#N/A</v>
      </c>
      <c r="O5" s="88" t="e">
        <f t="shared" ref="O5:O44" si="0">K5/(L5-M5)</f>
        <v>#N/A</v>
      </c>
      <c r="P5" s="193" t="s">
        <v>3384</v>
      </c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2120</v>
      </c>
      <c r="C6" s="91" t="e">
        <f>IF(ISBLANK(B6),"",VLOOKUP(B6,SÜRELER!$A:$B,2,FALSE))</f>
        <v>#N/A</v>
      </c>
      <c r="D6" s="80">
        <v>182</v>
      </c>
      <c r="E6" s="92" t="e">
        <f>IF(ISBLANK($B6),"0",VLOOKUP($B6,SÜRELER!$A:$C,3,FALSE))*(D6-F6)</f>
        <v>#N/A</v>
      </c>
      <c r="F6" s="81">
        <v>22</v>
      </c>
      <c r="G6" s="93" t="e">
        <f>VLOOKUP(B6,'R.H.'!A$3:C$3974,3,FALSE)*D6/100</f>
        <v>#N/A</v>
      </c>
      <c r="H6" s="82">
        <f t="shared" ref="H6:H44" si="1">F6/D6</f>
        <v>0.12087912087912088</v>
      </c>
      <c r="I6" s="87" t="e">
        <f>VLOOKUP(B6,'R.H.'!A$3:C$3974,3,FALSE)/100</f>
        <v>#N/A</v>
      </c>
      <c r="J6" s="83">
        <v>0.5</v>
      </c>
      <c r="K6" s="92" t="e">
        <f t="shared" ref="K6:K44" si="2">E6/J6</f>
        <v>#N/A</v>
      </c>
      <c r="L6" s="84">
        <v>80</v>
      </c>
      <c r="M6" s="84"/>
      <c r="N6" s="94" t="e">
        <f t="shared" ref="N6:N44" si="3">K6/L6</f>
        <v>#N/A</v>
      </c>
      <c r="O6" s="88" t="e">
        <f t="shared" si="0"/>
        <v>#N/A</v>
      </c>
      <c r="P6" s="194"/>
      <c r="Q6" s="5"/>
      <c r="R6" s="5"/>
    </row>
    <row r="7" spans="1:23" s="4" customFormat="1" ht="16.5" customHeight="1" x14ac:dyDescent="0.25">
      <c r="A7" s="90">
        <v>3</v>
      </c>
      <c r="B7" s="86">
        <v>444</v>
      </c>
      <c r="C7" s="91" t="e">
        <f>IF(ISBLANK(B7),"",VLOOKUP(B7,SÜRELER!$A:$B,2,FALSE))</f>
        <v>#N/A</v>
      </c>
      <c r="D7" s="80">
        <f>420+466</f>
        <v>886</v>
      </c>
      <c r="E7" s="92" t="e">
        <f>IF(ISBLANK($B7),"0",VLOOKUP($B7,SÜRELER!$A:$C,3,FALSE))*(D7-F7)</f>
        <v>#N/A</v>
      </c>
      <c r="F7" s="81">
        <v>2</v>
      </c>
      <c r="G7" s="93" t="e">
        <f>VLOOKUP(B7,'R.H.'!A$3:C$3974,3,FALSE)*D7/100</f>
        <v>#N/A</v>
      </c>
      <c r="H7" s="82">
        <f t="shared" si="1"/>
        <v>2.257336343115124E-3</v>
      </c>
      <c r="I7" s="87" t="e">
        <f>VLOOKUP(B7,'R.H.'!A$3:C$3974,3,FALSE)/100</f>
        <v>#N/A</v>
      </c>
      <c r="J7" s="83">
        <v>0.5</v>
      </c>
      <c r="K7" s="92" t="e">
        <f t="shared" si="2"/>
        <v>#N/A</v>
      </c>
      <c r="L7" s="84">
        <v>1020</v>
      </c>
      <c r="M7" s="84"/>
      <c r="N7" s="94" t="e">
        <f t="shared" si="3"/>
        <v>#N/A</v>
      </c>
      <c r="O7" s="88" t="e">
        <f t="shared" si="0"/>
        <v>#N/A</v>
      </c>
      <c r="P7" s="164" t="s">
        <v>3385</v>
      </c>
      <c r="Q7" s="5"/>
      <c r="R7" s="5"/>
    </row>
    <row r="8" spans="1:23" s="4" customFormat="1" ht="16.5" customHeight="1" x14ac:dyDescent="0.25">
      <c r="A8" s="85">
        <v>4</v>
      </c>
      <c r="B8" s="86">
        <v>1016</v>
      </c>
      <c r="C8" s="91" t="e">
        <f>IF(ISBLANK(B8),"",VLOOKUP(B8,SÜRELER!$A:$B,2,FALSE))</f>
        <v>#N/A</v>
      </c>
      <c r="D8" s="80">
        <v>148</v>
      </c>
      <c r="E8" s="92" t="e">
        <f>IF(ISBLANK($B8),"0",VLOOKUP($B8,SÜRELER!$A:$C,3,FALSE))*(D8-F8)</f>
        <v>#N/A</v>
      </c>
      <c r="F8" s="81">
        <v>10</v>
      </c>
      <c r="G8" s="93" t="e">
        <f>VLOOKUP(B8,'R.H.'!A$3:C$3974,3,FALSE)*D8/100</f>
        <v>#N/A</v>
      </c>
      <c r="H8" s="82">
        <f t="shared" si="1"/>
        <v>6.7567567567567571E-2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168</v>
      </c>
      <c r="M8" s="84"/>
      <c r="N8" s="94" t="e">
        <f t="shared" si="3"/>
        <v>#N/A</v>
      </c>
      <c r="O8" s="88" t="e">
        <f t="shared" si="0"/>
        <v>#N/A</v>
      </c>
      <c r="P8" s="119"/>
      <c r="Q8" s="5"/>
      <c r="R8" s="5"/>
    </row>
    <row r="9" spans="1:23" s="4" customFormat="1" ht="16.5" x14ac:dyDescent="0.25">
      <c r="A9" s="90">
        <v>5</v>
      </c>
      <c r="B9" s="86">
        <v>1017</v>
      </c>
      <c r="C9" s="91" t="e">
        <f>IF(ISBLANK(B9),"",VLOOKUP(B9,SÜRELER!$A:$B,2,FALSE))</f>
        <v>#N/A</v>
      </c>
      <c r="D9" s="80">
        <v>148</v>
      </c>
      <c r="E9" s="92" t="e">
        <f>IF(ISBLANK($B9),"0",VLOOKUP($B9,SÜRELER!$A:$C,3,FALSE))*(D9-F9)</f>
        <v>#N/A</v>
      </c>
      <c r="F9" s="81">
        <v>10</v>
      </c>
      <c r="G9" s="93" t="e">
        <f>VLOOKUP(B9,'R.H.'!A$3:C$3974,3,FALSE)*D9/100</f>
        <v>#N/A</v>
      </c>
      <c r="H9" s="82">
        <f t="shared" si="1"/>
        <v>6.7567567567567571E-2</v>
      </c>
      <c r="I9" s="87" t="e">
        <f>VLOOKUP(B9,'R.H.'!A$3:C$3974,3,FALSE)/100</f>
        <v>#N/A</v>
      </c>
      <c r="J9" s="83">
        <v>0.5</v>
      </c>
      <c r="K9" s="92" t="e">
        <f t="shared" si="2"/>
        <v>#N/A</v>
      </c>
      <c r="L9" s="84">
        <v>168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1908</v>
      </c>
      <c r="C10" s="91" t="e">
        <f>IF(ISBLANK(B10),"",VLOOKUP(B10,SÜRELER!$A:$B,2,FALSE))</f>
        <v>#N/A</v>
      </c>
      <c r="D10" s="80">
        <f>506+301</f>
        <v>807</v>
      </c>
      <c r="E10" s="92" t="e">
        <f>IF(ISBLANK($B10),"0",VLOOKUP($B10,SÜRELER!$A:$C,3,FALSE))*(D10-F10)</f>
        <v>#N/A</v>
      </c>
      <c r="F10" s="81">
        <v>2</v>
      </c>
      <c r="G10" s="93" t="e">
        <f>VLOOKUP(B10,'R.H.'!A$3:C$3974,3,FALSE)*D10/100</f>
        <v>#N/A</v>
      </c>
      <c r="H10" s="82">
        <f t="shared" si="1"/>
        <v>2.4783147459727386E-3</v>
      </c>
      <c r="I10" s="87" t="e">
        <f>VLOOKUP(B10,'R.H.'!A$3:C$3974,3,FALSE)/100</f>
        <v>#N/A</v>
      </c>
      <c r="J10" s="83">
        <v>0.5</v>
      </c>
      <c r="K10" s="92" t="e">
        <f t="shared" si="2"/>
        <v>#N/A</v>
      </c>
      <c r="L10" s="84">
        <v>960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1909</v>
      </c>
      <c r="C11" s="91" t="e">
        <f>IF(ISBLANK(B11),"",VLOOKUP(B11,SÜRELER!$A:$B,2,FALSE))</f>
        <v>#N/A</v>
      </c>
      <c r="D11" s="80">
        <v>807</v>
      </c>
      <c r="E11" s="92" t="e">
        <f>IF(ISBLANK($B11),"0",VLOOKUP($B11,SÜRELER!$A:$C,3,FALSE))*(D11-F11)</f>
        <v>#N/A</v>
      </c>
      <c r="F11" s="81">
        <v>2</v>
      </c>
      <c r="G11" s="93" t="e">
        <f>VLOOKUP(B11,'R.H.'!A$3:C$3974,3,FALSE)*D11/100</f>
        <v>#N/A</v>
      </c>
      <c r="H11" s="82">
        <f t="shared" si="1"/>
        <v>2.4783147459727386E-3</v>
      </c>
      <c r="I11" s="87" t="e">
        <f>VLOOKUP(B11,'R.H.'!A$3:C$3974,3,FALSE)/100</f>
        <v>#N/A</v>
      </c>
      <c r="J11" s="83">
        <v>0.5</v>
      </c>
      <c r="K11" s="92" t="e">
        <f t="shared" si="2"/>
        <v>#N/A</v>
      </c>
      <c r="L11" s="84">
        <v>940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1334</v>
      </c>
      <c r="C12" s="91" t="e">
        <f>IF(ISBLANK(B12),"",VLOOKUP(B12,SÜRELER!$A:$B,2,FALSE))</f>
        <v>#N/A</v>
      </c>
      <c r="D12" s="80">
        <v>584</v>
      </c>
      <c r="E12" s="92" t="e">
        <f>IF(ISBLANK($B12),"0",VLOOKUP($B12,SÜRELER!$A:$C,3,FALSE))*(D12-F12)</f>
        <v>#N/A</v>
      </c>
      <c r="F12" s="81">
        <v>4</v>
      </c>
      <c r="G12" s="93" t="e">
        <f>VLOOKUP(B12,'R.H.'!A$3:C$3974,3,FALSE)*D12/100</f>
        <v>#N/A</v>
      </c>
      <c r="H12" s="82">
        <f t="shared" si="1"/>
        <v>6.8493150684931503E-3</v>
      </c>
      <c r="I12" s="87" t="e">
        <f>VLOOKUP(B12,'R.H.'!A$3:C$3974,3,FALSE)/100</f>
        <v>#N/A</v>
      </c>
      <c r="J12" s="83">
        <v>0.5</v>
      </c>
      <c r="K12" s="92" t="e">
        <f t="shared" si="2"/>
        <v>#N/A</v>
      </c>
      <c r="L12" s="84">
        <v>480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1335</v>
      </c>
      <c r="C13" s="91" t="e">
        <f>IF(ISBLANK(B13),"",VLOOKUP(B13,SÜRELER!$A:$B,2,FALSE))</f>
        <v>#N/A</v>
      </c>
      <c r="D13" s="80">
        <v>584</v>
      </c>
      <c r="E13" s="92" t="e">
        <f>IF(ISBLANK($B13),"0",VLOOKUP($B13,SÜRELER!$A:$C,3,FALSE))*(D13-F13)</f>
        <v>#N/A</v>
      </c>
      <c r="F13" s="81">
        <v>4</v>
      </c>
      <c r="G13" s="93" t="e">
        <f>VLOOKUP(B13,'R.H.'!A$3:C$3974,3,FALSE)*D13/100</f>
        <v>#N/A</v>
      </c>
      <c r="H13" s="82">
        <f t="shared" si="1"/>
        <v>6.8493150684931503E-3</v>
      </c>
      <c r="I13" s="87" t="e">
        <f>VLOOKUP(B13,'R.H.'!A$3:C$3974,3,FALSE)/100</f>
        <v>#N/A</v>
      </c>
      <c r="J13" s="83">
        <v>0.5</v>
      </c>
      <c r="K13" s="92" t="e">
        <f t="shared" si="2"/>
        <v>#N/A</v>
      </c>
      <c r="L13" s="84">
        <v>480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87</v>
      </c>
      <c r="C14" s="91" t="e">
        <f>IF(ISBLANK(B14),"",VLOOKUP(B14,SÜRELER!$A:$B,2,FALSE))</f>
        <v>#N/A</v>
      </c>
      <c r="D14" s="80">
        <f>282+45</f>
        <v>327</v>
      </c>
      <c r="E14" s="92" t="e">
        <f>IF(ISBLANK($B14),"0",VLOOKUP($B14,SÜRELER!$A:$C,3,FALSE))*(D14-F14)</f>
        <v>#N/A</v>
      </c>
      <c r="F14" s="81">
        <v>2</v>
      </c>
      <c r="G14" s="93" t="e">
        <f>VLOOKUP(B14,'R.H.'!A$3:C$3974,3,FALSE)*D14/100</f>
        <v>#N/A</v>
      </c>
      <c r="H14" s="82">
        <f t="shared" si="1"/>
        <v>6.1162079510703364E-3</v>
      </c>
      <c r="I14" s="87" t="e">
        <f>VLOOKUP(B14,'R.H.'!A$3:C$3974,3,FALSE)/100</f>
        <v>#N/A</v>
      </c>
      <c r="J14" s="83">
        <v>0.5</v>
      </c>
      <c r="K14" s="92" t="e">
        <f t="shared" si="2"/>
        <v>#N/A</v>
      </c>
      <c r="L14" s="84">
        <v>440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88</v>
      </c>
      <c r="C15" s="91" t="e">
        <f>IF(ISBLANK(B15),"",VLOOKUP(B15,SÜRELER!$A:$B,2,FALSE))</f>
        <v>#N/A</v>
      </c>
      <c r="D15" s="80">
        <v>327</v>
      </c>
      <c r="E15" s="92" t="e">
        <f>IF(ISBLANK($B15),"0",VLOOKUP($B15,SÜRELER!$A:$C,3,FALSE))*(D15-F15)</f>
        <v>#N/A</v>
      </c>
      <c r="F15" s="81">
        <v>2</v>
      </c>
      <c r="G15" s="93" t="e">
        <f>VLOOKUP(B15,'R.H.'!A$3:C$3974,3,FALSE)*D15/100</f>
        <v>#N/A</v>
      </c>
      <c r="H15" s="82">
        <f t="shared" si="1"/>
        <v>6.1162079510703364E-3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440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287</v>
      </c>
      <c r="C16" s="91" t="e">
        <f>IF(ISBLANK(B16),"",VLOOKUP(B16,SÜRELER!$A:$B,2,FALSE))</f>
        <v>#N/A</v>
      </c>
      <c r="D16" s="80">
        <v>556</v>
      </c>
      <c r="E16" s="92" t="e">
        <f>IF(ISBLANK($B16),"0",VLOOKUP($B16,SÜRELER!$A:$C,3,FALSE))*(D16-F16)</f>
        <v>#N/A</v>
      </c>
      <c r="F16" s="81">
        <v>4</v>
      </c>
      <c r="G16" s="93" t="e">
        <f>VLOOKUP(B16,'R.H.'!A$3:C$3974,3,FALSE)*D16/100</f>
        <v>#N/A</v>
      </c>
      <c r="H16" s="82">
        <f t="shared" si="1"/>
        <v>7.1942446043165471E-3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470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288</v>
      </c>
      <c r="C17" s="91" t="e">
        <f>IF(ISBLANK(B17),"",VLOOKUP(B17,SÜRELER!$A:$B,2,FALSE))</f>
        <v>#N/A</v>
      </c>
      <c r="D17" s="80">
        <v>556</v>
      </c>
      <c r="E17" s="92" t="e">
        <f>IF(ISBLANK($B17),"0",VLOOKUP($B17,SÜRELER!$A:$C,3,FALSE))*(D17-F17)</f>
        <v>#N/A</v>
      </c>
      <c r="F17" s="81">
        <v>4</v>
      </c>
      <c r="G17" s="93" t="e">
        <f>VLOOKUP(B17,'R.H.'!A$3:C$3974,3,FALSE)*D17/100</f>
        <v>#N/A</v>
      </c>
      <c r="H17" s="82">
        <f t="shared" si="1"/>
        <v>7.1942446043165471E-3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470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1131</v>
      </c>
      <c r="C18" s="91" t="e">
        <f>IF(ISBLANK(B18),"",VLOOKUP(B18,SÜRELER!$A:$B,2,FALSE))</f>
        <v>#N/A</v>
      </c>
      <c r="D18" s="80">
        <f>360+1255</f>
        <v>1615</v>
      </c>
      <c r="E18" s="92" t="e">
        <f>IF(ISBLANK($B18),"0",VLOOKUP($B18,SÜRELER!$A:$C,3,FALSE))*(D18-F18)</f>
        <v>#N/A</v>
      </c>
      <c r="F18" s="81">
        <v>6</v>
      </c>
      <c r="G18" s="93" t="e">
        <f>VLOOKUP(B18,'R.H.'!A$3:C$3974,3,FALSE)*D18/100</f>
        <v>#N/A</v>
      </c>
      <c r="H18" s="82">
        <f t="shared" si="1"/>
        <v>3.7151702786377707E-3</v>
      </c>
      <c r="I18" s="87" t="e">
        <f>VLOOKUP(B18,'R.H.'!A$3:C$3974,3,FALSE)/100</f>
        <v>#N/A</v>
      </c>
      <c r="J18" s="83">
        <v>0.5</v>
      </c>
      <c r="K18" s="92" t="e">
        <f t="shared" si="2"/>
        <v>#N/A</v>
      </c>
      <c r="L18" s="84">
        <v>1070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1342</v>
      </c>
      <c r="C19" s="91" t="e">
        <f>IF(ISBLANK(B19),"",VLOOKUP(B19,SÜRELER!$A:$B,2,FALSE))</f>
        <v>#N/A</v>
      </c>
      <c r="D19" s="80">
        <v>385</v>
      </c>
      <c r="E19" s="92" t="e">
        <f>IF(ISBLANK($B19),"0",VLOOKUP($B19,SÜRELER!$A:$C,3,FALSE))*(D19-F19)</f>
        <v>#N/A</v>
      </c>
      <c r="F19" s="81">
        <v>16</v>
      </c>
      <c r="G19" s="93" t="e">
        <f>VLOOKUP(B19,'R.H.'!A$3:C$3974,3,FALSE)*D19/100</f>
        <v>#N/A</v>
      </c>
      <c r="H19" s="82">
        <f t="shared" si="1"/>
        <v>4.1558441558441558E-2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696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1362</v>
      </c>
      <c r="C20" s="91" t="e">
        <f>IF(ISBLANK(B20),"",VLOOKUP(B20,SÜRELER!$A:$B,2,FALSE))</f>
        <v>#N/A</v>
      </c>
      <c r="D20" s="80">
        <f>800+506</f>
        <v>1306</v>
      </c>
      <c r="E20" s="92" t="e">
        <f>IF(ISBLANK($B20),"0",VLOOKUP($B20,SÜRELER!$A:$C,3,FALSE))*(D20-F20)</f>
        <v>#N/A</v>
      </c>
      <c r="F20" s="81">
        <v>2</v>
      </c>
      <c r="G20" s="93" t="e">
        <f>VLOOKUP(B20,'R.H.'!A$3:C$3974,3,FALSE)*D20/100</f>
        <v>#N/A</v>
      </c>
      <c r="H20" s="82">
        <f t="shared" si="1"/>
        <v>1.5313935681470138E-3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1310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1363</v>
      </c>
      <c r="C21" s="91" t="e">
        <f>IF(ISBLANK(B21),"",VLOOKUP(B21,SÜRELER!$A:$B,2,FALSE))</f>
        <v>#N/A</v>
      </c>
      <c r="D21" s="80">
        <v>1306</v>
      </c>
      <c r="E21" s="92" t="e">
        <f>IF(ISBLANK($B21),"0",VLOOKUP($B21,SÜRELER!$A:$C,3,FALSE))*(D21-F21)</f>
        <v>#N/A</v>
      </c>
      <c r="F21" s="81">
        <v>2</v>
      </c>
      <c r="G21" s="93" t="e">
        <f>VLOOKUP(B21,'R.H.'!A$3:C$3974,3,FALSE)*D21/100</f>
        <v>#N/A</v>
      </c>
      <c r="H21" s="82">
        <f t="shared" si="1"/>
        <v>1.5313935681470138E-3</v>
      </c>
      <c r="I21" s="87" t="e">
        <f>VLOOKUP(B21,'R.H.'!A$3:C$3974,3,FALSE)/100</f>
        <v>#N/A</v>
      </c>
      <c r="J21" s="83">
        <v>0.5</v>
      </c>
      <c r="K21" s="92" t="e">
        <f t="shared" si="2"/>
        <v>#N/A</v>
      </c>
      <c r="L21" s="84">
        <v>1310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hidden="1" customHeight="1" x14ac:dyDescent="0.25">
      <c r="A22" s="85">
        <v>18</v>
      </c>
      <c r="B22" s="86">
        <v>1334</v>
      </c>
      <c r="C22" s="91" t="e">
        <f>IF(ISBLANK(B22),"",VLOOKUP(B22,SÜRELER!$A:$B,2,FALSE))</f>
        <v>#N/A</v>
      </c>
      <c r="D22" s="80">
        <v>56</v>
      </c>
      <c r="E22" s="92" t="e">
        <f>IF(ISBLANK($B22),"0",VLOOKUP($B22,SÜRELER!$A:$C,3,FALSE))*(D22-F22)</f>
        <v>#N/A</v>
      </c>
      <c r="F22" s="81">
        <v>3</v>
      </c>
      <c r="G22" s="93" t="e">
        <f>VLOOKUP(B22,'R.H.'!A$3:C$3974,3,FALSE)*D22/100</f>
        <v>#N/A</v>
      </c>
      <c r="H22" s="82">
        <f t="shared" si="1"/>
        <v>5.3571428571428568E-2</v>
      </c>
      <c r="I22" s="87" t="e">
        <f>VLOOKUP(B22,'R.H.'!A$3:C$3974,3,FALSE)/100</f>
        <v>#N/A</v>
      </c>
      <c r="J22" s="83">
        <v>0.5</v>
      </c>
      <c r="K22" s="92" t="e">
        <f t="shared" si="2"/>
        <v>#N/A</v>
      </c>
      <c r="L22" s="84">
        <v>44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hidden="1" customHeight="1" x14ac:dyDescent="0.25">
      <c r="A23" s="90">
        <v>19</v>
      </c>
      <c r="B23" s="86">
        <v>1335</v>
      </c>
      <c r="C23" s="91" t="e">
        <f>IF(ISBLANK(B23),"",VLOOKUP(B23,SÜRELER!$A:$B,2,FALSE))</f>
        <v>#N/A</v>
      </c>
      <c r="D23" s="80">
        <v>56</v>
      </c>
      <c r="E23" s="92" t="e">
        <f>IF(ISBLANK($B23),"0",VLOOKUP($B23,SÜRELER!$A:$C,3,FALSE))*(D23-F23)</f>
        <v>#N/A</v>
      </c>
      <c r="F23" s="81">
        <v>0</v>
      </c>
      <c r="G23" s="93" t="e">
        <f>VLOOKUP(B23,'R.H.'!A$3:C$3974,3,FALSE)*D23/100</f>
        <v>#N/A</v>
      </c>
      <c r="H23" s="82">
        <f t="shared" si="1"/>
        <v>0</v>
      </c>
      <c r="I23" s="87" t="e">
        <f>VLOOKUP(B23,'R.H.'!A$3:C$3974,3,FALSE)/100</f>
        <v>#N/A</v>
      </c>
      <c r="J23" s="83">
        <v>1</v>
      </c>
      <c r="K23" s="92" t="e">
        <f t="shared" si="2"/>
        <v>#N/A</v>
      </c>
      <c r="L23" s="84">
        <v>24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1674</v>
      </c>
      <c r="C24" s="91" t="e">
        <f>IF(ISBLANK(B24),"",VLOOKUP(B24,SÜRELER!$A:$B,2,FALSE))</f>
        <v>#N/A</v>
      </c>
      <c r="D24" s="80">
        <v>8000</v>
      </c>
      <c r="E24" s="92" t="e">
        <f>IF(ISBLANK($B24),"0",VLOOKUP($B24,SÜRELER!$A:$C,3,FALSE))*(D24-F24)</f>
        <v>#N/A</v>
      </c>
      <c r="F24" s="81">
        <v>0</v>
      </c>
      <c r="G24" s="93" t="e">
        <f>VLOOKUP(B24,'R.H.'!A$3:C$3974,3,FALSE)*D24/100</f>
        <v>#N/A</v>
      </c>
      <c r="H24" s="82">
        <f t="shared" si="1"/>
        <v>0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3695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1593</v>
      </c>
      <c r="C25" s="91" t="e">
        <f>IF(ISBLANK(B25),"",VLOOKUP(B25,SÜRELER!$A:$B,2,FALSE))</f>
        <v>#N/A</v>
      </c>
      <c r="D25" s="80">
        <f>280+300</f>
        <v>580</v>
      </c>
      <c r="E25" s="92" t="e">
        <f>IF(ISBLANK($B25),"0",VLOOKUP($B25,SÜRELER!$A:$C,3,FALSE))*(D25-F25)</f>
        <v>#N/A</v>
      </c>
      <c r="F25" s="81">
        <v>8</v>
      </c>
      <c r="G25" s="93" t="e">
        <f>VLOOKUP(B25,'R.H.'!A$3:C$3974,3,FALSE)*D25/100</f>
        <v>#N/A</v>
      </c>
      <c r="H25" s="82">
        <f t="shared" si="1"/>
        <v>1.3793103448275862E-2</v>
      </c>
      <c r="I25" s="87" t="e">
        <f>VLOOKUP(B25,'R.H.'!A$3:C$3974,3,FALSE)/100</f>
        <v>#N/A</v>
      </c>
      <c r="J25" s="83">
        <v>0.5</v>
      </c>
      <c r="K25" s="92" t="e">
        <f t="shared" si="2"/>
        <v>#N/A</v>
      </c>
      <c r="L25" s="84">
        <v>410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1594</v>
      </c>
      <c r="C26" s="91" t="e">
        <f>IF(ISBLANK(B26),"",VLOOKUP(B26,SÜRELER!$A:$B,2,FALSE))</f>
        <v>#N/A</v>
      </c>
      <c r="D26" s="80">
        <v>580</v>
      </c>
      <c r="E26" s="92" t="e">
        <f>IF(ISBLANK($B26),"0",VLOOKUP($B26,SÜRELER!$A:$C,3,FALSE))*(D26-F26)</f>
        <v>#N/A</v>
      </c>
      <c r="F26" s="81">
        <v>8</v>
      </c>
      <c r="G26" s="93" t="e">
        <f>VLOOKUP(B26,'R.H.'!A$3:C$3974,3,FALSE)*D26/100</f>
        <v>#N/A</v>
      </c>
      <c r="H26" s="82">
        <f t="shared" si="1"/>
        <v>1.3793103448275862E-2</v>
      </c>
      <c r="I26" s="87" t="e">
        <f>VLOOKUP(B26,'R.H.'!A$3:C$3974,3,FALSE)/100</f>
        <v>#N/A</v>
      </c>
      <c r="J26" s="83">
        <v>0.5</v>
      </c>
      <c r="K26" s="92" t="e">
        <f t="shared" si="2"/>
        <v>#N/A</v>
      </c>
      <c r="L26" s="84">
        <v>410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1338</v>
      </c>
      <c r="C27" s="91" t="e">
        <f>IF(ISBLANK(B27),"",VLOOKUP(B27,SÜRELER!$A:$B,2,FALSE))</f>
        <v>#N/A</v>
      </c>
      <c r="D27" s="80">
        <v>310</v>
      </c>
      <c r="E27" s="92" t="e">
        <f>IF(ISBLANK($B27),"0",VLOOKUP($B27,SÜRELER!$A:$C,3,FALSE))*(D27-F27)</f>
        <v>#N/A</v>
      </c>
      <c r="F27" s="81">
        <v>0</v>
      </c>
      <c r="G27" s="93" t="e">
        <f>VLOOKUP(B27,'R.H.'!A$3:C$3974,3,FALSE)*D27/100</f>
        <v>#N/A</v>
      </c>
      <c r="H27" s="82">
        <f t="shared" si="1"/>
        <v>0</v>
      </c>
      <c r="I27" s="87" t="e">
        <f>VLOOKUP(B27,'R.H.'!A$3:C$3974,3,FALSE)/100</f>
        <v>#N/A</v>
      </c>
      <c r="J27" s="83">
        <v>1</v>
      </c>
      <c r="K27" s="92" t="e">
        <f t="shared" si="2"/>
        <v>#N/A</v>
      </c>
      <c r="L27" s="84">
        <v>295</v>
      </c>
      <c r="M27" s="84"/>
      <c r="N27" s="94" t="e">
        <f t="shared" si="3"/>
        <v>#N/A</v>
      </c>
      <c r="O27" s="88" t="e">
        <f t="shared" si="0"/>
        <v>#N/A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>
        <v>1977</v>
      </c>
      <c r="C28" s="91" t="e">
        <f>IF(ISBLANK(B28),"",VLOOKUP(B28,SÜRELER!$A:$B,2,FALSE))</f>
        <v>#N/A</v>
      </c>
      <c r="D28" s="80">
        <v>120</v>
      </c>
      <c r="E28" s="92" t="e">
        <f>IF(ISBLANK($B28),"0",VLOOKUP($B28,SÜRELER!$A:$C,3,FALSE))*(D28-F28)</f>
        <v>#N/A</v>
      </c>
      <c r="F28" s="81">
        <v>0</v>
      </c>
      <c r="G28" s="93" t="e">
        <f>VLOOKUP(B28,'R.H.'!A$3:C$3974,3,FALSE)*D28/100</f>
        <v>#N/A</v>
      </c>
      <c r="H28" s="82">
        <f t="shared" si="1"/>
        <v>0</v>
      </c>
      <c r="I28" s="87" t="e">
        <f>VLOOKUP(B28,'R.H.'!A$3:C$3974,3,FALSE)/100</f>
        <v>#N/A</v>
      </c>
      <c r="J28" s="83">
        <v>0.25</v>
      </c>
      <c r="K28" s="92" t="e">
        <f t="shared" si="2"/>
        <v>#N/A</v>
      </c>
      <c r="L28" s="84">
        <v>490</v>
      </c>
      <c r="M28" s="84"/>
      <c r="N28" s="94" t="e">
        <f t="shared" si="3"/>
        <v>#N/A</v>
      </c>
      <c r="O28" s="88" t="e">
        <f t="shared" si="0"/>
        <v>#N/A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>
        <v>1978</v>
      </c>
      <c r="C29" s="91" t="e">
        <f>IF(ISBLANK(B29),"",VLOOKUP(B29,SÜRELER!$A:$B,2,FALSE))</f>
        <v>#N/A</v>
      </c>
      <c r="D29" s="80">
        <v>120</v>
      </c>
      <c r="E29" s="92" t="e">
        <f>IF(ISBLANK($B29),"0",VLOOKUP($B29,SÜRELER!$A:$C,3,FALSE))*(D29-F29)</f>
        <v>#N/A</v>
      </c>
      <c r="F29" s="81">
        <v>0</v>
      </c>
      <c r="G29" s="93" t="e">
        <f>VLOOKUP(B29,'R.H.'!A$3:C$3974,3,FALSE)*D29/100</f>
        <v>#N/A</v>
      </c>
      <c r="H29" s="82">
        <f t="shared" si="1"/>
        <v>0</v>
      </c>
      <c r="I29" s="87" t="e">
        <f>VLOOKUP(B29,'R.H.'!A$3:C$3974,3,FALSE)/100</f>
        <v>#N/A</v>
      </c>
      <c r="J29" s="83">
        <v>0.25</v>
      </c>
      <c r="K29" s="92" t="e">
        <f t="shared" si="2"/>
        <v>#N/A</v>
      </c>
      <c r="L29" s="84">
        <v>490</v>
      </c>
      <c r="M29" s="84"/>
      <c r="N29" s="94" t="e">
        <f t="shared" si="3"/>
        <v>#N/A</v>
      </c>
      <c r="O29" s="88" t="e">
        <f t="shared" si="0"/>
        <v>#N/A</v>
      </c>
      <c r="P29" s="119"/>
      <c r="Q29" s="5"/>
      <c r="R29" s="5"/>
    </row>
    <row r="30" spans="1:18" s="4" customFormat="1" ht="16.5" x14ac:dyDescent="0.25">
      <c r="A30" s="85">
        <v>26</v>
      </c>
      <c r="B30" s="86">
        <v>1979</v>
      </c>
      <c r="C30" s="91" t="e">
        <f>IF(ISBLANK(B30),"",VLOOKUP(B30,SÜRELER!$A:$B,2,FALSE))</f>
        <v>#N/A</v>
      </c>
      <c r="D30" s="80">
        <v>120</v>
      </c>
      <c r="E30" s="92" t="e">
        <f>IF(ISBLANK($B30),"0",VLOOKUP($B30,SÜRELER!$A:$C,3,FALSE))*(D30-F30)</f>
        <v>#N/A</v>
      </c>
      <c r="F30" s="81">
        <v>0</v>
      </c>
      <c r="G30" s="93" t="e">
        <f>VLOOKUP(B30,'R.H.'!A$3:C$3974,3,FALSE)*D30/100</f>
        <v>#N/A</v>
      </c>
      <c r="H30" s="82">
        <f t="shared" si="1"/>
        <v>0</v>
      </c>
      <c r="I30" s="87" t="e">
        <f>VLOOKUP(B30,'R.H.'!A$3:C$3974,3,FALSE)/100</f>
        <v>#N/A</v>
      </c>
      <c r="J30" s="83">
        <v>0.25</v>
      </c>
      <c r="K30" s="92" t="e">
        <f t="shared" si="2"/>
        <v>#N/A</v>
      </c>
      <c r="L30" s="84">
        <v>490</v>
      </c>
      <c r="M30" s="84"/>
      <c r="N30" s="94" t="e">
        <f t="shared" si="3"/>
        <v>#N/A</v>
      </c>
      <c r="O30" s="88" t="e">
        <f t="shared" si="0"/>
        <v>#N/A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>
        <v>1980</v>
      </c>
      <c r="C31" s="91" t="e">
        <f>IF(ISBLANK(B31),"",VLOOKUP(B31,SÜRELER!$A:$B,2,FALSE))</f>
        <v>#N/A</v>
      </c>
      <c r="D31" s="80">
        <v>120</v>
      </c>
      <c r="E31" s="92" t="e">
        <f>IF(ISBLANK($B31),"0",VLOOKUP($B31,SÜRELER!$A:$C,3,FALSE))*(D31-F31)</f>
        <v>#N/A</v>
      </c>
      <c r="F31" s="81">
        <v>0</v>
      </c>
      <c r="G31" s="93" t="e">
        <f>VLOOKUP(B31,'R.H.'!A$3:C$3974,3,FALSE)*D31/100</f>
        <v>#N/A</v>
      </c>
      <c r="H31" s="82">
        <f t="shared" si="1"/>
        <v>0</v>
      </c>
      <c r="I31" s="87" t="e">
        <f>VLOOKUP(B31,'R.H.'!A$3:C$3974,3,FALSE)/100</f>
        <v>#N/A</v>
      </c>
      <c r="J31" s="83">
        <v>0.25</v>
      </c>
      <c r="K31" s="92" t="e">
        <f t="shared" si="2"/>
        <v>#N/A</v>
      </c>
      <c r="L31" s="84">
        <v>490</v>
      </c>
      <c r="M31" s="84"/>
      <c r="N31" s="94" t="e">
        <f t="shared" si="3"/>
        <v>#N/A</v>
      </c>
      <c r="O31" s="88" t="e">
        <f t="shared" si="0"/>
        <v>#N/A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>
        <v>1973</v>
      </c>
      <c r="C32" s="91" t="e">
        <f>IF(ISBLANK(B32),"",VLOOKUP(B32,SÜRELER!$A:$B,2,FALSE))</f>
        <v>#N/A</v>
      </c>
      <c r="D32" s="80">
        <v>720</v>
      </c>
      <c r="E32" s="92" t="e">
        <f>IF(ISBLANK($B32),"0",VLOOKUP($B32,SÜRELER!$A:$C,3,FALSE))*(D32-F32)</f>
        <v>#N/A</v>
      </c>
      <c r="F32" s="81">
        <v>0</v>
      </c>
      <c r="G32" s="93" t="e">
        <f>VLOOKUP(B32,'R.H.'!A$3:C$3974,3,FALSE)*D32/100</f>
        <v>#N/A</v>
      </c>
      <c r="H32" s="82">
        <f t="shared" si="1"/>
        <v>0</v>
      </c>
      <c r="I32" s="87" t="e">
        <f>VLOOKUP(B32,'R.H.'!A$3:C$3974,3,FALSE)/100</f>
        <v>#N/A</v>
      </c>
      <c r="J32" s="83">
        <v>0.5</v>
      </c>
      <c r="K32" s="92" t="e">
        <f t="shared" si="2"/>
        <v>#N/A</v>
      </c>
      <c r="L32" s="84">
        <v>440</v>
      </c>
      <c r="M32" s="84"/>
      <c r="N32" s="94" t="e">
        <f t="shared" si="3"/>
        <v>#N/A</v>
      </c>
      <c r="O32" s="88" t="e">
        <f t="shared" si="0"/>
        <v>#N/A</v>
      </c>
      <c r="P32" s="119"/>
      <c r="Q32" s="5"/>
      <c r="R32" s="5"/>
    </row>
    <row r="33" spans="1:18" s="4" customFormat="1" ht="16.5" x14ac:dyDescent="0.25">
      <c r="A33" s="90">
        <v>29</v>
      </c>
      <c r="B33" s="86">
        <v>1974</v>
      </c>
      <c r="C33" s="91" t="e">
        <f>IF(ISBLANK(B33),"",VLOOKUP(B33,SÜRELER!$A:$B,2,FALSE))</f>
        <v>#N/A</v>
      </c>
      <c r="D33" s="80">
        <v>720</v>
      </c>
      <c r="E33" s="92" t="e">
        <f>IF(ISBLANK($B33),"0",VLOOKUP($B33,SÜRELER!$A:$C,3,FALSE))*(D33-F33)</f>
        <v>#N/A</v>
      </c>
      <c r="F33" s="81">
        <v>0</v>
      </c>
      <c r="G33" s="93" t="e">
        <f>VLOOKUP(B33,'R.H.'!A$3:C$3974,3,FALSE)*D33/100</f>
        <v>#N/A</v>
      </c>
      <c r="H33" s="82">
        <f t="shared" si="1"/>
        <v>0</v>
      </c>
      <c r="I33" s="87" t="e">
        <f>VLOOKUP(B33,'R.H.'!A$3:C$3974,3,FALSE)/100</f>
        <v>#N/A</v>
      </c>
      <c r="J33" s="83">
        <v>0.5</v>
      </c>
      <c r="K33" s="92" t="e">
        <f t="shared" si="2"/>
        <v>#N/A</v>
      </c>
      <c r="L33" s="84">
        <v>440</v>
      </c>
      <c r="M33" s="84"/>
      <c r="N33" s="94" t="e">
        <f t="shared" si="3"/>
        <v>#N/A</v>
      </c>
      <c r="O33" s="88" t="e">
        <f t="shared" si="0"/>
        <v>#N/A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>
        <v>1237</v>
      </c>
      <c r="C34" s="91" t="e">
        <f>IF(ISBLANK(B34),"",VLOOKUP(B34,SÜRELER!$A:$B,2,FALSE))</f>
        <v>#N/A</v>
      </c>
      <c r="D34" s="80">
        <v>600</v>
      </c>
      <c r="E34" s="92" t="e">
        <f>IF(ISBLANK($B34),"0",VLOOKUP($B34,SÜRELER!$A:$C,3,FALSE))*(D34-F34)</f>
        <v>#N/A</v>
      </c>
      <c r="F34" s="81">
        <v>0</v>
      </c>
      <c r="G34" s="93" t="e">
        <f>VLOOKUP(B34,'R.H.'!A$3:C$3974,3,FALSE)*D34/100</f>
        <v>#N/A</v>
      </c>
      <c r="H34" s="82">
        <f t="shared" si="1"/>
        <v>0</v>
      </c>
      <c r="I34" s="87" t="e">
        <f>VLOOKUP(B34,'R.H.'!A$3:C$3974,3,FALSE)/100</f>
        <v>#N/A</v>
      </c>
      <c r="J34" s="83">
        <v>0.5</v>
      </c>
      <c r="K34" s="92" t="e">
        <f t="shared" si="2"/>
        <v>#N/A</v>
      </c>
      <c r="L34" s="84">
        <v>610</v>
      </c>
      <c r="M34" s="84"/>
      <c r="N34" s="94" t="e">
        <f t="shared" si="3"/>
        <v>#N/A</v>
      </c>
      <c r="O34" s="88" t="e">
        <f t="shared" si="0"/>
        <v>#N/A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>
        <v>1238</v>
      </c>
      <c r="C35" s="91" t="e">
        <f>IF(ISBLANK(B35),"",VLOOKUP(B35,SÜRELER!$A:$B,2,FALSE))</f>
        <v>#N/A</v>
      </c>
      <c r="D35" s="80">
        <v>600</v>
      </c>
      <c r="E35" s="92" t="e">
        <f>IF(ISBLANK($B35),"0",VLOOKUP($B35,SÜRELER!$A:$C,3,FALSE))*(D35-F35)</f>
        <v>#N/A</v>
      </c>
      <c r="F35" s="81">
        <v>0</v>
      </c>
      <c r="G35" s="93" t="e">
        <f>VLOOKUP(B35,'R.H.'!A$3:C$3974,3,FALSE)*D35/100</f>
        <v>#N/A</v>
      </c>
      <c r="H35" s="82">
        <f t="shared" si="1"/>
        <v>0</v>
      </c>
      <c r="I35" s="87" t="e">
        <f>VLOOKUP(B35,'R.H.'!A$3:C$3974,3,FALSE)/100</f>
        <v>#N/A</v>
      </c>
      <c r="J35" s="83">
        <v>0.5</v>
      </c>
      <c r="K35" s="92" t="e">
        <f t="shared" si="2"/>
        <v>#N/A</v>
      </c>
      <c r="L35" s="84">
        <v>585</v>
      </c>
      <c r="M35" s="84"/>
      <c r="N35" s="94" t="e">
        <f t="shared" si="3"/>
        <v>#N/A</v>
      </c>
      <c r="O35" s="88" t="e">
        <f t="shared" si="0"/>
        <v>#N/A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23408</v>
      </c>
      <c r="E45" s="26" t="e">
        <f>SUM(E5:E44)</f>
        <v>#N/A</v>
      </c>
      <c r="F45" s="26">
        <f>SUM(F5:F44)</f>
        <v>135</v>
      </c>
      <c r="G45" s="26"/>
      <c r="H45" s="26"/>
      <c r="I45" s="26"/>
      <c r="J45" s="26"/>
      <c r="K45" s="26"/>
      <c r="L45" s="26">
        <f>SUM(L5:L44)</f>
        <v>19645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0.57672590567327409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18.5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10035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>
        <v>110</v>
      </c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9925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110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23408</v>
      </c>
      <c r="F63" s="24">
        <f>F45</f>
        <v>135</v>
      </c>
      <c r="G63" s="23">
        <f>(F63*1000000)/E63</f>
        <v>5767.2590567327406</v>
      </c>
      <c r="H63" s="22">
        <v>110</v>
      </c>
      <c r="I63" s="17" t="e">
        <f>N1</f>
        <v>#N/A</v>
      </c>
    </row>
  </sheetData>
  <mergeCells count="16">
    <mergeCell ref="P5:P6"/>
    <mergeCell ref="N1:N3"/>
    <mergeCell ref="A2:B3"/>
    <mergeCell ref="E56:N56"/>
    <mergeCell ref="E57:N57"/>
    <mergeCell ref="E49:N49"/>
    <mergeCell ref="E50:N50"/>
    <mergeCell ref="E51:N51"/>
    <mergeCell ref="E53:N53"/>
    <mergeCell ref="E54:N54"/>
    <mergeCell ref="E55:N55"/>
    <mergeCell ref="D46:D47"/>
    <mergeCell ref="E46:F47"/>
    <mergeCell ref="A1:B1"/>
    <mergeCell ref="C1:D2"/>
    <mergeCell ref="H1:H3"/>
  </mergeCells>
  <conditionalFormatting sqref="D3">
    <cfRule type="cellIs" dxfId="49" priority="5" stopIfTrue="1" operator="lessThan">
      <formula>0.95</formula>
    </cfRule>
  </conditionalFormatting>
  <conditionalFormatting sqref="F5:F44">
    <cfRule type="cellIs" dxfId="48" priority="1" stopIfTrue="1" operator="greaterThan">
      <formula>$G5</formula>
    </cfRule>
  </conditionalFormatting>
  <conditionalFormatting sqref="H5:H44">
    <cfRule type="cellIs" dxfId="47" priority="2" stopIfTrue="1" operator="greaterThan">
      <formula>$I$5</formula>
    </cfRule>
  </conditionalFormatting>
  <conditionalFormatting sqref="N1:N3">
    <cfRule type="cellIs" dxfId="46" priority="4" stopIfTrue="1" operator="lessThan">
      <formula>0.8</formula>
    </cfRule>
  </conditionalFormatting>
  <conditionalFormatting sqref="N5:O44">
    <cfRule type="cellIs" dxfId="45" priority="3" stopIfTrue="1" operator="lessThan">
      <formula>0.85</formula>
    </cfRule>
  </conditionalFormatting>
  <hyperlinks>
    <hyperlink ref="P1:P3" location="'Ana Sayfa'!A1" display="ANA SAYFA" xr:uid="{41352CA1-6E2A-4AD2-B7A3-E21338779C57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4607-2362-4844-B575-D5806EAB7B7A}">
  <sheetPr codeName="Sayfa23">
    <tabColor theme="0" tint="-0.14999847407452621"/>
    <pageSetUpPr fitToPage="1"/>
  </sheetPr>
  <dimension ref="A1:W63"/>
  <sheetViews>
    <sheetView topLeftCell="A10" workbookViewId="0">
      <selection activeCell="I1" sqref="I1:M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'22'!A1+1</f>
        <v>46226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Perşembe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12462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2189</v>
      </c>
      <c r="C5" s="91" t="e">
        <f>IF(ISBLANK(B5),"",VLOOKUP(B5,SÜRELER!$A:$B,2,FALSE))</f>
        <v>#N/A</v>
      </c>
      <c r="D5" s="80">
        <f>90+226</f>
        <v>316</v>
      </c>
      <c r="E5" s="92" t="e">
        <f>IF(ISBLANK($B5),"0",VLOOKUP($B5,SÜRELER!$A:$C,3,FALSE))*(D5-F5)</f>
        <v>#N/A</v>
      </c>
      <c r="F5" s="81">
        <v>11</v>
      </c>
      <c r="G5" s="93" t="e">
        <f>VLOOKUP(B5,'R.H.'!A$3:C$3974,3,FALSE)*D5/100</f>
        <v>#N/A</v>
      </c>
      <c r="H5" s="82">
        <f>F5/D5</f>
        <v>3.4810126582278479E-2</v>
      </c>
      <c r="I5" s="87" t="e">
        <f>VLOOKUP(B5,'R.H.'!A$3:C$3974,3,FALSE)/100</f>
        <v>#N/A</v>
      </c>
      <c r="J5" s="83">
        <v>0.5</v>
      </c>
      <c r="K5" s="92" t="e">
        <f>E5/J5</f>
        <v>#N/A</v>
      </c>
      <c r="L5" s="84">
        <v>220</v>
      </c>
      <c r="M5" s="84"/>
      <c r="N5" s="94" t="e">
        <f>K5/L5</f>
        <v>#N/A</v>
      </c>
      <c r="O5" s="88" t="e">
        <f t="shared" ref="O5:O44" si="0">K5/(L5-M5)</f>
        <v>#N/A</v>
      </c>
      <c r="P5" s="193" t="s">
        <v>3388</v>
      </c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2190</v>
      </c>
      <c r="C6" s="91" t="e">
        <f>IF(ISBLANK(B6),"",VLOOKUP(B6,SÜRELER!$A:$B,2,FALSE))</f>
        <v>#N/A</v>
      </c>
      <c r="D6" s="80">
        <v>316</v>
      </c>
      <c r="E6" s="92" t="e">
        <f>IF(ISBLANK($B6),"0",VLOOKUP($B6,SÜRELER!$A:$C,3,FALSE))*(D6-F6)</f>
        <v>#N/A</v>
      </c>
      <c r="F6" s="81">
        <v>11</v>
      </c>
      <c r="G6" s="93" t="e">
        <f>VLOOKUP(B6,'R.H.'!A$3:C$3974,3,FALSE)*D6/100</f>
        <v>#N/A</v>
      </c>
      <c r="H6" s="82">
        <f t="shared" ref="H6:H44" si="1">F6/D6</f>
        <v>3.4810126582278479E-2</v>
      </c>
      <c r="I6" s="87" t="e">
        <f>VLOOKUP(B6,'R.H.'!A$3:C$3974,3,FALSE)/100</f>
        <v>#N/A</v>
      </c>
      <c r="J6" s="83">
        <v>0.5</v>
      </c>
      <c r="K6" s="92" t="e">
        <f t="shared" ref="K6:K44" si="2">E6/J6</f>
        <v>#N/A</v>
      </c>
      <c r="L6" s="84">
        <v>220</v>
      </c>
      <c r="M6" s="84"/>
      <c r="N6" s="94" t="e">
        <f t="shared" ref="N6:N44" si="3">K6/L6</f>
        <v>#N/A</v>
      </c>
      <c r="O6" s="88" t="e">
        <f t="shared" si="0"/>
        <v>#N/A</v>
      </c>
      <c r="P6" s="197"/>
      <c r="Q6" s="5"/>
      <c r="R6" s="5"/>
    </row>
    <row r="7" spans="1:23" s="4" customFormat="1" ht="16.5" customHeight="1" x14ac:dyDescent="0.25">
      <c r="A7" s="90">
        <v>3</v>
      </c>
      <c r="B7" s="86">
        <v>2191</v>
      </c>
      <c r="C7" s="91" t="e">
        <f>IF(ISBLANK(B7),"",VLOOKUP(B7,SÜRELER!$A:$B,2,FALSE))</f>
        <v>#N/A</v>
      </c>
      <c r="D7" s="80">
        <v>316</v>
      </c>
      <c r="E7" s="92" t="e">
        <f>IF(ISBLANK($B7),"0",VLOOKUP($B7,SÜRELER!$A:$C,3,FALSE))*(D7-F7)</f>
        <v>#N/A</v>
      </c>
      <c r="F7" s="81">
        <v>11</v>
      </c>
      <c r="G7" s="93" t="e">
        <f>VLOOKUP(B7,'R.H.'!A$3:C$3974,3,FALSE)*D7/100</f>
        <v>#N/A</v>
      </c>
      <c r="H7" s="82">
        <f t="shared" si="1"/>
        <v>3.4810126582278479E-2</v>
      </c>
      <c r="I7" s="87" t="e">
        <f>VLOOKUP(B7,'R.H.'!A$3:C$3974,3,FALSE)/100</f>
        <v>#N/A</v>
      </c>
      <c r="J7" s="83">
        <v>0.5</v>
      </c>
      <c r="K7" s="92" t="e">
        <f t="shared" si="2"/>
        <v>#N/A</v>
      </c>
      <c r="L7" s="84">
        <v>220</v>
      </c>
      <c r="M7" s="84"/>
      <c r="N7" s="94" t="e">
        <f t="shared" si="3"/>
        <v>#N/A</v>
      </c>
      <c r="O7" s="88" t="e">
        <f t="shared" si="0"/>
        <v>#N/A</v>
      </c>
      <c r="P7" s="197"/>
      <c r="Q7" s="5"/>
      <c r="R7" s="5"/>
    </row>
    <row r="8" spans="1:23" s="4" customFormat="1" ht="16.5" customHeight="1" x14ac:dyDescent="0.25">
      <c r="A8" s="85">
        <v>4</v>
      </c>
      <c r="B8" s="86">
        <v>2192</v>
      </c>
      <c r="C8" s="91" t="e">
        <f>IF(ISBLANK(B8),"",VLOOKUP(B8,SÜRELER!$A:$B,2,FALSE))</f>
        <v>#N/A</v>
      </c>
      <c r="D8" s="80">
        <v>316</v>
      </c>
      <c r="E8" s="92" t="e">
        <f>IF(ISBLANK($B8),"0",VLOOKUP($B8,SÜRELER!$A:$C,3,FALSE))*(D8-F8)</f>
        <v>#N/A</v>
      </c>
      <c r="F8" s="81">
        <v>11</v>
      </c>
      <c r="G8" s="93" t="e">
        <f>VLOOKUP(B8,'R.H.'!A$3:C$3974,3,FALSE)*D8/100</f>
        <v>#N/A</v>
      </c>
      <c r="H8" s="82">
        <f t="shared" si="1"/>
        <v>3.4810126582278479E-2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220</v>
      </c>
      <c r="M8" s="84"/>
      <c r="N8" s="94" t="e">
        <f t="shared" si="3"/>
        <v>#N/A</v>
      </c>
      <c r="O8" s="88" t="e">
        <f t="shared" si="0"/>
        <v>#N/A</v>
      </c>
      <c r="P8" s="194"/>
      <c r="Q8" s="5"/>
      <c r="R8" s="5"/>
    </row>
    <row r="9" spans="1:23" s="4" customFormat="1" ht="16.5" x14ac:dyDescent="0.25">
      <c r="A9" s="90">
        <v>5</v>
      </c>
      <c r="B9" s="86">
        <v>2163</v>
      </c>
      <c r="C9" s="91" t="e">
        <f>IF(ISBLANK(B9),"",VLOOKUP(B9,SÜRELER!$A:$B,2,FALSE))</f>
        <v>#N/A</v>
      </c>
      <c r="D9" s="80">
        <f>204+24</f>
        <v>228</v>
      </c>
      <c r="E9" s="92" t="e">
        <f>IF(ISBLANK($B9),"0",VLOOKUP($B9,SÜRELER!$A:$C,3,FALSE))*(D9-F9)</f>
        <v>#N/A</v>
      </c>
      <c r="F9" s="81">
        <v>12</v>
      </c>
      <c r="G9" s="93" t="e">
        <f>VLOOKUP(B9,'R.H.'!A$3:C$3974,3,FALSE)*D9/100</f>
        <v>#N/A</v>
      </c>
      <c r="H9" s="82">
        <f t="shared" si="1"/>
        <v>5.2631578947368418E-2</v>
      </c>
      <c r="I9" s="87" t="e">
        <f>VLOOKUP(B9,'R.H.'!A$3:C$3974,3,FALSE)/100</f>
        <v>#N/A</v>
      </c>
      <c r="J9" s="83">
        <v>0.5</v>
      </c>
      <c r="K9" s="92" t="e">
        <f t="shared" si="2"/>
        <v>#N/A</v>
      </c>
      <c r="L9" s="84">
        <v>220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2164</v>
      </c>
      <c r="C10" s="91" t="e">
        <f>IF(ISBLANK(B10),"",VLOOKUP(B10,SÜRELER!$A:$B,2,FALSE))</f>
        <v>#N/A</v>
      </c>
      <c r="D10" s="80">
        <v>228</v>
      </c>
      <c r="E10" s="92" t="e">
        <f>IF(ISBLANK($B10),"0",VLOOKUP($B10,SÜRELER!$A:$C,3,FALSE))*(D10-F10)</f>
        <v>#N/A</v>
      </c>
      <c r="F10" s="81">
        <v>12</v>
      </c>
      <c r="G10" s="93" t="e">
        <f>VLOOKUP(B10,'R.H.'!A$3:C$3974,3,FALSE)*D10/100</f>
        <v>#N/A</v>
      </c>
      <c r="H10" s="82">
        <f t="shared" si="1"/>
        <v>5.2631578947368418E-2</v>
      </c>
      <c r="I10" s="87" t="e">
        <f>VLOOKUP(B10,'R.H.'!A$3:C$3974,3,FALSE)/100</f>
        <v>#N/A</v>
      </c>
      <c r="J10" s="83">
        <v>0.5</v>
      </c>
      <c r="K10" s="92" t="e">
        <f t="shared" si="2"/>
        <v>#N/A</v>
      </c>
      <c r="L10" s="84">
        <v>220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287</v>
      </c>
      <c r="C11" s="91" t="e">
        <f>IF(ISBLANK(B11),"",VLOOKUP(B11,SÜRELER!$A:$B,2,FALSE))</f>
        <v>#N/A</v>
      </c>
      <c r="D11" s="80">
        <f>251+558</f>
        <v>809</v>
      </c>
      <c r="E11" s="92" t="e">
        <f>IF(ISBLANK($B11),"0",VLOOKUP($B11,SÜRELER!$A:$C,3,FALSE))*(D11-F11)</f>
        <v>#N/A</v>
      </c>
      <c r="F11" s="81">
        <v>15</v>
      </c>
      <c r="G11" s="93" t="e">
        <f>VLOOKUP(B11,'R.H.'!A$3:C$3974,3,FALSE)*D11/100</f>
        <v>#N/A</v>
      </c>
      <c r="H11" s="82">
        <f t="shared" si="1"/>
        <v>1.8541409147095178E-2</v>
      </c>
      <c r="I11" s="87" t="e">
        <f>VLOOKUP(B11,'R.H.'!A$3:C$3974,3,FALSE)/100</f>
        <v>#N/A</v>
      </c>
      <c r="J11" s="83">
        <v>0.5</v>
      </c>
      <c r="K11" s="92" t="e">
        <f t="shared" si="2"/>
        <v>#N/A</v>
      </c>
      <c r="L11" s="84">
        <v>675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288</v>
      </c>
      <c r="C12" s="91" t="e">
        <f>IF(ISBLANK(B12),"",VLOOKUP(B12,SÜRELER!$A:$B,2,FALSE))</f>
        <v>#N/A</v>
      </c>
      <c r="D12" s="80">
        <v>809</v>
      </c>
      <c r="E12" s="92" t="e">
        <f>IF(ISBLANK($B12),"0",VLOOKUP($B12,SÜRELER!$A:$C,3,FALSE))*(D12-F12)</f>
        <v>#N/A</v>
      </c>
      <c r="F12" s="81">
        <v>15</v>
      </c>
      <c r="G12" s="93" t="e">
        <f>VLOOKUP(B12,'R.H.'!A$3:C$3974,3,FALSE)*D12/100</f>
        <v>#N/A</v>
      </c>
      <c r="H12" s="82">
        <f t="shared" si="1"/>
        <v>1.8541409147095178E-2</v>
      </c>
      <c r="I12" s="87" t="e">
        <f>VLOOKUP(B12,'R.H.'!A$3:C$3974,3,FALSE)/100</f>
        <v>#N/A</v>
      </c>
      <c r="J12" s="83">
        <v>0.5</v>
      </c>
      <c r="K12" s="92" t="e">
        <f t="shared" si="2"/>
        <v>#N/A</v>
      </c>
      <c r="L12" s="84">
        <v>675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1525</v>
      </c>
      <c r="C13" s="91" t="e">
        <f>IF(ISBLANK(B13),"",VLOOKUP(B13,SÜRELER!$A:$B,2,FALSE))</f>
        <v>#N/A</v>
      </c>
      <c r="D13" s="80">
        <v>10</v>
      </c>
      <c r="E13" s="92" t="e">
        <f>IF(ISBLANK($B13),"0",VLOOKUP($B13,SÜRELER!$A:$C,3,FALSE))*(D13-F13)</f>
        <v>#N/A</v>
      </c>
      <c r="F13" s="81">
        <v>1</v>
      </c>
      <c r="G13" s="93" t="e">
        <f>VLOOKUP(B13,'R.H.'!A$3:C$3974,3,FALSE)*D13/100</f>
        <v>#N/A</v>
      </c>
      <c r="H13" s="82">
        <f t="shared" si="1"/>
        <v>0.1</v>
      </c>
      <c r="I13" s="87" t="e">
        <f>VLOOKUP(B13,'R.H.'!A$3:C$3974,3,FALSE)/100</f>
        <v>#N/A</v>
      </c>
      <c r="J13" s="83">
        <v>0.5</v>
      </c>
      <c r="K13" s="92" t="e">
        <f t="shared" si="2"/>
        <v>#N/A</v>
      </c>
      <c r="L13" s="84">
        <v>14</v>
      </c>
      <c r="M13" s="84"/>
      <c r="N13" s="94" t="e">
        <f t="shared" si="3"/>
        <v>#N/A</v>
      </c>
      <c r="O13" s="88" t="e">
        <f t="shared" si="0"/>
        <v>#N/A</v>
      </c>
      <c r="P13" s="193" t="s">
        <v>3387</v>
      </c>
      <c r="Q13" s="5"/>
      <c r="R13" s="5"/>
    </row>
    <row r="14" spans="1:23" s="4" customFormat="1" ht="16.75" customHeight="1" x14ac:dyDescent="0.25">
      <c r="A14" s="85">
        <v>10</v>
      </c>
      <c r="B14" s="86">
        <v>1526</v>
      </c>
      <c r="C14" s="91" t="e">
        <f>IF(ISBLANK(B14),"",VLOOKUP(B14,SÜRELER!$A:$B,2,FALSE))</f>
        <v>#N/A</v>
      </c>
      <c r="D14" s="80">
        <v>10</v>
      </c>
      <c r="E14" s="92" t="e">
        <f>IF(ISBLANK($B14),"0",VLOOKUP($B14,SÜRELER!$A:$C,3,FALSE))*(D14-F14)</f>
        <v>#N/A</v>
      </c>
      <c r="F14" s="81">
        <v>1</v>
      </c>
      <c r="G14" s="93" t="e">
        <f>VLOOKUP(B14,'R.H.'!A$3:C$3974,3,FALSE)*D14/100</f>
        <v>#N/A</v>
      </c>
      <c r="H14" s="82">
        <f t="shared" si="1"/>
        <v>0.1</v>
      </c>
      <c r="I14" s="87" t="e">
        <f>VLOOKUP(B14,'R.H.'!A$3:C$3974,3,FALSE)/100</f>
        <v>#N/A</v>
      </c>
      <c r="J14" s="83">
        <v>0.5</v>
      </c>
      <c r="K14" s="92" t="e">
        <f t="shared" si="2"/>
        <v>#N/A</v>
      </c>
      <c r="L14" s="84">
        <v>14</v>
      </c>
      <c r="M14" s="84"/>
      <c r="N14" s="94" t="e">
        <f t="shared" si="3"/>
        <v>#N/A</v>
      </c>
      <c r="O14" s="88" t="e">
        <f t="shared" si="0"/>
        <v>#N/A</v>
      </c>
      <c r="P14" s="194"/>
      <c r="Q14" s="5"/>
      <c r="R14" s="5"/>
    </row>
    <row r="15" spans="1:23" s="4" customFormat="1" ht="16.5" x14ac:dyDescent="0.25">
      <c r="A15" s="90">
        <v>11</v>
      </c>
      <c r="B15" s="86">
        <v>1593</v>
      </c>
      <c r="C15" s="91" t="e">
        <f>IF(ISBLANK(B15),"",VLOOKUP(B15,SÜRELER!$A:$B,2,FALSE))</f>
        <v>#N/A</v>
      </c>
      <c r="D15" s="80">
        <f>450+72</f>
        <v>522</v>
      </c>
      <c r="E15" s="92" t="e">
        <f>IF(ISBLANK($B15),"0",VLOOKUP($B15,SÜRELER!$A:$C,3,FALSE))*(D15-F15)</f>
        <v>#N/A</v>
      </c>
      <c r="F15" s="81">
        <v>6</v>
      </c>
      <c r="G15" s="93" t="e">
        <f>VLOOKUP(B15,'R.H.'!A$3:C$3974,3,FALSE)*D15/100</f>
        <v>#N/A</v>
      </c>
      <c r="H15" s="82">
        <f t="shared" si="1"/>
        <v>1.1494252873563218E-2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365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1594</v>
      </c>
      <c r="C16" s="91" t="e">
        <f>IF(ISBLANK(B16),"",VLOOKUP(B16,SÜRELER!$A:$B,2,FALSE))</f>
        <v>#N/A</v>
      </c>
      <c r="D16" s="80">
        <v>522</v>
      </c>
      <c r="E16" s="92" t="e">
        <f>IF(ISBLANK($B16),"0",VLOOKUP($B16,SÜRELER!$A:$C,3,FALSE))*(D16-F16)</f>
        <v>#N/A</v>
      </c>
      <c r="F16" s="81">
        <v>6</v>
      </c>
      <c r="G16" s="93" t="e">
        <f>VLOOKUP(B16,'R.H.'!A$3:C$3974,3,FALSE)*D16/100</f>
        <v>#N/A</v>
      </c>
      <c r="H16" s="82">
        <f t="shared" si="1"/>
        <v>1.1494252873563218E-2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365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1131</v>
      </c>
      <c r="C17" s="91" t="e">
        <f>IF(ISBLANK(B17),"",VLOOKUP(B17,SÜRELER!$A:$B,2,FALSE))</f>
        <v>#N/A</v>
      </c>
      <c r="D17" s="80">
        <f>1330+472</f>
        <v>1802</v>
      </c>
      <c r="E17" s="92" t="e">
        <f>IF(ISBLANK($B17),"0",VLOOKUP($B17,SÜRELER!$A:$C,3,FALSE))*(D17-F17)</f>
        <v>#N/A</v>
      </c>
      <c r="F17" s="81">
        <v>8</v>
      </c>
      <c r="G17" s="93" t="e">
        <f>VLOOKUP(B17,'R.H.'!A$3:C$3974,3,FALSE)*D17/100</f>
        <v>#N/A</v>
      </c>
      <c r="H17" s="82">
        <f t="shared" si="1"/>
        <v>4.4395116537180911E-3</v>
      </c>
      <c r="I17" s="87" t="e">
        <f>VLOOKUP(B17,'R.H.'!A$3:C$3974,3,FALSE)/100</f>
        <v>#N/A</v>
      </c>
      <c r="J17" s="83">
        <v>1</v>
      </c>
      <c r="K17" s="92" t="e">
        <f t="shared" si="2"/>
        <v>#N/A</v>
      </c>
      <c r="L17" s="84">
        <v>600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31" x14ac:dyDescent="0.25">
      <c r="A18" s="85">
        <v>14</v>
      </c>
      <c r="B18" s="86">
        <v>701</v>
      </c>
      <c r="C18" s="91" t="e">
        <f>IF(ISBLANK(B18),"",VLOOKUP(B18,SÜRELER!$A:$B,2,FALSE))</f>
        <v>#N/A</v>
      </c>
      <c r="D18" s="80">
        <f>1202+839</f>
        <v>2041</v>
      </c>
      <c r="E18" s="92" t="e">
        <f>IF(ISBLANK($B18),"0",VLOOKUP($B18,SÜRELER!$A:$C,3,FALSE))*(D18-F18)</f>
        <v>#N/A</v>
      </c>
      <c r="F18" s="81">
        <v>2</v>
      </c>
      <c r="G18" s="93" t="e">
        <f>VLOOKUP(B18,'R.H.'!A$3:C$3974,3,FALSE)*D18/100</f>
        <v>#N/A</v>
      </c>
      <c r="H18" s="82">
        <f t="shared" si="1"/>
        <v>9.7991180793728563E-4</v>
      </c>
      <c r="I18" s="87" t="e">
        <f>VLOOKUP(B18,'R.H.'!A$3:C$3974,3,FALSE)/100</f>
        <v>#N/A</v>
      </c>
      <c r="J18" s="83">
        <v>1</v>
      </c>
      <c r="K18" s="92" t="e">
        <f t="shared" si="2"/>
        <v>#N/A</v>
      </c>
      <c r="L18" s="84">
        <v>1200</v>
      </c>
      <c r="M18" s="84"/>
      <c r="N18" s="94" t="e">
        <f t="shared" si="3"/>
        <v>#N/A</v>
      </c>
      <c r="O18" s="88" t="e">
        <f t="shared" si="0"/>
        <v>#N/A</v>
      </c>
      <c r="P18" s="164" t="s">
        <v>3389</v>
      </c>
      <c r="Q18" s="5"/>
      <c r="R18" s="5"/>
    </row>
    <row r="19" spans="1:18" s="4" customFormat="1" ht="16.5" x14ac:dyDescent="0.25">
      <c r="A19" s="90">
        <v>15</v>
      </c>
      <c r="B19" s="86">
        <v>742</v>
      </c>
      <c r="C19" s="91" t="e">
        <f>IF(ISBLANK(B19),"",VLOOKUP(B19,SÜRELER!$A:$B,2,FALSE))</f>
        <v>#N/A</v>
      </c>
      <c r="D19" s="80">
        <v>84</v>
      </c>
      <c r="E19" s="92" t="e">
        <f>IF(ISBLANK($B19),"0",VLOOKUP($B19,SÜRELER!$A:$C,3,FALSE))*(D19-F19)</f>
        <v>#N/A</v>
      </c>
      <c r="F19" s="81">
        <v>2</v>
      </c>
      <c r="G19" s="93" t="e">
        <f>VLOOKUP(B19,'R.H.'!A$3:C$3974,3,FALSE)*D19/100</f>
        <v>#N/A</v>
      </c>
      <c r="H19" s="82">
        <f t="shared" si="1"/>
        <v>2.3809523809523808E-2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71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743</v>
      </c>
      <c r="C20" s="91" t="e">
        <f>IF(ISBLANK(B20),"",VLOOKUP(B20,SÜRELER!$A:$B,2,FALSE))</f>
        <v>#N/A</v>
      </c>
      <c r="D20" s="80">
        <v>84</v>
      </c>
      <c r="E20" s="92" t="e">
        <f>IF(ISBLANK($B20),"0",VLOOKUP($B20,SÜRELER!$A:$C,3,FALSE))*(D20-F20)</f>
        <v>#N/A</v>
      </c>
      <c r="F20" s="81">
        <v>2</v>
      </c>
      <c r="G20" s="93" t="e">
        <f>VLOOKUP(B20,'R.H.'!A$3:C$3974,3,FALSE)*D20/100</f>
        <v>#N/A</v>
      </c>
      <c r="H20" s="82">
        <f t="shared" si="1"/>
        <v>2.3809523809523808E-2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71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444</v>
      </c>
      <c r="C21" s="91" t="e">
        <f>IF(ISBLANK(B21),"",VLOOKUP(B21,SÜRELER!$A:$B,2,FALSE))</f>
        <v>#N/A</v>
      </c>
      <c r="D21" s="80">
        <f>930+528</f>
        <v>1458</v>
      </c>
      <c r="E21" s="92" t="e">
        <f>IF(ISBLANK($B21),"0",VLOOKUP($B21,SÜRELER!$A:$C,3,FALSE))*(D21-F21)</f>
        <v>#N/A</v>
      </c>
      <c r="F21" s="81">
        <v>0</v>
      </c>
      <c r="G21" s="93" t="e">
        <f>VLOOKUP(B21,'R.H.'!A$3:C$3974,3,FALSE)*D21/100</f>
        <v>#N/A</v>
      </c>
      <c r="H21" s="82">
        <f t="shared" si="1"/>
        <v>0</v>
      </c>
      <c r="I21" s="87" t="e">
        <f>VLOOKUP(B21,'R.H.'!A$3:C$3974,3,FALSE)/100</f>
        <v>#N/A</v>
      </c>
      <c r="J21" s="83">
        <v>1</v>
      </c>
      <c r="K21" s="92" t="e">
        <f t="shared" si="2"/>
        <v>#N/A</v>
      </c>
      <c r="L21" s="84">
        <v>750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101</v>
      </c>
      <c r="C22" s="91" t="e">
        <f>IF(ISBLANK(B22),"",VLOOKUP(B22,SÜRELER!$A:$B,2,FALSE))</f>
        <v>#N/A</v>
      </c>
      <c r="D22" s="80">
        <v>387</v>
      </c>
      <c r="E22" s="92" t="e">
        <f>IF(ISBLANK($B22),"0",VLOOKUP($B22,SÜRELER!$A:$C,3,FALSE))*(D22-F22)</f>
        <v>#N/A</v>
      </c>
      <c r="F22" s="81">
        <v>10</v>
      </c>
      <c r="G22" s="93" t="e">
        <f>VLOOKUP(B22,'R.H.'!A$3:C$3974,3,FALSE)*D22/100</f>
        <v>#N/A</v>
      </c>
      <c r="H22" s="82">
        <f t="shared" si="1"/>
        <v>2.5839793281653745E-2</v>
      </c>
      <c r="I22" s="87" t="e">
        <f>VLOOKUP(B22,'R.H.'!A$3:C$3974,3,FALSE)/100</f>
        <v>#N/A</v>
      </c>
      <c r="J22" s="83">
        <v>1</v>
      </c>
      <c r="K22" s="92" t="e">
        <f t="shared" si="2"/>
        <v>#N/A</v>
      </c>
      <c r="L22" s="84">
        <v>360</v>
      </c>
      <c r="M22" s="84"/>
      <c r="N22" s="94" t="e">
        <f t="shared" si="3"/>
        <v>#N/A</v>
      </c>
      <c r="O22" s="88" t="e">
        <f t="shared" si="0"/>
        <v>#N/A</v>
      </c>
      <c r="P22" s="164" t="s">
        <v>3386</v>
      </c>
      <c r="Q22" s="5"/>
      <c r="R22" s="5"/>
    </row>
    <row r="23" spans="1:18" s="4" customFormat="1" ht="16.5" customHeight="1" x14ac:dyDescent="0.25">
      <c r="A23" s="90">
        <v>19</v>
      </c>
      <c r="B23" s="86">
        <v>1108</v>
      </c>
      <c r="C23" s="91" t="e">
        <f>IF(ISBLANK(B23),"",VLOOKUP(B23,SÜRELER!$A:$B,2,FALSE))</f>
        <v>#N/A</v>
      </c>
      <c r="D23" s="80">
        <v>212</v>
      </c>
      <c r="E23" s="92" t="e">
        <f>IF(ISBLANK($B23),"0",VLOOKUP($B23,SÜRELER!$A:$C,3,FALSE))*(D23-F23)</f>
        <v>#N/A</v>
      </c>
      <c r="F23" s="81">
        <v>6</v>
      </c>
      <c r="G23" s="93" t="e">
        <f>VLOOKUP(B23,'R.H.'!A$3:C$3974,3,FALSE)*D23/100</f>
        <v>#N/A</v>
      </c>
      <c r="H23" s="82">
        <f t="shared" si="1"/>
        <v>2.8301886792452831E-2</v>
      </c>
      <c r="I23" s="87" t="e">
        <f>VLOOKUP(B23,'R.H.'!A$3:C$3974,3,FALSE)/100</f>
        <v>#N/A</v>
      </c>
      <c r="J23" s="83">
        <v>1</v>
      </c>
      <c r="K23" s="92" t="e">
        <f t="shared" si="2"/>
        <v>#N/A</v>
      </c>
      <c r="L23" s="84">
        <v>99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1004</v>
      </c>
      <c r="C24" s="91" t="e">
        <f>IF(ISBLANK(B24),"",VLOOKUP(B24,SÜRELER!$A:$B,2,FALSE))</f>
        <v>#N/A</v>
      </c>
      <c r="D24" s="80">
        <v>237</v>
      </c>
      <c r="E24" s="92" t="e">
        <f>IF(ISBLANK($B24),"0",VLOOKUP($B24,SÜRELER!$A:$C,3,FALSE))*(D24-F24)</f>
        <v>#N/A</v>
      </c>
      <c r="F24" s="81">
        <v>3</v>
      </c>
      <c r="G24" s="93" t="e">
        <f>VLOOKUP(B24,'R.H.'!A$3:C$3974,3,FALSE)*D24/100</f>
        <v>#N/A</v>
      </c>
      <c r="H24" s="82">
        <f t="shared" si="1"/>
        <v>1.2658227848101266E-2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/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1005</v>
      </c>
      <c r="C25" s="91" t="e">
        <f>IF(ISBLANK(B25),"",VLOOKUP(B25,SÜRELER!$A:$B,2,FALSE))</f>
        <v>#N/A</v>
      </c>
      <c r="D25" s="80">
        <v>237</v>
      </c>
      <c r="E25" s="92" t="e">
        <f>IF(ISBLANK($B25),"0",VLOOKUP($B25,SÜRELER!$A:$C,3,FALSE))*(D25-F25)</f>
        <v>#N/A</v>
      </c>
      <c r="F25" s="81">
        <v>3</v>
      </c>
      <c r="G25" s="93" t="e">
        <f>VLOOKUP(B25,'R.H.'!A$3:C$3974,3,FALSE)*D25/100</f>
        <v>#N/A</v>
      </c>
      <c r="H25" s="82">
        <f t="shared" si="1"/>
        <v>1.2658227848101266E-2</v>
      </c>
      <c r="I25" s="87" t="e">
        <f>VLOOKUP(B25,'R.H.'!A$3:C$3974,3,FALSE)/100</f>
        <v>#N/A</v>
      </c>
      <c r="J25" s="83">
        <v>0.5</v>
      </c>
      <c r="K25" s="92" t="e">
        <f t="shared" si="2"/>
        <v>#N/A</v>
      </c>
      <c r="L25" s="84"/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1362</v>
      </c>
      <c r="C26" s="91" t="e">
        <f>IF(ISBLANK(B26),"",VLOOKUP(B26,SÜRELER!$A:$B,2,FALSE))</f>
        <v>#N/A</v>
      </c>
      <c r="D26" s="80">
        <v>159</v>
      </c>
      <c r="E26" s="92" t="e">
        <f>IF(ISBLANK($B26),"0",VLOOKUP($B26,SÜRELER!$A:$C,3,FALSE))*(D26-F26)</f>
        <v>#N/A</v>
      </c>
      <c r="F26" s="81">
        <v>0</v>
      </c>
      <c r="G26" s="93" t="e">
        <f>VLOOKUP(B26,'R.H.'!A$3:C$3974,3,FALSE)*D26/100</f>
        <v>#N/A</v>
      </c>
      <c r="H26" s="82">
        <f t="shared" si="1"/>
        <v>0</v>
      </c>
      <c r="I26" s="87" t="e">
        <f>VLOOKUP(B26,'R.H.'!A$3:C$3974,3,FALSE)/100</f>
        <v>#N/A</v>
      </c>
      <c r="J26" s="83">
        <v>0.55000000000000004</v>
      </c>
      <c r="K26" s="92" t="e">
        <f t="shared" si="2"/>
        <v>#N/A</v>
      </c>
      <c r="L26" s="84"/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1363</v>
      </c>
      <c r="C27" s="91" t="e">
        <f>IF(ISBLANK(B27),"",VLOOKUP(B27,SÜRELER!$A:$B,2,FALSE))</f>
        <v>#N/A</v>
      </c>
      <c r="D27" s="80">
        <v>159</v>
      </c>
      <c r="E27" s="92" t="e">
        <f>IF(ISBLANK($B27),"0",VLOOKUP($B27,SÜRELER!$A:$C,3,FALSE))*(D27-F27)</f>
        <v>#N/A</v>
      </c>
      <c r="F27" s="81">
        <v>0</v>
      </c>
      <c r="G27" s="93" t="e">
        <f>VLOOKUP(B27,'R.H.'!A$3:C$3974,3,FALSE)*D27/100</f>
        <v>#N/A</v>
      </c>
      <c r="H27" s="82">
        <f t="shared" si="1"/>
        <v>0</v>
      </c>
      <c r="I27" s="87" t="e">
        <f>VLOOKUP(B27,'R.H.'!A$3:C$3974,3,FALSE)/100</f>
        <v>#N/A</v>
      </c>
      <c r="J27" s="83">
        <v>0.5</v>
      </c>
      <c r="K27" s="92" t="e">
        <f t="shared" si="2"/>
        <v>#N/A</v>
      </c>
      <c r="L27" s="84"/>
      <c r="M27" s="84"/>
      <c r="N27" s="94" t="e">
        <f t="shared" si="3"/>
        <v>#N/A</v>
      </c>
      <c r="O27" s="88" t="e">
        <f t="shared" si="0"/>
        <v>#N/A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>
        <v>9110</v>
      </c>
      <c r="C28" s="91" t="e">
        <f>IF(ISBLANK(B28),"",VLOOKUP(B28,SÜRELER!$A:$B,2,FALSE))</f>
        <v>#N/A</v>
      </c>
      <c r="D28" s="80">
        <v>600</v>
      </c>
      <c r="E28" s="92" t="e">
        <f>IF(ISBLANK($B28),"0",VLOOKUP($B28,SÜRELER!$A:$C,3,FALSE))*(D28-F28)</f>
        <v>#N/A</v>
      </c>
      <c r="F28" s="81">
        <v>4</v>
      </c>
      <c r="G28" s="93" t="e">
        <f>VLOOKUP(B28,'R.H.'!A$3:C$3974,3,FALSE)*D28/100</f>
        <v>#N/A</v>
      </c>
      <c r="H28" s="82">
        <f t="shared" si="1"/>
        <v>6.6666666666666671E-3</v>
      </c>
      <c r="I28" s="87" t="e">
        <f>VLOOKUP(B28,'R.H.'!A$3:C$3974,3,FALSE)/100</f>
        <v>#N/A</v>
      </c>
      <c r="J28" s="83">
        <v>0.5</v>
      </c>
      <c r="K28" s="92" t="e">
        <f t="shared" si="2"/>
        <v>#N/A</v>
      </c>
      <c r="L28" s="84"/>
      <c r="M28" s="84"/>
      <c r="N28" s="94" t="e">
        <f t="shared" si="3"/>
        <v>#N/A</v>
      </c>
      <c r="O28" s="88" t="e">
        <f t="shared" si="0"/>
        <v>#N/A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>
        <v>9120</v>
      </c>
      <c r="C29" s="91" t="e">
        <f>IF(ISBLANK(B29),"",VLOOKUP(B29,SÜRELER!$A:$B,2,FALSE))</f>
        <v>#N/A</v>
      </c>
      <c r="D29" s="80">
        <v>600</v>
      </c>
      <c r="E29" s="92" t="e">
        <f>IF(ISBLANK($B29),"0",VLOOKUP($B29,SÜRELER!$A:$C,3,FALSE))*(D29-F29)</f>
        <v>#N/A</v>
      </c>
      <c r="F29" s="81">
        <v>4</v>
      </c>
      <c r="G29" s="93" t="e">
        <f>VLOOKUP(B29,'R.H.'!A$3:C$3974,3,FALSE)*D29/100</f>
        <v>#N/A</v>
      </c>
      <c r="H29" s="82">
        <f t="shared" si="1"/>
        <v>6.6666666666666671E-3</v>
      </c>
      <c r="I29" s="87" t="e">
        <f>VLOOKUP(B29,'R.H.'!A$3:C$3974,3,FALSE)/100</f>
        <v>#N/A</v>
      </c>
      <c r="J29" s="83">
        <v>0.5</v>
      </c>
      <c r="K29" s="92" t="e">
        <f t="shared" si="2"/>
        <v>#N/A</v>
      </c>
      <c r="L29" s="84"/>
      <c r="M29" s="84"/>
      <c r="N29" s="94" t="e">
        <f t="shared" si="3"/>
        <v>#N/A</v>
      </c>
      <c r="O29" s="88" t="e">
        <f t="shared" si="0"/>
        <v>#N/A</v>
      </c>
      <c r="P29" s="119"/>
      <c r="Q29" s="5"/>
      <c r="R29" s="5"/>
    </row>
    <row r="30" spans="1:18" s="4" customFormat="1" ht="16.5" x14ac:dyDescent="0.25">
      <c r="A30" s="85">
        <v>26</v>
      </c>
      <c r="B30" s="86"/>
      <c r="C30" s="91" t="str">
        <f>IF(ISBLANK(B30),"",VLOOKUP(B30,SÜRELER!$A:$B,2,FALSE))</f>
        <v/>
      </c>
      <c r="D30" s="80"/>
      <c r="E30" s="92">
        <f>IF(ISBLANK($B30),"0",VLOOKUP($B30,SÜRELER!$A:$C,3,FALSE))*(D30-F30)</f>
        <v>0</v>
      </c>
      <c r="F30" s="81"/>
      <c r="G30" s="93" t="e">
        <f>VLOOKUP(B30,'R.H.'!A$3:C$3974,3,FALSE)*D30/100</f>
        <v>#N/A</v>
      </c>
      <c r="H30" s="82" t="e">
        <f t="shared" si="1"/>
        <v>#DIV/0!</v>
      </c>
      <c r="I30" s="87" t="e">
        <f>VLOOKUP(B30,'R.H.'!A$3:C$3974,3,FALSE)/100</f>
        <v>#N/A</v>
      </c>
      <c r="J30" s="83"/>
      <c r="K30" s="92" t="e">
        <f t="shared" si="2"/>
        <v>#DIV/0!</v>
      </c>
      <c r="L30" s="84"/>
      <c r="M30" s="84"/>
      <c r="N30" s="94" t="e">
        <f t="shared" si="3"/>
        <v>#DIV/0!</v>
      </c>
      <c r="O30" s="88" t="e">
        <f t="shared" si="0"/>
        <v>#DIV/0!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12462</v>
      </c>
      <c r="E45" s="26" t="e">
        <f>SUM(E5:E44)</f>
        <v>#N/A</v>
      </c>
      <c r="F45" s="26">
        <f>SUM(F5:F44)</f>
        <v>156</v>
      </c>
      <c r="G45" s="26"/>
      <c r="H45" s="26"/>
      <c r="I45" s="26"/>
      <c r="J45" s="26"/>
      <c r="K45" s="26"/>
      <c r="L45" s="26">
        <f>SUM(L5:L44)</f>
        <v>6579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1.2518054886856043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8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5520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>
        <v>400</v>
      </c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5120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400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12462</v>
      </c>
      <c r="F63" s="24">
        <f>F45</f>
        <v>156</v>
      </c>
      <c r="G63" s="23">
        <f>(F63*1000000)/E63</f>
        <v>12518.054886856042</v>
      </c>
      <c r="H63" s="22">
        <f>D59</f>
        <v>400</v>
      </c>
      <c r="I63" s="17" t="e">
        <f>N1</f>
        <v>#N/A</v>
      </c>
    </row>
  </sheetData>
  <mergeCells count="17">
    <mergeCell ref="P5:P8"/>
    <mergeCell ref="P13:P14"/>
    <mergeCell ref="N1:N3"/>
    <mergeCell ref="A2:B3"/>
    <mergeCell ref="E56:N56"/>
    <mergeCell ref="D46:D47"/>
    <mergeCell ref="E46:F47"/>
    <mergeCell ref="A1:B1"/>
    <mergeCell ref="C1:D2"/>
    <mergeCell ref="H1:H3"/>
    <mergeCell ref="E57:N57"/>
    <mergeCell ref="E49:N49"/>
    <mergeCell ref="E50:N50"/>
    <mergeCell ref="E51:N51"/>
    <mergeCell ref="E53:N53"/>
    <mergeCell ref="E54:N54"/>
    <mergeCell ref="E55:N55"/>
  </mergeCells>
  <conditionalFormatting sqref="D3">
    <cfRule type="cellIs" dxfId="44" priority="5" stopIfTrue="1" operator="lessThan">
      <formula>0.95</formula>
    </cfRule>
  </conditionalFormatting>
  <conditionalFormatting sqref="F5:F44">
    <cfRule type="cellIs" dxfId="43" priority="1" stopIfTrue="1" operator="greaterThan">
      <formula>$G5</formula>
    </cfRule>
  </conditionalFormatting>
  <conditionalFormatting sqref="H5:H44">
    <cfRule type="cellIs" dxfId="42" priority="2" stopIfTrue="1" operator="greaterThan">
      <formula>$I$5</formula>
    </cfRule>
  </conditionalFormatting>
  <conditionalFormatting sqref="N1:N3">
    <cfRule type="cellIs" dxfId="41" priority="4" stopIfTrue="1" operator="lessThan">
      <formula>0.8</formula>
    </cfRule>
  </conditionalFormatting>
  <conditionalFormatting sqref="N5:O44">
    <cfRule type="cellIs" dxfId="40" priority="3" stopIfTrue="1" operator="lessThan">
      <formula>0.85</formula>
    </cfRule>
  </conditionalFormatting>
  <hyperlinks>
    <hyperlink ref="P1:P3" location="'Ana Sayfa'!A1" display="ANA SAYFA" xr:uid="{D6456868-7111-4EA6-96B3-6282BE44B99A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7DB9A-0386-432E-9A90-139B5F782AA4}">
  <sheetPr codeName="Sayfa24">
    <tabColor theme="0" tint="-0.14999847407452621"/>
    <pageSetUpPr fitToPage="1"/>
  </sheetPr>
  <dimension ref="A1:W63"/>
  <sheetViews>
    <sheetView topLeftCell="A10" workbookViewId="0">
      <selection activeCell="I1" sqref="I1:M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'23'!A1+1</f>
        <v>46227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Cuma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9488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2189</v>
      </c>
      <c r="C5" s="91" t="e">
        <f>IF(ISBLANK(B5),"",VLOOKUP(B5,SÜRELER!$A:$B,2,FALSE))</f>
        <v>#N/A</v>
      </c>
      <c r="D5" s="80">
        <v>193</v>
      </c>
      <c r="E5" s="92" t="e">
        <f>IF(ISBLANK($B5),"0",VLOOKUP($B5,SÜRELER!$A:$C,3,FALSE))*(D5-F5)</f>
        <v>#N/A</v>
      </c>
      <c r="F5" s="81">
        <v>30</v>
      </c>
      <c r="G5" s="93" t="e">
        <f>VLOOKUP(B5,'R.H.'!A$3:C$3974,3,FALSE)*D5/100</f>
        <v>#N/A</v>
      </c>
      <c r="H5" s="82">
        <f>F5/D5</f>
        <v>0.15544041450777202</v>
      </c>
      <c r="I5" s="87" t="e">
        <f>VLOOKUP(B5,'R.H.'!A$3:C$3974,3,FALSE)/100</f>
        <v>#N/A</v>
      </c>
      <c r="J5" s="83">
        <v>0.25</v>
      </c>
      <c r="K5" s="92" t="e">
        <f>E5/J5</f>
        <v>#N/A</v>
      </c>
      <c r="L5" s="84">
        <v>250</v>
      </c>
      <c r="M5" s="84"/>
      <c r="N5" s="94" t="e">
        <f>K5/L5</f>
        <v>#N/A</v>
      </c>
      <c r="O5" s="88" t="e">
        <f t="shared" ref="O5:O44" si="0">K5/(L5-M5)</f>
        <v>#N/A</v>
      </c>
      <c r="P5" s="193" t="s">
        <v>3393</v>
      </c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2190</v>
      </c>
      <c r="C6" s="91" t="e">
        <f>IF(ISBLANK(B6),"",VLOOKUP(B6,SÜRELER!$A:$B,2,FALSE))</f>
        <v>#N/A</v>
      </c>
      <c r="D6" s="80">
        <v>193</v>
      </c>
      <c r="E6" s="92" t="e">
        <f>IF(ISBLANK($B6),"0",VLOOKUP($B6,SÜRELER!$A:$C,3,FALSE))*(D6-F6)</f>
        <v>#N/A</v>
      </c>
      <c r="F6" s="81">
        <v>30</v>
      </c>
      <c r="G6" s="93" t="e">
        <f>VLOOKUP(B6,'R.H.'!A$3:C$3974,3,FALSE)*D6/100</f>
        <v>#N/A</v>
      </c>
      <c r="H6" s="82">
        <f t="shared" ref="H6:H44" si="1">F6/D6</f>
        <v>0.15544041450777202</v>
      </c>
      <c r="I6" s="87" t="e">
        <f>VLOOKUP(B6,'R.H.'!A$3:C$3974,3,FALSE)/100</f>
        <v>#N/A</v>
      </c>
      <c r="J6" s="83">
        <v>0.25</v>
      </c>
      <c r="K6" s="92" t="e">
        <f t="shared" ref="K6:K44" si="2">E6/J6</f>
        <v>#N/A</v>
      </c>
      <c r="L6" s="84">
        <v>250</v>
      </c>
      <c r="M6" s="84"/>
      <c r="N6" s="94" t="e">
        <f t="shared" ref="N6:N44" si="3">K6/L6</f>
        <v>#N/A</v>
      </c>
      <c r="O6" s="88" t="e">
        <f t="shared" si="0"/>
        <v>#N/A</v>
      </c>
      <c r="P6" s="197"/>
      <c r="Q6" s="5"/>
      <c r="R6" s="5"/>
    </row>
    <row r="7" spans="1:23" s="4" customFormat="1" ht="16.5" customHeight="1" x14ac:dyDescent="0.25">
      <c r="A7" s="90">
        <v>3</v>
      </c>
      <c r="B7" s="86">
        <v>2191</v>
      </c>
      <c r="C7" s="91" t="e">
        <f>IF(ISBLANK(B7),"",VLOOKUP(B7,SÜRELER!$A:$B,2,FALSE))</f>
        <v>#N/A</v>
      </c>
      <c r="D7" s="80">
        <v>193</v>
      </c>
      <c r="E7" s="92" t="e">
        <f>IF(ISBLANK($B7),"0",VLOOKUP($B7,SÜRELER!$A:$C,3,FALSE))*(D7-F7)</f>
        <v>#N/A</v>
      </c>
      <c r="F7" s="81">
        <v>30</v>
      </c>
      <c r="G7" s="93" t="e">
        <f>VLOOKUP(B7,'R.H.'!A$3:C$3974,3,FALSE)*D7/100</f>
        <v>#N/A</v>
      </c>
      <c r="H7" s="82">
        <f t="shared" si="1"/>
        <v>0.15544041450777202</v>
      </c>
      <c r="I7" s="87" t="e">
        <f>VLOOKUP(B7,'R.H.'!A$3:C$3974,3,FALSE)/100</f>
        <v>#N/A</v>
      </c>
      <c r="J7" s="83">
        <v>0.25</v>
      </c>
      <c r="K7" s="92" t="e">
        <f t="shared" si="2"/>
        <v>#N/A</v>
      </c>
      <c r="L7" s="84">
        <v>250</v>
      </c>
      <c r="M7" s="84"/>
      <c r="N7" s="94" t="e">
        <f t="shared" si="3"/>
        <v>#N/A</v>
      </c>
      <c r="O7" s="88" t="e">
        <f t="shared" si="0"/>
        <v>#N/A</v>
      </c>
      <c r="P7" s="197"/>
      <c r="Q7" s="5"/>
      <c r="R7" s="5"/>
    </row>
    <row r="8" spans="1:23" s="4" customFormat="1" ht="16.5" customHeight="1" x14ac:dyDescent="0.25">
      <c r="A8" s="85">
        <v>4</v>
      </c>
      <c r="B8" s="86">
        <v>2192</v>
      </c>
      <c r="C8" s="91" t="e">
        <f>IF(ISBLANK(B8),"",VLOOKUP(B8,SÜRELER!$A:$B,2,FALSE))</f>
        <v>#N/A</v>
      </c>
      <c r="D8" s="80">
        <v>193</v>
      </c>
      <c r="E8" s="92" t="e">
        <f>IF(ISBLANK($B8),"0",VLOOKUP($B8,SÜRELER!$A:$C,3,FALSE))*(D8-F8)</f>
        <v>#N/A</v>
      </c>
      <c r="F8" s="81">
        <v>30</v>
      </c>
      <c r="G8" s="93" t="e">
        <f>VLOOKUP(B8,'R.H.'!A$3:C$3974,3,FALSE)*D8/100</f>
        <v>#N/A</v>
      </c>
      <c r="H8" s="82">
        <f t="shared" si="1"/>
        <v>0.15544041450777202</v>
      </c>
      <c r="I8" s="87" t="e">
        <f>VLOOKUP(B8,'R.H.'!A$3:C$3974,3,FALSE)/100</f>
        <v>#N/A</v>
      </c>
      <c r="J8" s="83">
        <v>0.25</v>
      </c>
      <c r="K8" s="92" t="e">
        <f t="shared" si="2"/>
        <v>#N/A</v>
      </c>
      <c r="L8" s="84">
        <v>250</v>
      </c>
      <c r="M8" s="84"/>
      <c r="N8" s="94" t="e">
        <f t="shared" si="3"/>
        <v>#N/A</v>
      </c>
      <c r="O8" s="88" t="e">
        <f t="shared" si="0"/>
        <v>#N/A</v>
      </c>
      <c r="P8" s="194"/>
      <c r="Q8" s="5"/>
      <c r="R8" s="5"/>
    </row>
    <row r="9" spans="1:23" s="4" customFormat="1" ht="16.5" x14ac:dyDescent="0.25">
      <c r="A9" s="90">
        <v>5</v>
      </c>
      <c r="B9" s="86">
        <v>101</v>
      </c>
      <c r="C9" s="91" t="e">
        <f>IF(ISBLANK(B9),"",VLOOKUP(B9,SÜRELER!$A:$B,2,FALSE))</f>
        <v>#N/A</v>
      </c>
      <c r="D9" s="80">
        <f>457+282</f>
        <v>739</v>
      </c>
      <c r="E9" s="92" t="e">
        <f>IF(ISBLANK($B9),"0",VLOOKUP($B9,SÜRELER!$A:$C,3,FALSE))*(D9-F9)</f>
        <v>#N/A</v>
      </c>
      <c r="F9" s="81">
        <v>13</v>
      </c>
      <c r="G9" s="93" t="e">
        <f>VLOOKUP(B9,'R.H.'!A$3:C$3974,3,FALSE)*D9/100</f>
        <v>#N/A</v>
      </c>
      <c r="H9" s="82">
        <f t="shared" si="1"/>
        <v>1.7591339648173207E-2</v>
      </c>
      <c r="I9" s="87" t="e">
        <f>VLOOKUP(B9,'R.H.'!A$3:C$3974,3,FALSE)/100</f>
        <v>#N/A</v>
      </c>
      <c r="J9" s="83">
        <v>1</v>
      </c>
      <c r="K9" s="92" t="e">
        <f t="shared" si="2"/>
        <v>#N/A</v>
      </c>
      <c r="L9" s="84">
        <v>600</v>
      </c>
      <c r="M9" s="84"/>
      <c r="N9" s="94" t="e">
        <f t="shared" si="3"/>
        <v>#N/A</v>
      </c>
      <c r="O9" s="88" t="e">
        <f t="shared" si="0"/>
        <v>#N/A</v>
      </c>
      <c r="P9" s="164" t="s">
        <v>3392</v>
      </c>
      <c r="Q9" s="5"/>
      <c r="R9" s="5"/>
    </row>
    <row r="10" spans="1:23" s="4" customFormat="1" ht="16.5" customHeight="1" x14ac:dyDescent="0.25">
      <c r="A10" s="85">
        <v>6</v>
      </c>
      <c r="B10" s="86">
        <v>1203</v>
      </c>
      <c r="C10" s="91" t="e">
        <f>IF(ISBLANK(B10),"",VLOOKUP(B10,SÜRELER!$A:$B,2,FALSE))</f>
        <v>#N/A</v>
      </c>
      <c r="D10" s="80">
        <f>389+400</f>
        <v>789</v>
      </c>
      <c r="E10" s="92" t="e">
        <f>IF(ISBLANK($B10),"0",VLOOKUP($B10,SÜRELER!$A:$C,3,FALSE))*(D10-F10)</f>
        <v>#N/A</v>
      </c>
      <c r="F10" s="81">
        <v>2</v>
      </c>
      <c r="G10" s="93" t="e">
        <f>VLOOKUP(B10,'R.H.'!A$3:C$3974,3,FALSE)*D10/100</f>
        <v>#N/A</v>
      </c>
      <c r="H10" s="82">
        <f t="shared" si="1"/>
        <v>2.5348542458808617E-3</v>
      </c>
      <c r="I10" s="87" t="e">
        <f>VLOOKUP(B10,'R.H.'!A$3:C$3974,3,FALSE)/100</f>
        <v>#N/A</v>
      </c>
      <c r="J10" s="83">
        <v>1</v>
      </c>
      <c r="K10" s="92" t="e">
        <f t="shared" si="2"/>
        <v>#N/A</v>
      </c>
      <c r="L10" s="84">
        <v>990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701</v>
      </c>
      <c r="C11" s="91" t="e">
        <f>IF(ISBLANK(B11),"",VLOOKUP(B11,SÜRELER!$A:$B,2,FALSE))</f>
        <v>#N/A</v>
      </c>
      <c r="D11" s="80">
        <v>1210</v>
      </c>
      <c r="E11" s="92" t="e">
        <f>IF(ISBLANK($B11),"0",VLOOKUP($B11,SÜRELER!$A:$C,3,FALSE))*(D11-F11)</f>
        <v>#N/A</v>
      </c>
      <c r="F11" s="81">
        <v>0</v>
      </c>
      <c r="G11" s="93" t="e">
        <f>VLOOKUP(B11,'R.H.'!A$3:C$3974,3,FALSE)*D11/100</f>
        <v>#N/A</v>
      </c>
      <c r="H11" s="82">
        <f t="shared" si="1"/>
        <v>0</v>
      </c>
      <c r="I11" s="87" t="e">
        <f>VLOOKUP(B11,'R.H.'!A$3:C$3974,3,FALSE)/100</f>
        <v>#N/A</v>
      </c>
      <c r="J11" s="83">
        <v>1</v>
      </c>
      <c r="K11" s="92" t="e">
        <f t="shared" si="2"/>
        <v>#N/A</v>
      </c>
      <c r="L11" s="84">
        <v>420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444</v>
      </c>
      <c r="C12" s="91" t="e">
        <f>IF(ISBLANK(B12),"",VLOOKUP(B12,SÜRELER!$A:$B,2,FALSE))</f>
        <v>#N/A</v>
      </c>
      <c r="D12" s="80">
        <v>726</v>
      </c>
      <c r="E12" s="92" t="e">
        <f>IF(ISBLANK($B12),"0",VLOOKUP($B12,SÜRELER!$A:$C,3,FALSE))*(D12-F12)</f>
        <v>#N/A</v>
      </c>
      <c r="F12" s="81">
        <v>6</v>
      </c>
      <c r="G12" s="93" t="e">
        <f>VLOOKUP(B12,'R.H.'!A$3:C$3974,3,FALSE)*D12/100</f>
        <v>#N/A</v>
      </c>
      <c r="H12" s="82">
        <f t="shared" si="1"/>
        <v>8.2644628099173556E-3</v>
      </c>
      <c r="I12" s="87" t="e">
        <f>VLOOKUP(B12,'R.H.'!A$3:C$3974,3,FALSE)/100</f>
        <v>#N/A</v>
      </c>
      <c r="J12" s="83">
        <v>1</v>
      </c>
      <c r="K12" s="92" t="e">
        <f t="shared" si="2"/>
        <v>#N/A</v>
      </c>
      <c r="L12" s="84">
        <v>375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822</v>
      </c>
      <c r="C13" s="91" t="e">
        <f>IF(ISBLANK(B13),"",VLOOKUP(B13,SÜRELER!$A:$B,2,FALSE))</f>
        <v>#N/A</v>
      </c>
      <c r="D13" s="80">
        <v>231</v>
      </c>
      <c r="E13" s="92" t="e">
        <f>IF(ISBLANK($B13),"0",VLOOKUP($B13,SÜRELER!$A:$C,3,FALSE))*(D13-F13)</f>
        <v>#N/A</v>
      </c>
      <c r="F13" s="81">
        <v>4</v>
      </c>
      <c r="G13" s="93" t="e">
        <f>VLOOKUP(B13,'R.H.'!A$3:C$3974,3,FALSE)*D13/100</f>
        <v>#N/A</v>
      </c>
      <c r="H13" s="82">
        <f t="shared" si="1"/>
        <v>1.7316017316017316E-2</v>
      </c>
      <c r="I13" s="87" t="e">
        <f>VLOOKUP(B13,'R.H.'!A$3:C$3974,3,FALSE)/100</f>
        <v>#N/A</v>
      </c>
      <c r="J13" s="83">
        <v>0.5</v>
      </c>
      <c r="K13" s="92" t="e">
        <f t="shared" si="2"/>
        <v>#N/A</v>
      </c>
      <c r="L13" s="84">
        <v>430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823</v>
      </c>
      <c r="C14" s="91" t="e">
        <f>IF(ISBLANK(B14),"",VLOOKUP(B14,SÜRELER!$A:$B,2,FALSE))</f>
        <v>#N/A</v>
      </c>
      <c r="D14" s="80">
        <v>231</v>
      </c>
      <c r="E14" s="92" t="e">
        <f>IF(ISBLANK($B14),"0",VLOOKUP($B14,SÜRELER!$A:$C,3,FALSE))*(D14-F14)</f>
        <v>#N/A</v>
      </c>
      <c r="F14" s="81">
        <v>4</v>
      </c>
      <c r="G14" s="93" t="e">
        <f>VLOOKUP(B14,'R.H.'!A$3:C$3974,3,FALSE)*D14/100</f>
        <v>#N/A</v>
      </c>
      <c r="H14" s="82">
        <f t="shared" si="1"/>
        <v>1.7316017316017316E-2</v>
      </c>
      <c r="I14" s="87" t="e">
        <f>VLOOKUP(B14,'R.H.'!A$3:C$3974,3,FALSE)/100</f>
        <v>#N/A</v>
      </c>
      <c r="J14" s="83">
        <v>0.5</v>
      </c>
      <c r="K14" s="92" t="e">
        <f t="shared" si="2"/>
        <v>#N/A</v>
      </c>
      <c r="L14" s="84">
        <v>430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2146</v>
      </c>
      <c r="C15" s="91" t="e">
        <f>IF(ISBLANK(B15),"",VLOOKUP(B15,SÜRELER!$A:$B,2,FALSE))</f>
        <v>#N/A</v>
      </c>
      <c r="D15" s="80">
        <f>359+150</f>
        <v>509</v>
      </c>
      <c r="E15" s="92" t="e">
        <f>IF(ISBLANK($B15),"0",VLOOKUP($B15,SÜRELER!$A:$C,3,FALSE))*(D15-F15)</f>
        <v>#N/A</v>
      </c>
      <c r="F15" s="81">
        <v>9</v>
      </c>
      <c r="G15" s="93" t="e">
        <f>VLOOKUP(B15,'R.H.'!A$3:C$3974,3,FALSE)*D15/100</f>
        <v>#N/A</v>
      </c>
      <c r="H15" s="82">
        <f t="shared" si="1"/>
        <v>1.768172888015717E-2</v>
      </c>
      <c r="I15" s="87" t="e">
        <f>VLOOKUP(B15,'R.H.'!A$3:C$3974,3,FALSE)/100</f>
        <v>#N/A</v>
      </c>
      <c r="J15" s="83">
        <v>1</v>
      </c>
      <c r="K15" s="92" t="e">
        <f t="shared" si="2"/>
        <v>#N/A</v>
      </c>
      <c r="L15" s="84">
        <v>450</v>
      </c>
      <c r="M15" s="84"/>
      <c r="N15" s="94" t="e">
        <f t="shared" si="3"/>
        <v>#N/A</v>
      </c>
      <c r="O15" s="88" t="e">
        <f t="shared" si="0"/>
        <v>#N/A</v>
      </c>
      <c r="P15" s="164" t="s">
        <v>3394</v>
      </c>
      <c r="Q15" s="5"/>
      <c r="R15" s="5"/>
    </row>
    <row r="16" spans="1:23" s="4" customFormat="1" ht="16.5" customHeight="1" x14ac:dyDescent="0.25">
      <c r="A16" s="85">
        <v>12</v>
      </c>
      <c r="B16" s="86">
        <v>1336</v>
      </c>
      <c r="C16" s="91" t="e">
        <f>IF(ISBLANK(B16),"",VLOOKUP(B16,SÜRELER!$A:$B,2,FALSE))</f>
        <v>#N/A</v>
      </c>
      <c r="D16" s="80">
        <f>215+140</f>
        <v>355</v>
      </c>
      <c r="E16" s="92" t="e">
        <f>IF(ISBLANK($B16),"0",VLOOKUP($B16,SÜRELER!$A:$C,3,FALSE))*(D16-F16)</f>
        <v>#N/A</v>
      </c>
      <c r="F16" s="81">
        <v>0</v>
      </c>
      <c r="G16" s="93" t="e">
        <f>VLOOKUP(B16,'R.H.'!A$3:C$3974,3,FALSE)*D16/100</f>
        <v>#N/A</v>
      </c>
      <c r="H16" s="82">
        <f t="shared" si="1"/>
        <v>0</v>
      </c>
      <c r="I16" s="87" t="e">
        <f>VLOOKUP(B16,'R.H.'!A$3:C$3974,3,FALSE)/100</f>
        <v>#N/A</v>
      </c>
      <c r="J16" s="83">
        <v>1</v>
      </c>
      <c r="K16" s="92" t="e">
        <f t="shared" si="2"/>
        <v>#N/A</v>
      </c>
      <c r="L16" s="84">
        <v>365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1334</v>
      </c>
      <c r="C17" s="91" t="e">
        <f>IF(ISBLANK(B17),"",VLOOKUP(B17,SÜRELER!$A:$B,2,FALSE))</f>
        <v>#N/A</v>
      </c>
      <c r="D17" s="80">
        <v>421</v>
      </c>
      <c r="E17" s="92" t="e">
        <f>IF(ISBLANK($B17),"0",VLOOKUP($B17,SÜRELER!$A:$C,3,FALSE))*(D17-F17)</f>
        <v>#N/A</v>
      </c>
      <c r="F17" s="81">
        <v>3</v>
      </c>
      <c r="G17" s="93" t="e">
        <f>VLOOKUP(B17,'R.H.'!A$3:C$3974,3,FALSE)*D17/100</f>
        <v>#N/A</v>
      </c>
      <c r="H17" s="82">
        <f t="shared" si="1"/>
        <v>7.1258907363420431E-3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350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1335</v>
      </c>
      <c r="C18" s="91" t="e">
        <f>IF(ISBLANK(B18),"",VLOOKUP(B18,SÜRELER!$A:$B,2,FALSE))</f>
        <v>#N/A</v>
      </c>
      <c r="D18" s="80">
        <v>421</v>
      </c>
      <c r="E18" s="92" t="e">
        <f>IF(ISBLANK($B18),"0",VLOOKUP($B18,SÜRELER!$A:$C,3,FALSE))*(D18-F18)</f>
        <v>#N/A</v>
      </c>
      <c r="F18" s="81">
        <v>3</v>
      </c>
      <c r="G18" s="93" t="e">
        <f>VLOOKUP(B18,'R.H.'!A$3:C$3974,3,FALSE)*D18/100</f>
        <v>#N/A</v>
      </c>
      <c r="H18" s="82">
        <f t="shared" si="1"/>
        <v>7.1258907363420431E-3</v>
      </c>
      <c r="I18" s="87" t="e">
        <f>VLOOKUP(B18,'R.H.'!A$3:C$3974,3,FALSE)/100</f>
        <v>#N/A</v>
      </c>
      <c r="J18" s="83">
        <v>0.5</v>
      </c>
      <c r="K18" s="92" t="e">
        <f t="shared" si="2"/>
        <v>#N/A</v>
      </c>
      <c r="L18" s="84">
        <v>350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1585</v>
      </c>
      <c r="C19" s="91" t="e">
        <f>IF(ISBLANK(B19),"",VLOOKUP(B19,SÜRELER!$A:$B,2,FALSE))</f>
        <v>#N/A</v>
      </c>
      <c r="D19" s="80">
        <f>58+380</f>
        <v>438</v>
      </c>
      <c r="E19" s="92" t="e">
        <f>IF(ISBLANK($B19),"0",VLOOKUP($B19,SÜRELER!$A:$C,3,FALSE))*(D19-F19)</f>
        <v>#N/A</v>
      </c>
      <c r="F19" s="81">
        <v>4</v>
      </c>
      <c r="G19" s="93" t="e">
        <f>VLOOKUP(B19,'R.H.'!A$3:C$3974,3,FALSE)*D19/100</f>
        <v>#N/A</v>
      </c>
      <c r="H19" s="82">
        <f t="shared" si="1"/>
        <v>9.1324200913242004E-3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315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1586</v>
      </c>
      <c r="C20" s="91" t="e">
        <f>IF(ISBLANK(B20),"",VLOOKUP(B20,SÜRELER!$A:$B,2,FALSE))</f>
        <v>#N/A</v>
      </c>
      <c r="D20" s="80">
        <v>438</v>
      </c>
      <c r="E20" s="92" t="e">
        <f>IF(ISBLANK($B20),"0",VLOOKUP($B20,SÜRELER!$A:$C,3,FALSE))*(D20-F20)</f>
        <v>#N/A</v>
      </c>
      <c r="F20" s="81">
        <v>4</v>
      </c>
      <c r="G20" s="93" t="e">
        <f>VLOOKUP(B20,'R.H.'!A$3:C$3974,3,FALSE)*D20/100</f>
        <v>#N/A</v>
      </c>
      <c r="H20" s="82">
        <f t="shared" si="1"/>
        <v>9.1324200913242004E-3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315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9110</v>
      </c>
      <c r="C21" s="91" t="e">
        <f>IF(ISBLANK(B21),"",VLOOKUP(B21,SÜRELER!$A:$B,2,FALSE))</f>
        <v>#N/A</v>
      </c>
      <c r="D21" s="80">
        <v>802</v>
      </c>
      <c r="E21" s="92" t="e">
        <f>IF(ISBLANK($B21),"0",VLOOKUP($B21,SÜRELER!$A:$C,3,FALSE))*(D21-F21)</f>
        <v>#N/A</v>
      </c>
      <c r="F21" s="81">
        <v>2</v>
      </c>
      <c r="G21" s="93" t="e">
        <f>VLOOKUP(B21,'R.H.'!A$3:C$3974,3,FALSE)*D21/100</f>
        <v>#N/A</v>
      </c>
      <c r="H21" s="82">
        <f t="shared" si="1"/>
        <v>2.4937655860349127E-3</v>
      </c>
      <c r="I21" s="87" t="e">
        <f>VLOOKUP(B21,'R.H.'!A$3:C$3974,3,FALSE)/100</f>
        <v>#N/A</v>
      </c>
      <c r="J21" s="83">
        <v>2</v>
      </c>
      <c r="K21" s="92" t="e">
        <f t="shared" si="2"/>
        <v>#N/A</v>
      </c>
      <c r="L21" s="84">
        <v>165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9120</v>
      </c>
      <c r="C22" s="91" t="e">
        <f>IF(ISBLANK(B22),"",VLOOKUP(B22,SÜRELER!$A:$B,2,FALSE))</f>
        <v>#N/A</v>
      </c>
      <c r="D22" s="80">
        <v>802</v>
      </c>
      <c r="E22" s="92" t="e">
        <f>IF(ISBLANK($B22),"0",VLOOKUP($B22,SÜRELER!$A:$C,3,FALSE))*(D22-F22)</f>
        <v>#N/A</v>
      </c>
      <c r="F22" s="81">
        <v>2</v>
      </c>
      <c r="G22" s="93" t="e">
        <f>VLOOKUP(B22,'R.H.'!A$3:C$3974,3,FALSE)*D22/100</f>
        <v>#N/A</v>
      </c>
      <c r="H22" s="82">
        <f t="shared" si="1"/>
        <v>2.4937655860349127E-3</v>
      </c>
      <c r="I22" s="87" t="e">
        <f>VLOOKUP(B22,'R.H.'!A$3:C$3974,3,FALSE)/100</f>
        <v>#N/A</v>
      </c>
      <c r="J22" s="83">
        <v>2</v>
      </c>
      <c r="K22" s="92" t="e">
        <f t="shared" si="2"/>
        <v>#N/A</v>
      </c>
      <c r="L22" s="84">
        <v>165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1527</v>
      </c>
      <c r="C23" s="91" t="e">
        <f>IF(ISBLANK(B23),"",VLOOKUP(B23,SÜRELER!$A:$B,2,FALSE))</f>
        <v>#N/A</v>
      </c>
      <c r="D23" s="80">
        <v>224</v>
      </c>
      <c r="E23" s="92" t="e">
        <f>IF(ISBLANK($B23),"0",VLOOKUP($B23,SÜRELER!$A:$C,3,FALSE))*(D23-F23)</f>
        <v>#N/A</v>
      </c>
      <c r="F23" s="81">
        <v>2</v>
      </c>
      <c r="G23" s="93" t="e">
        <f>VLOOKUP(B23,'R.H.'!A$3:C$3974,3,FALSE)*D23/100</f>
        <v>#N/A</v>
      </c>
      <c r="H23" s="82">
        <f t="shared" si="1"/>
        <v>8.9285714285714281E-3</v>
      </c>
      <c r="I23" s="87" t="e">
        <f>VLOOKUP(B23,'R.H.'!A$3:C$3974,3,FALSE)/100</f>
        <v>#N/A</v>
      </c>
      <c r="J23" s="83">
        <v>0.5</v>
      </c>
      <c r="K23" s="92" t="e">
        <f t="shared" si="2"/>
        <v>#N/A</v>
      </c>
      <c r="L23" s="84">
        <v>450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1528</v>
      </c>
      <c r="C24" s="91" t="e">
        <f>IF(ISBLANK(B24),"",VLOOKUP(B24,SÜRELER!$A:$B,2,FALSE))</f>
        <v>#N/A</v>
      </c>
      <c r="D24" s="80">
        <v>224</v>
      </c>
      <c r="E24" s="92" t="e">
        <f>IF(ISBLANK($B24),"0",VLOOKUP($B24,SÜRELER!$A:$C,3,FALSE))*(D24-F24)</f>
        <v>#N/A</v>
      </c>
      <c r="F24" s="81">
        <v>2</v>
      </c>
      <c r="G24" s="93" t="e">
        <f>VLOOKUP(B24,'R.H.'!A$3:C$3974,3,FALSE)*D24/100</f>
        <v>#N/A</v>
      </c>
      <c r="H24" s="82">
        <f t="shared" si="1"/>
        <v>8.9285714285714281E-3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450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99</v>
      </c>
      <c r="C25" s="91" t="e">
        <f>IF(ISBLANK(B25),"",VLOOKUP(B25,SÜRELER!$A:$B,2,FALSE))</f>
        <v>#N/A</v>
      </c>
      <c r="D25" s="80">
        <v>78</v>
      </c>
      <c r="E25" s="92" t="e">
        <f>IF(ISBLANK($B25),"0",VLOOKUP($B25,SÜRELER!$A:$C,3,FALSE))*(D25-F25)</f>
        <v>#N/A</v>
      </c>
      <c r="F25" s="81">
        <v>10</v>
      </c>
      <c r="G25" s="93" t="e">
        <f>VLOOKUP(B25,'R.H.'!A$3:C$3974,3,FALSE)*D25/100</f>
        <v>#N/A</v>
      </c>
      <c r="H25" s="82">
        <f t="shared" si="1"/>
        <v>0.12820512820512819</v>
      </c>
      <c r="I25" s="87" t="e">
        <f>VLOOKUP(B25,'R.H.'!A$3:C$3974,3,FALSE)/100</f>
        <v>#N/A</v>
      </c>
      <c r="J25" s="83">
        <v>0.5</v>
      </c>
      <c r="K25" s="92" t="e">
        <f t="shared" si="2"/>
        <v>#N/A</v>
      </c>
      <c r="L25" s="84">
        <v>118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98</v>
      </c>
      <c r="C26" s="91" t="e">
        <f>IF(ISBLANK(B26),"",VLOOKUP(B26,SÜRELER!$A:$B,2,FALSE))</f>
        <v>#N/A</v>
      </c>
      <c r="D26" s="80">
        <v>78</v>
      </c>
      <c r="E26" s="92" t="e">
        <f>IF(ISBLANK($B26),"0",VLOOKUP($B26,SÜRELER!$A:$C,3,FALSE))*(D26-F26)</f>
        <v>#N/A</v>
      </c>
      <c r="F26" s="81">
        <v>10</v>
      </c>
      <c r="G26" s="93" t="e">
        <f>VLOOKUP(B26,'R.H.'!A$3:C$3974,3,FALSE)*D26/100</f>
        <v>#N/A</v>
      </c>
      <c r="H26" s="82">
        <f t="shared" si="1"/>
        <v>0.12820512820512819</v>
      </c>
      <c r="I26" s="87" t="e">
        <f>VLOOKUP(B26,'R.H.'!A$3:C$3974,3,FALSE)/100</f>
        <v>#N/A</v>
      </c>
      <c r="J26" s="83">
        <v>0.5</v>
      </c>
      <c r="K26" s="92" t="e">
        <f t="shared" si="2"/>
        <v>#N/A</v>
      </c>
      <c r="L26" s="84">
        <v>118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/>
      <c r="C27" s="91" t="str">
        <f>IF(ISBLANK(B27),"",VLOOKUP(B27,SÜRELER!$A:$B,2,FALSE))</f>
        <v/>
      </c>
      <c r="D27" s="80"/>
      <c r="E27" s="92">
        <f>IF(ISBLANK($B27),"0",VLOOKUP($B27,SÜRELER!$A:$C,3,FALSE))*(D27-F27)</f>
        <v>0</v>
      </c>
      <c r="F27" s="81"/>
      <c r="G27" s="93" t="e">
        <f>VLOOKUP(B27,'R.H.'!A$3:C$3974,3,FALSE)*D27/100</f>
        <v>#N/A</v>
      </c>
      <c r="H27" s="82" t="e">
        <f t="shared" si="1"/>
        <v>#DIV/0!</v>
      </c>
      <c r="I27" s="87" t="e">
        <f>VLOOKUP(B27,'R.H.'!A$3:C$3974,3,FALSE)/100</f>
        <v>#N/A</v>
      </c>
      <c r="J27" s="83"/>
      <c r="K27" s="92" t="e">
        <f t="shared" si="2"/>
        <v>#DIV/0!</v>
      </c>
      <c r="L27" s="84"/>
      <c r="M27" s="84"/>
      <c r="N27" s="94" t="e">
        <f t="shared" si="3"/>
        <v>#DIV/0!</v>
      </c>
      <c r="O27" s="88" t="e">
        <f t="shared" si="0"/>
        <v>#DIV/0!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/>
      <c r="C28" s="91" t="str">
        <f>IF(ISBLANK(B28),"",VLOOKUP(B28,SÜRELER!$A:$B,2,FALSE))</f>
        <v/>
      </c>
      <c r="D28" s="80"/>
      <c r="E28" s="92">
        <f>IF(ISBLANK($B28),"0",VLOOKUP($B28,SÜRELER!$A:$C,3,FALSE))*(D28-F28)</f>
        <v>0</v>
      </c>
      <c r="F28" s="81"/>
      <c r="G28" s="93" t="e">
        <f>VLOOKUP(B28,'R.H.'!A$3:C$3974,3,FALSE)*D28/100</f>
        <v>#N/A</v>
      </c>
      <c r="H28" s="82" t="e">
        <f t="shared" si="1"/>
        <v>#DIV/0!</v>
      </c>
      <c r="I28" s="87" t="e">
        <f>VLOOKUP(B28,'R.H.'!A$3:C$3974,3,FALSE)/100</f>
        <v>#N/A</v>
      </c>
      <c r="J28" s="83"/>
      <c r="K28" s="92" t="e">
        <f t="shared" si="2"/>
        <v>#DIV/0!</v>
      </c>
      <c r="L28" s="84"/>
      <c r="M28" s="84"/>
      <c r="N28" s="94" t="e">
        <f t="shared" si="3"/>
        <v>#DIV/0!</v>
      </c>
      <c r="O28" s="88" t="e">
        <f t="shared" si="0"/>
        <v>#DIV/0!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/>
      <c r="C29" s="91" t="str">
        <f>IF(ISBLANK(B29),"",VLOOKUP(B29,SÜRELER!$A:$B,2,FALSE))</f>
        <v/>
      </c>
      <c r="D29" s="80"/>
      <c r="E29" s="92">
        <f>IF(ISBLANK($B29),"0",VLOOKUP($B29,SÜRELER!$A:$C,3,FALSE))*(D29-F29)</f>
        <v>0</v>
      </c>
      <c r="F29" s="81"/>
      <c r="G29" s="93" t="e">
        <f>VLOOKUP(B29,'R.H.'!A$3:C$3974,3,FALSE)*D29/100</f>
        <v>#N/A</v>
      </c>
      <c r="H29" s="82" t="e">
        <f t="shared" si="1"/>
        <v>#DIV/0!</v>
      </c>
      <c r="I29" s="87" t="e">
        <f>VLOOKUP(B29,'R.H.'!A$3:C$3974,3,FALSE)/100</f>
        <v>#N/A</v>
      </c>
      <c r="J29" s="83"/>
      <c r="K29" s="92" t="e">
        <f t="shared" si="2"/>
        <v>#DIV/0!</v>
      </c>
      <c r="L29" s="84"/>
      <c r="M29" s="84"/>
      <c r="N29" s="94" t="e">
        <f t="shared" si="3"/>
        <v>#DIV/0!</v>
      </c>
      <c r="O29" s="88" t="e">
        <f t="shared" si="0"/>
        <v>#DIV/0!</v>
      </c>
      <c r="P29" s="119"/>
      <c r="Q29" s="5"/>
      <c r="R29" s="5"/>
    </row>
    <row r="30" spans="1:18" s="4" customFormat="1" ht="16.5" x14ac:dyDescent="0.25">
      <c r="A30" s="85">
        <v>26</v>
      </c>
      <c r="B30" s="86"/>
      <c r="C30" s="91" t="str">
        <f>IF(ISBLANK(B30),"",VLOOKUP(B30,SÜRELER!$A:$B,2,FALSE))</f>
        <v/>
      </c>
      <c r="D30" s="80"/>
      <c r="E30" s="92">
        <f>IF(ISBLANK($B30),"0",VLOOKUP($B30,SÜRELER!$A:$C,3,FALSE))*(D30-F30)</f>
        <v>0</v>
      </c>
      <c r="F30" s="81"/>
      <c r="G30" s="93" t="e">
        <f>VLOOKUP(B30,'R.H.'!A$3:C$3974,3,FALSE)*D30/100</f>
        <v>#N/A</v>
      </c>
      <c r="H30" s="82" t="e">
        <f t="shared" si="1"/>
        <v>#DIV/0!</v>
      </c>
      <c r="I30" s="87" t="e">
        <f>VLOOKUP(B30,'R.H.'!A$3:C$3974,3,FALSE)/100</f>
        <v>#N/A</v>
      </c>
      <c r="J30" s="83"/>
      <c r="K30" s="92" t="e">
        <f t="shared" si="2"/>
        <v>#DIV/0!</v>
      </c>
      <c r="L30" s="84"/>
      <c r="M30" s="84"/>
      <c r="N30" s="94" t="e">
        <f t="shared" si="3"/>
        <v>#DIV/0!</v>
      </c>
      <c r="O30" s="88" t="e">
        <f t="shared" si="0"/>
        <v>#DIV/0!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9488</v>
      </c>
      <c r="E45" s="26" t="e">
        <f>SUM(E5:E44)</f>
        <v>#N/A</v>
      </c>
      <c r="F45" s="26">
        <f>SUM(F5:F44)</f>
        <v>200</v>
      </c>
      <c r="G45" s="26"/>
      <c r="H45" s="26"/>
      <c r="I45" s="26"/>
      <c r="J45" s="26"/>
      <c r="K45" s="26"/>
      <c r="L45" s="26">
        <f>SUM(L5:L44)</f>
        <v>7856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2.1079258010118047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9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5750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>
        <v>500</v>
      </c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5250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500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9488</v>
      </c>
      <c r="F63" s="24">
        <f>F45</f>
        <v>200</v>
      </c>
      <c r="G63" s="23">
        <f>(F63*1000000)/E63</f>
        <v>21079.258010118043</v>
      </c>
      <c r="H63" s="22">
        <f>D59</f>
        <v>500</v>
      </c>
      <c r="I63" s="17" t="e">
        <f>N1</f>
        <v>#N/A</v>
      </c>
    </row>
  </sheetData>
  <mergeCells count="16">
    <mergeCell ref="P5:P8"/>
    <mergeCell ref="N1:N3"/>
    <mergeCell ref="A2:B3"/>
    <mergeCell ref="E56:N56"/>
    <mergeCell ref="E57:N57"/>
    <mergeCell ref="E49:N49"/>
    <mergeCell ref="E50:N50"/>
    <mergeCell ref="E51:N51"/>
    <mergeCell ref="E53:N53"/>
    <mergeCell ref="E54:N54"/>
    <mergeCell ref="E55:N55"/>
    <mergeCell ref="D46:D47"/>
    <mergeCell ref="E46:F47"/>
    <mergeCell ref="A1:B1"/>
    <mergeCell ref="C1:D2"/>
    <mergeCell ref="H1:H3"/>
  </mergeCells>
  <conditionalFormatting sqref="D3">
    <cfRule type="cellIs" dxfId="39" priority="5" stopIfTrue="1" operator="lessThan">
      <formula>0.95</formula>
    </cfRule>
  </conditionalFormatting>
  <conditionalFormatting sqref="F5:F44">
    <cfRule type="cellIs" dxfId="38" priority="1" stopIfTrue="1" operator="greaterThan">
      <formula>$G5</formula>
    </cfRule>
  </conditionalFormatting>
  <conditionalFormatting sqref="H5:H44">
    <cfRule type="cellIs" dxfId="37" priority="2" stopIfTrue="1" operator="greaterThan">
      <formula>$I$5</formula>
    </cfRule>
  </conditionalFormatting>
  <conditionalFormatting sqref="N1:N3">
    <cfRule type="cellIs" dxfId="36" priority="4" stopIfTrue="1" operator="lessThan">
      <formula>0.8</formula>
    </cfRule>
  </conditionalFormatting>
  <conditionalFormatting sqref="N5:O44">
    <cfRule type="cellIs" dxfId="35" priority="3" stopIfTrue="1" operator="lessThan">
      <formula>0.85</formula>
    </cfRule>
  </conditionalFormatting>
  <hyperlinks>
    <hyperlink ref="P1:P3" location="'Ana Sayfa'!A1" display="ANA SAYFA" xr:uid="{726F9AF9-2B49-49B0-81A1-70CED0899631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39E3-0FFC-49C8-9E07-0FF9A98D2132}">
  <sheetPr codeName="Sayfa25">
    <tabColor theme="0" tint="-0.14999847407452621"/>
    <pageSetUpPr fitToPage="1"/>
  </sheetPr>
  <dimension ref="A1:W63"/>
  <sheetViews>
    <sheetView topLeftCell="A7" workbookViewId="0">
      <selection activeCell="I1" sqref="I1:M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'24'!A1+1</f>
        <v>46228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Cumartesi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8146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97</v>
      </c>
      <c r="C5" s="91" t="e">
        <f>IF(ISBLANK(B5),"",VLOOKUP(B5,SÜRELER!$A:$B,2,FALSE))</f>
        <v>#N/A</v>
      </c>
      <c r="D5" s="80">
        <f>193+285</f>
        <v>478</v>
      </c>
      <c r="E5" s="92" t="e">
        <f>IF(ISBLANK($B5),"0",VLOOKUP($B5,SÜRELER!$A:$C,3,FALSE))*(D5-F5)</f>
        <v>#N/A</v>
      </c>
      <c r="F5" s="81">
        <v>60</v>
      </c>
      <c r="G5" s="93" t="e">
        <f>VLOOKUP(B5,'R.H.'!A$3:C$3974,3,FALSE)*D5/100</f>
        <v>#N/A</v>
      </c>
      <c r="H5" s="82">
        <f>F5/D5</f>
        <v>0.12552301255230125</v>
      </c>
      <c r="I5" s="87" t="e">
        <f>VLOOKUP(B5,'R.H.'!A$3:C$3974,3,FALSE)/100</f>
        <v>#N/A</v>
      </c>
      <c r="J5" s="83">
        <v>1</v>
      </c>
      <c r="K5" s="92" t="e">
        <f>E5/J5</f>
        <v>#N/A</v>
      </c>
      <c r="L5" s="84">
        <v>600</v>
      </c>
      <c r="M5" s="84"/>
      <c r="N5" s="94" t="e">
        <f>K5/L5</f>
        <v>#N/A</v>
      </c>
      <c r="O5" s="88" t="e">
        <f t="shared" ref="O5:O44" si="0">K5/(L5-M5)</f>
        <v>#N/A</v>
      </c>
      <c r="P5" s="164" t="s">
        <v>3399</v>
      </c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1244</v>
      </c>
      <c r="C6" s="91" t="e">
        <f>IF(ISBLANK(B6),"",VLOOKUP(B6,SÜRELER!$A:$B,2,FALSE))</f>
        <v>#N/A</v>
      </c>
      <c r="D6" s="80">
        <f>154+2</f>
        <v>156</v>
      </c>
      <c r="E6" s="92" t="e">
        <f>IF(ISBLANK($B6),"0",VLOOKUP($B6,SÜRELER!$A:$C,3,FALSE))*(D6-F6)</f>
        <v>#N/A</v>
      </c>
      <c r="F6" s="81">
        <v>4</v>
      </c>
      <c r="G6" s="93" t="e">
        <f>VLOOKUP(B6,'R.H.'!A$3:C$3974,3,FALSE)*D6/100</f>
        <v>#N/A</v>
      </c>
      <c r="H6" s="82">
        <f t="shared" ref="H6:H44" si="1">F6/D6</f>
        <v>2.564102564102564E-2</v>
      </c>
      <c r="I6" s="87" t="e">
        <f>VLOOKUP(B6,'R.H.'!A$3:C$3974,3,FALSE)/100</f>
        <v>#N/A</v>
      </c>
      <c r="J6" s="83">
        <v>0.5</v>
      </c>
      <c r="K6" s="92" t="e">
        <f t="shared" ref="K6:K44" si="2">E6/J6</f>
        <v>#N/A</v>
      </c>
      <c r="L6" s="84">
        <v>300</v>
      </c>
      <c r="M6" s="84"/>
      <c r="N6" s="94" t="e">
        <f t="shared" ref="N6:N44" si="3">K6/L6</f>
        <v>#N/A</v>
      </c>
      <c r="O6" s="88" t="e">
        <f t="shared" si="0"/>
        <v>#N/A</v>
      </c>
      <c r="P6" s="193" t="s">
        <v>3398</v>
      </c>
      <c r="Q6" s="5"/>
      <c r="R6" s="5"/>
    </row>
    <row r="7" spans="1:23" s="4" customFormat="1" ht="16.5" customHeight="1" x14ac:dyDescent="0.25">
      <c r="A7" s="90">
        <v>3</v>
      </c>
      <c r="B7" s="86">
        <v>1245</v>
      </c>
      <c r="C7" s="91" t="e">
        <f>IF(ISBLANK(B7),"",VLOOKUP(B7,SÜRELER!$A:$B,2,FALSE))</f>
        <v>#N/A</v>
      </c>
      <c r="D7" s="80">
        <v>156</v>
      </c>
      <c r="E7" s="92" t="e">
        <f>IF(ISBLANK($B7),"0",VLOOKUP($B7,SÜRELER!$A:$C,3,FALSE))*(D7-F7)</f>
        <v>#N/A</v>
      </c>
      <c r="F7" s="81">
        <v>4</v>
      </c>
      <c r="G7" s="93" t="e">
        <f>VLOOKUP(B7,'R.H.'!A$3:C$3974,3,FALSE)*D7/100</f>
        <v>#N/A</v>
      </c>
      <c r="H7" s="82">
        <f t="shared" si="1"/>
        <v>2.564102564102564E-2</v>
      </c>
      <c r="I7" s="87" t="e">
        <f>VLOOKUP(B7,'R.H.'!A$3:C$3974,3,FALSE)/100</f>
        <v>#N/A</v>
      </c>
      <c r="J7" s="83">
        <v>0.5</v>
      </c>
      <c r="K7" s="92" t="e">
        <f t="shared" si="2"/>
        <v>#N/A</v>
      </c>
      <c r="L7" s="84">
        <v>300</v>
      </c>
      <c r="M7" s="84"/>
      <c r="N7" s="94" t="e">
        <f t="shared" si="3"/>
        <v>#N/A</v>
      </c>
      <c r="O7" s="88" t="e">
        <f t="shared" si="0"/>
        <v>#N/A</v>
      </c>
      <c r="P7" s="194"/>
      <c r="Q7" s="5"/>
      <c r="R7" s="5"/>
    </row>
    <row r="8" spans="1:23" s="4" customFormat="1" ht="16.5" customHeight="1" x14ac:dyDescent="0.25">
      <c r="A8" s="85">
        <v>4</v>
      </c>
      <c r="B8" s="86">
        <v>710</v>
      </c>
      <c r="C8" s="91" t="e">
        <f>IF(ISBLANK(B8),"",VLOOKUP(B8,SÜRELER!$A:$B,2,FALSE))</f>
        <v>#N/A</v>
      </c>
      <c r="D8" s="80">
        <f>250+378</f>
        <v>628</v>
      </c>
      <c r="E8" s="92" t="e">
        <f>IF(ISBLANK($B8),"0",VLOOKUP($B8,SÜRELER!$A:$C,3,FALSE))*(D8-F8)</f>
        <v>#N/A</v>
      </c>
      <c r="F8" s="81">
        <v>10</v>
      </c>
      <c r="G8" s="93" t="e">
        <f>VLOOKUP(B8,'R.H.'!A$3:C$3974,3,FALSE)*D8/100</f>
        <v>#N/A</v>
      </c>
      <c r="H8" s="82">
        <f t="shared" si="1"/>
        <v>1.5923566878980892E-2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680</v>
      </c>
      <c r="M8" s="84"/>
      <c r="N8" s="94" t="e">
        <f t="shared" si="3"/>
        <v>#N/A</v>
      </c>
      <c r="O8" s="88" t="e">
        <f t="shared" si="0"/>
        <v>#N/A</v>
      </c>
      <c r="P8" s="119"/>
      <c r="Q8" s="5"/>
      <c r="R8" s="5"/>
    </row>
    <row r="9" spans="1:23" s="4" customFormat="1" ht="16.5" x14ac:dyDescent="0.25">
      <c r="A9" s="90">
        <v>5</v>
      </c>
      <c r="B9" s="86">
        <v>711</v>
      </c>
      <c r="C9" s="91" t="e">
        <f>IF(ISBLANK(B9),"",VLOOKUP(B9,SÜRELER!$A:$B,2,FALSE))</f>
        <v>#N/A</v>
      </c>
      <c r="D9" s="80">
        <v>628</v>
      </c>
      <c r="E9" s="92" t="e">
        <f>IF(ISBLANK($B9),"0",VLOOKUP($B9,SÜRELER!$A:$C,3,FALSE))*(D9-F9)</f>
        <v>#N/A</v>
      </c>
      <c r="F9" s="81">
        <v>10</v>
      </c>
      <c r="G9" s="93" t="e">
        <f>VLOOKUP(B9,'R.H.'!A$3:C$3974,3,FALSE)*D9/100</f>
        <v>#N/A</v>
      </c>
      <c r="H9" s="82">
        <f t="shared" si="1"/>
        <v>1.5923566878980892E-2</v>
      </c>
      <c r="I9" s="87" t="e">
        <f>VLOOKUP(B9,'R.H.'!A$3:C$3974,3,FALSE)/100</f>
        <v>#N/A</v>
      </c>
      <c r="J9" s="83">
        <v>0.5</v>
      </c>
      <c r="K9" s="92" t="e">
        <f t="shared" si="2"/>
        <v>#N/A</v>
      </c>
      <c r="L9" s="84">
        <v>680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1577</v>
      </c>
      <c r="C10" s="91" t="e">
        <f>IF(ISBLANK(B10),"",VLOOKUP(B10,SÜRELER!$A:$B,2,FALSE))</f>
        <v>#N/A</v>
      </c>
      <c r="D10" s="80">
        <f>104+250</f>
        <v>354</v>
      </c>
      <c r="E10" s="92" t="e">
        <f>IF(ISBLANK($B10),"0",VLOOKUP($B10,SÜRELER!$A:$C,3,FALSE))*(D10-F10)</f>
        <v>#N/A</v>
      </c>
      <c r="F10" s="81">
        <v>4</v>
      </c>
      <c r="G10" s="93" t="e">
        <f>VLOOKUP(B10,'R.H.'!A$3:C$3974,3,FALSE)*D10/100</f>
        <v>#N/A</v>
      </c>
      <c r="H10" s="82">
        <f t="shared" si="1"/>
        <v>1.1299435028248588E-2</v>
      </c>
      <c r="I10" s="87" t="e">
        <f>VLOOKUP(B10,'R.H.'!A$3:C$3974,3,FALSE)/100</f>
        <v>#N/A</v>
      </c>
      <c r="J10" s="83">
        <v>0.25</v>
      </c>
      <c r="K10" s="92" t="e">
        <f t="shared" si="2"/>
        <v>#N/A</v>
      </c>
      <c r="L10" s="84">
        <v>455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1578</v>
      </c>
      <c r="C11" s="91" t="e">
        <f>IF(ISBLANK(B11),"",VLOOKUP(B11,SÜRELER!$A:$B,2,FALSE))</f>
        <v>#N/A</v>
      </c>
      <c r="D11" s="80">
        <v>354</v>
      </c>
      <c r="E11" s="92" t="e">
        <f>IF(ISBLANK($B11),"0",VLOOKUP($B11,SÜRELER!$A:$C,3,FALSE))*(D11-F11)</f>
        <v>#N/A</v>
      </c>
      <c r="F11" s="81">
        <v>4</v>
      </c>
      <c r="G11" s="93" t="e">
        <f>VLOOKUP(B11,'R.H.'!A$3:C$3974,3,FALSE)*D11/100</f>
        <v>#N/A</v>
      </c>
      <c r="H11" s="82">
        <f t="shared" si="1"/>
        <v>1.1299435028248588E-2</v>
      </c>
      <c r="I11" s="87" t="e">
        <f>VLOOKUP(B11,'R.H.'!A$3:C$3974,3,FALSE)/100</f>
        <v>#N/A</v>
      </c>
      <c r="J11" s="83">
        <v>0.25</v>
      </c>
      <c r="K11" s="92" t="e">
        <f t="shared" si="2"/>
        <v>#N/A</v>
      </c>
      <c r="L11" s="84">
        <v>455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2011</v>
      </c>
      <c r="C12" s="91" t="e">
        <f>IF(ISBLANK(B12),"",VLOOKUP(B12,SÜRELER!$A:$B,2,FALSE))</f>
        <v>#N/A</v>
      </c>
      <c r="D12" s="80">
        <v>354</v>
      </c>
      <c r="E12" s="92" t="e">
        <f>IF(ISBLANK($B12),"0",VLOOKUP($B12,SÜRELER!$A:$C,3,FALSE))*(D12-F12)</f>
        <v>#N/A</v>
      </c>
      <c r="F12" s="81">
        <v>4</v>
      </c>
      <c r="G12" s="93" t="e">
        <f>VLOOKUP(B12,'R.H.'!A$3:C$3974,3,FALSE)*D12/100</f>
        <v>#N/A</v>
      </c>
      <c r="H12" s="82">
        <f t="shared" si="1"/>
        <v>1.1299435028248588E-2</v>
      </c>
      <c r="I12" s="87" t="e">
        <f>VLOOKUP(B12,'R.H.'!A$3:C$3974,3,FALSE)/100</f>
        <v>#N/A</v>
      </c>
      <c r="J12" s="83">
        <v>0.25</v>
      </c>
      <c r="K12" s="92" t="e">
        <f t="shared" si="2"/>
        <v>#N/A</v>
      </c>
      <c r="L12" s="84">
        <v>455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2012</v>
      </c>
      <c r="C13" s="91" t="e">
        <f>IF(ISBLANK(B13),"",VLOOKUP(B13,SÜRELER!$A:$B,2,FALSE))</f>
        <v>#N/A</v>
      </c>
      <c r="D13" s="80">
        <v>354</v>
      </c>
      <c r="E13" s="92" t="e">
        <f>IF(ISBLANK($B13),"0",VLOOKUP($B13,SÜRELER!$A:$C,3,FALSE))*(D13-F13)</f>
        <v>#N/A</v>
      </c>
      <c r="F13" s="81">
        <v>4</v>
      </c>
      <c r="G13" s="93" t="e">
        <f>VLOOKUP(B13,'R.H.'!A$3:C$3974,3,FALSE)*D13/100</f>
        <v>#N/A</v>
      </c>
      <c r="H13" s="82">
        <f t="shared" si="1"/>
        <v>1.1299435028248588E-2</v>
      </c>
      <c r="I13" s="87" t="e">
        <f>VLOOKUP(B13,'R.H.'!A$3:C$3974,3,FALSE)/100</f>
        <v>#N/A</v>
      </c>
      <c r="J13" s="83">
        <v>0.25</v>
      </c>
      <c r="K13" s="92" t="e">
        <f t="shared" si="2"/>
        <v>#N/A</v>
      </c>
      <c r="L13" s="84">
        <v>455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1203</v>
      </c>
      <c r="C14" s="91" t="e">
        <f>IF(ISBLANK(B14),"",VLOOKUP(B14,SÜRELER!$A:$B,2,FALSE))</f>
        <v>#N/A</v>
      </c>
      <c r="D14" s="80">
        <v>373</v>
      </c>
      <c r="E14" s="92" t="e">
        <f>IF(ISBLANK($B14),"0",VLOOKUP($B14,SÜRELER!$A:$C,3,FALSE))*(D14-F14)</f>
        <v>#N/A</v>
      </c>
      <c r="F14" s="81">
        <v>4</v>
      </c>
      <c r="G14" s="93" t="e">
        <f>VLOOKUP(B14,'R.H.'!A$3:C$3974,3,FALSE)*D14/100</f>
        <v>#N/A</v>
      </c>
      <c r="H14" s="82">
        <f t="shared" si="1"/>
        <v>1.0723860589812333E-2</v>
      </c>
      <c r="I14" s="87" t="e">
        <f>VLOOKUP(B14,'R.H.'!A$3:C$3974,3,FALSE)/100</f>
        <v>#N/A</v>
      </c>
      <c r="J14" s="83">
        <v>1</v>
      </c>
      <c r="K14" s="92" t="e">
        <f t="shared" si="2"/>
        <v>#N/A</v>
      </c>
      <c r="L14" s="84">
        <v>470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99</v>
      </c>
      <c r="C15" s="91" t="e">
        <f>IF(ISBLANK(B15),"",VLOOKUP(B15,SÜRELER!$A:$B,2,FALSE))</f>
        <v>#N/A</v>
      </c>
      <c r="D15" s="80">
        <f>329+416</f>
        <v>745</v>
      </c>
      <c r="E15" s="92" t="e">
        <f>IF(ISBLANK($B15),"0",VLOOKUP($B15,SÜRELER!$A:$C,3,FALSE))*(D15-F15)</f>
        <v>#N/A</v>
      </c>
      <c r="F15" s="81">
        <v>6</v>
      </c>
      <c r="G15" s="93" t="e">
        <f>VLOOKUP(B15,'R.H.'!A$3:C$3974,3,FALSE)*D15/100</f>
        <v>#N/A</v>
      </c>
      <c r="H15" s="82">
        <f t="shared" si="1"/>
        <v>8.0536912751677861E-3</v>
      </c>
      <c r="I15" s="87" t="e">
        <f>VLOOKUP(B15,'R.H.'!A$3:C$3974,3,FALSE)/100</f>
        <v>#N/A</v>
      </c>
      <c r="J15" s="83">
        <v>1</v>
      </c>
      <c r="K15" s="92" t="e">
        <f t="shared" si="2"/>
        <v>#N/A</v>
      </c>
      <c r="L15" s="84">
        <v>1200</v>
      </c>
      <c r="M15" s="84"/>
      <c r="N15" s="94" t="e">
        <f t="shared" si="3"/>
        <v>#N/A</v>
      </c>
      <c r="O15" s="88" t="e">
        <f t="shared" si="0"/>
        <v>#N/A</v>
      </c>
      <c r="P15" s="164" t="s">
        <v>3380</v>
      </c>
      <c r="Q15" s="5"/>
      <c r="R15" s="5"/>
    </row>
    <row r="16" spans="1:23" s="4" customFormat="1" ht="16.5" customHeight="1" x14ac:dyDescent="0.25">
      <c r="A16" s="85">
        <v>12</v>
      </c>
      <c r="B16" s="86">
        <v>248</v>
      </c>
      <c r="C16" s="91" t="e">
        <f>IF(ISBLANK(B16),"",VLOOKUP(B16,SÜRELER!$A:$B,2,FALSE))</f>
        <v>#N/A</v>
      </c>
      <c r="D16" s="80">
        <v>324</v>
      </c>
      <c r="E16" s="92" t="e">
        <f>IF(ISBLANK($B16),"0",VLOOKUP($B16,SÜRELER!$A:$C,3,FALSE))*(D16-F16)</f>
        <v>#N/A</v>
      </c>
      <c r="F16" s="81">
        <v>0</v>
      </c>
      <c r="G16" s="93" t="e">
        <f>VLOOKUP(B16,'R.H.'!A$3:C$3974,3,FALSE)*D16/100</f>
        <v>#N/A</v>
      </c>
      <c r="H16" s="82">
        <f t="shared" si="1"/>
        <v>0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310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249</v>
      </c>
      <c r="C17" s="91" t="e">
        <f>IF(ISBLANK(B17),"",VLOOKUP(B17,SÜRELER!$A:$B,2,FALSE))</f>
        <v>#N/A</v>
      </c>
      <c r="D17" s="80">
        <v>324</v>
      </c>
      <c r="E17" s="92" t="e">
        <f>IF(ISBLANK($B17),"0",VLOOKUP($B17,SÜRELER!$A:$C,3,FALSE))*(D17-F17)</f>
        <v>#N/A</v>
      </c>
      <c r="F17" s="81">
        <v>0</v>
      </c>
      <c r="G17" s="93" t="e">
        <f>VLOOKUP(B17,'R.H.'!A$3:C$3974,3,FALSE)*D17/100</f>
        <v>#N/A</v>
      </c>
      <c r="H17" s="82">
        <f t="shared" si="1"/>
        <v>0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310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701</v>
      </c>
      <c r="C18" s="91" t="e">
        <f>IF(ISBLANK(B18),"",VLOOKUP(B18,SÜRELER!$A:$B,2,FALSE))</f>
        <v>#N/A</v>
      </c>
      <c r="D18" s="80">
        <v>580</v>
      </c>
      <c r="E18" s="92" t="e">
        <f>IF(ISBLANK($B18),"0",VLOOKUP($B18,SÜRELER!$A:$C,3,FALSE))*(D18-F18)</f>
        <v>#N/A</v>
      </c>
      <c r="F18" s="81">
        <v>0</v>
      </c>
      <c r="G18" s="93" t="e">
        <f>VLOOKUP(B18,'R.H.'!A$3:C$3974,3,FALSE)*D18/100</f>
        <v>#N/A</v>
      </c>
      <c r="H18" s="82">
        <f t="shared" si="1"/>
        <v>0</v>
      </c>
      <c r="I18" s="87" t="e">
        <f>VLOOKUP(B18,'R.H.'!A$3:C$3974,3,FALSE)/100</f>
        <v>#N/A</v>
      </c>
      <c r="J18" s="83">
        <v>1</v>
      </c>
      <c r="K18" s="92" t="e">
        <f t="shared" si="2"/>
        <v>#N/A</v>
      </c>
      <c r="L18" s="84">
        <v>380</v>
      </c>
      <c r="M18" s="84"/>
      <c r="N18" s="94" t="e">
        <f t="shared" si="3"/>
        <v>#N/A</v>
      </c>
      <c r="O18" s="88" t="e">
        <f t="shared" si="0"/>
        <v>#N/A</v>
      </c>
      <c r="P18" s="164" t="s">
        <v>3380</v>
      </c>
      <c r="Q18" s="5"/>
      <c r="R18" s="5"/>
    </row>
    <row r="19" spans="1:18" s="4" customFormat="1" ht="16.5" x14ac:dyDescent="0.25">
      <c r="A19" s="90">
        <v>15</v>
      </c>
      <c r="B19" s="86">
        <v>1585</v>
      </c>
      <c r="C19" s="91" t="e">
        <f>IF(ISBLANK(B19),"",VLOOKUP(B19,SÜRELER!$A:$B,2,FALSE))</f>
        <v>#N/A</v>
      </c>
      <c r="D19" s="80">
        <v>376</v>
      </c>
      <c r="E19" s="92" t="e">
        <f>IF(ISBLANK($B19),"0",VLOOKUP($B19,SÜRELER!$A:$C,3,FALSE))*(D19-F19)</f>
        <v>#N/A</v>
      </c>
      <c r="F19" s="81">
        <v>10</v>
      </c>
      <c r="G19" s="93" t="e">
        <f>VLOOKUP(B19,'R.H.'!A$3:C$3974,3,FALSE)*D19/100</f>
        <v>#N/A</v>
      </c>
      <c r="H19" s="82">
        <f t="shared" si="1"/>
        <v>2.6595744680851064E-2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270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1586</v>
      </c>
      <c r="C20" s="91" t="e">
        <f>IF(ISBLANK(B20),"",VLOOKUP(B20,SÜRELER!$A:$B,2,FALSE))</f>
        <v>#N/A</v>
      </c>
      <c r="D20" s="80">
        <v>376</v>
      </c>
      <c r="E20" s="92" t="e">
        <f>IF(ISBLANK($B20),"0",VLOOKUP($B20,SÜRELER!$A:$C,3,FALSE))*(D20-F20)</f>
        <v>#N/A</v>
      </c>
      <c r="F20" s="81">
        <v>10</v>
      </c>
      <c r="G20" s="93" t="e">
        <f>VLOOKUP(B20,'R.H.'!A$3:C$3974,3,FALSE)*D20/100</f>
        <v>#N/A</v>
      </c>
      <c r="H20" s="82">
        <f t="shared" si="1"/>
        <v>2.6595744680851064E-2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270</v>
      </c>
      <c r="M20" s="84"/>
      <c r="N20" s="94" t="e">
        <f t="shared" si="3"/>
        <v>#N/A</v>
      </c>
      <c r="O20" s="88" t="e">
        <f t="shared" si="0"/>
        <v>#N/A</v>
      </c>
      <c r="P20" s="193" t="s">
        <v>3397</v>
      </c>
      <c r="Q20" s="5"/>
      <c r="R20" s="5"/>
    </row>
    <row r="21" spans="1:18" s="4" customFormat="1" ht="16.5" x14ac:dyDescent="0.25">
      <c r="A21" s="90">
        <v>17</v>
      </c>
      <c r="B21" s="86">
        <v>1238</v>
      </c>
      <c r="C21" s="91" t="e">
        <f>IF(ISBLANK(B21),"",VLOOKUP(B21,SÜRELER!$A:$B,2,FALSE))</f>
        <v>#N/A</v>
      </c>
      <c r="D21" s="80">
        <v>700</v>
      </c>
      <c r="E21" s="92" t="e">
        <f>IF(ISBLANK($B21),"0",VLOOKUP($B21,SÜRELER!$A:$C,3,FALSE))*(D21-F21)</f>
        <v>#N/A</v>
      </c>
      <c r="F21" s="81">
        <v>0</v>
      </c>
      <c r="G21" s="93" t="e">
        <f>VLOOKUP(B21,'R.H.'!A$3:C$3974,3,FALSE)*D21/100</f>
        <v>#N/A</v>
      </c>
      <c r="H21" s="82">
        <f t="shared" si="1"/>
        <v>0</v>
      </c>
      <c r="I21" s="87" t="e">
        <f>VLOOKUP(B21,'R.H.'!A$3:C$3974,3,FALSE)/100</f>
        <v>#N/A</v>
      </c>
      <c r="J21" s="83">
        <v>0.5</v>
      </c>
      <c r="K21" s="92" t="e">
        <f t="shared" si="2"/>
        <v>#N/A</v>
      </c>
      <c r="L21" s="84">
        <v>665</v>
      </c>
      <c r="M21" s="84"/>
      <c r="N21" s="94" t="e">
        <f t="shared" si="3"/>
        <v>#N/A</v>
      </c>
      <c r="O21" s="88" t="e">
        <f t="shared" si="0"/>
        <v>#N/A</v>
      </c>
      <c r="P21" s="197"/>
      <c r="Q21" s="5"/>
      <c r="R21" s="5"/>
    </row>
    <row r="22" spans="1:18" s="4" customFormat="1" ht="16.5" customHeight="1" x14ac:dyDescent="0.25">
      <c r="A22" s="85">
        <v>18</v>
      </c>
      <c r="B22" s="86">
        <v>1239</v>
      </c>
      <c r="C22" s="91" t="e">
        <f>IF(ISBLANK(B22),"",VLOOKUP(B22,SÜRELER!$A:$B,2,FALSE))</f>
        <v>#N/A</v>
      </c>
      <c r="D22" s="80">
        <v>700</v>
      </c>
      <c r="E22" s="92" t="e">
        <f>IF(ISBLANK($B22),"0",VLOOKUP($B22,SÜRELER!$A:$C,3,FALSE))*(D22-F22)</f>
        <v>#N/A</v>
      </c>
      <c r="F22" s="81">
        <v>0</v>
      </c>
      <c r="G22" s="93" t="e">
        <f>VLOOKUP(B22,'R.H.'!A$3:C$3974,3,FALSE)*D22/100</f>
        <v>#N/A</v>
      </c>
      <c r="H22" s="82">
        <f t="shared" si="1"/>
        <v>0</v>
      </c>
      <c r="I22" s="87" t="e">
        <f>VLOOKUP(B22,'R.H.'!A$3:C$3974,3,FALSE)/100</f>
        <v>#N/A</v>
      </c>
      <c r="J22" s="83">
        <v>0.5</v>
      </c>
      <c r="K22" s="92" t="e">
        <f t="shared" si="2"/>
        <v>#N/A</v>
      </c>
      <c r="L22" s="84">
        <v>665</v>
      </c>
      <c r="M22" s="84"/>
      <c r="N22" s="94" t="e">
        <f t="shared" si="3"/>
        <v>#N/A</v>
      </c>
      <c r="O22" s="88" t="e">
        <f t="shared" si="0"/>
        <v>#N/A</v>
      </c>
      <c r="P22" s="194"/>
      <c r="Q22" s="5"/>
      <c r="R22" s="5"/>
    </row>
    <row r="23" spans="1:18" s="4" customFormat="1" ht="16.5" customHeight="1" x14ac:dyDescent="0.25">
      <c r="A23" s="90">
        <v>19</v>
      </c>
      <c r="B23" s="86">
        <v>1529</v>
      </c>
      <c r="C23" s="91" t="e">
        <f>IF(ISBLANK(B23),"",VLOOKUP(B23,SÜRELER!$A:$B,2,FALSE))</f>
        <v>#N/A</v>
      </c>
      <c r="D23" s="80">
        <v>93</v>
      </c>
      <c r="E23" s="92" t="e">
        <f>IF(ISBLANK($B23),"0",VLOOKUP($B23,SÜRELER!$A:$C,3,FALSE))*(D23-F23)</f>
        <v>#N/A</v>
      </c>
      <c r="F23" s="81">
        <v>5</v>
      </c>
      <c r="G23" s="93" t="e">
        <f>VLOOKUP(B23,'R.H.'!A$3:C$3974,3,FALSE)*D23/100</f>
        <v>#N/A</v>
      </c>
      <c r="H23" s="82">
        <f t="shared" si="1"/>
        <v>5.3763440860215055E-2</v>
      </c>
      <c r="I23" s="87" t="e">
        <f>VLOOKUP(B23,'R.H.'!A$3:C$3974,3,FALSE)/100</f>
        <v>#N/A</v>
      </c>
      <c r="J23" s="83">
        <v>0.5</v>
      </c>
      <c r="K23" s="92" t="e">
        <f t="shared" si="2"/>
        <v>#N/A</v>
      </c>
      <c r="L23" s="84">
        <v>90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1530</v>
      </c>
      <c r="C24" s="91" t="e">
        <f>IF(ISBLANK(B24),"",VLOOKUP(B24,SÜRELER!$A:$B,2,FALSE))</f>
        <v>#N/A</v>
      </c>
      <c r="D24" s="80">
        <v>93</v>
      </c>
      <c r="E24" s="92" t="e">
        <f>IF(ISBLANK($B24),"0",VLOOKUP($B24,SÜRELER!$A:$C,3,FALSE))*(D24-F24)</f>
        <v>#N/A</v>
      </c>
      <c r="F24" s="81">
        <v>5</v>
      </c>
      <c r="G24" s="93" t="e">
        <f>VLOOKUP(B24,'R.H.'!A$3:C$3974,3,FALSE)*D24/100</f>
        <v>#N/A</v>
      </c>
      <c r="H24" s="82">
        <f t="shared" si="1"/>
        <v>5.3763440860215055E-2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35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/>
      <c r="C25" s="91" t="str">
        <f>IF(ISBLANK(B25),"",VLOOKUP(B25,SÜRELER!$A:$B,2,FALSE))</f>
        <v/>
      </c>
      <c r="D25" s="80"/>
      <c r="E25" s="92">
        <f>IF(ISBLANK($B25),"0",VLOOKUP($B25,SÜRELER!$A:$C,3,FALSE))*(D25-F25)</f>
        <v>0</v>
      </c>
      <c r="F25" s="81"/>
      <c r="G25" s="93" t="e">
        <f>VLOOKUP(B25,'R.H.'!A$3:C$3974,3,FALSE)*D25/100</f>
        <v>#N/A</v>
      </c>
      <c r="H25" s="82" t="e">
        <f t="shared" si="1"/>
        <v>#DIV/0!</v>
      </c>
      <c r="I25" s="87" t="e">
        <f>VLOOKUP(B25,'R.H.'!A$3:C$3974,3,FALSE)/100</f>
        <v>#N/A</v>
      </c>
      <c r="J25" s="83"/>
      <c r="K25" s="92" t="e">
        <f t="shared" si="2"/>
        <v>#DIV/0!</v>
      </c>
      <c r="L25" s="84"/>
      <c r="M25" s="84"/>
      <c r="N25" s="94" t="e">
        <f t="shared" si="3"/>
        <v>#DIV/0!</v>
      </c>
      <c r="O25" s="88" t="e">
        <f t="shared" si="0"/>
        <v>#DIV/0!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/>
      <c r="C26" s="91" t="str">
        <f>IF(ISBLANK(B26),"",VLOOKUP(B26,SÜRELER!$A:$B,2,FALSE))</f>
        <v/>
      </c>
      <c r="D26" s="80"/>
      <c r="E26" s="92">
        <f>IF(ISBLANK($B26),"0",VLOOKUP($B26,SÜRELER!$A:$C,3,FALSE))*(D26-F26)</f>
        <v>0</v>
      </c>
      <c r="F26" s="81"/>
      <c r="G26" s="93" t="e">
        <f>VLOOKUP(B26,'R.H.'!A$3:C$3974,3,FALSE)*D26/100</f>
        <v>#N/A</v>
      </c>
      <c r="H26" s="82" t="e">
        <f t="shared" si="1"/>
        <v>#DIV/0!</v>
      </c>
      <c r="I26" s="87" t="e">
        <f>VLOOKUP(B26,'R.H.'!A$3:C$3974,3,FALSE)/100</f>
        <v>#N/A</v>
      </c>
      <c r="J26" s="83"/>
      <c r="K26" s="92" t="e">
        <f t="shared" si="2"/>
        <v>#DIV/0!</v>
      </c>
      <c r="L26" s="84"/>
      <c r="M26" s="84"/>
      <c r="N26" s="94" t="e">
        <f t="shared" si="3"/>
        <v>#DIV/0!</v>
      </c>
      <c r="O26" s="88" t="e">
        <f t="shared" si="0"/>
        <v>#DIV/0!</v>
      </c>
      <c r="P26" s="119"/>
      <c r="Q26" s="5"/>
      <c r="R26" s="5"/>
    </row>
    <row r="27" spans="1:18" s="4" customFormat="1" ht="16.5" x14ac:dyDescent="0.25">
      <c r="A27" s="90">
        <v>23</v>
      </c>
      <c r="B27" s="86"/>
      <c r="C27" s="91" t="str">
        <f>IF(ISBLANK(B27),"",VLOOKUP(B27,SÜRELER!$A:$B,2,FALSE))</f>
        <v/>
      </c>
      <c r="D27" s="80"/>
      <c r="E27" s="92">
        <f>IF(ISBLANK($B27),"0",VLOOKUP($B27,SÜRELER!$A:$C,3,FALSE))*(D27-F27)</f>
        <v>0</v>
      </c>
      <c r="F27" s="81"/>
      <c r="G27" s="93" t="e">
        <f>VLOOKUP(B27,'R.H.'!A$3:C$3974,3,FALSE)*D27/100</f>
        <v>#N/A</v>
      </c>
      <c r="H27" s="82" t="e">
        <f t="shared" si="1"/>
        <v>#DIV/0!</v>
      </c>
      <c r="I27" s="87" t="e">
        <f>VLOOKUP(B27,'R.H.'!A$3:C$3974,3,FALSE)/100</f>
        <v>#N/A</v>
      </c>
      <c r="J27" s="83"/>
      <c r="K27" s="92" t="e">
        <f t="shared" si="2"/>
        <v>#DIV/0!</v>
      </c>
      <c r="L27" s="84"/>
      <c r="M27" s="84"/>
      <c r="N27" s="94" t="e">
        <f t="shared" si="3"/>
        <v>#DIV/0!</v>
      </c>
      <c r="O27" s="88" t="e">
        <f t="shared" si="0"/>
        <v>#DIV/0!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/>
      <c r="C28" s="91" t="str">
        <f>IF(ISBLANK(B28),"",VLOOKUP(B28,SÜRELER!$A:$B,2,FALSE))</f>
        <v/>
      </c>
      <c r="D28" s="80"/>
      <c r="E28" s="92">
        <f>IF(ISBLANK($B28),"0",VLOOKUP($B28,SÜRELER!$A:$C,3,FALSE))*(D28-F28)</f>
        <v>0</v>
      </c>
      <c r="F28" s="81"/>
      <c r="G28" s="93" t="e">
        <f>VLOOKUP(B28,'R.H.'!A$3:C$3974,3,FALSE)*D28/100</f>
        <v>#N/A</v>
      </c>
      <c r="H28" s="82" t="e">
        <f t="shared" si="1"/>
        <v>#DIV/0!</v>
      </c>
      <c r="I28" s="87" t="e">
        <f>VLOOKUP(B28,'R.H.'!A$3:C$3974,3,FALSE)/100</f>
        <v>#N/A</v>
      </c>
      <c r="J28" s="83"/>
      <c r="K28" s="92" t="e">
        <f t="shared" si="2"/>
        <v>#DIV/0!</v>
      </c>
      <c r="L28" s="84"/>
      <c r="M28" s="84"/>
      <c r="N28" s="94" t="e">
        <f t="shared" si="3"/>
        <v>#DIV/0!</v>
      </c>
      <c r="O28" s="88" t="e">
        <f t="shared" si="0"/>
        <v>#DIV/0!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/>
      <c r="C29" s="91" t="str">
        <f>IF(ISBLANK(B29),"",VLOOKUP(B29,SÜRELER!$A:$B,2,FALSE))</f>
        <v/>
      </c>
      <c r="D29" s="80"/>
      <c r="E29" s="92">
        <f>IF(ISBLANK($B29),"0",VLOOKUP($B29,SÜRELER!$A:$C,3,FALSE))*(D29-F29)</f>
        <v>0</v>
      </c>
      <c r="F29" s="81"/>
      <c r="G29" s="93" t="e">
        <f>VLOOKUP(B29,'R.H.'!A$3:C$3974,3,FALSE)*D29/100</f>
        <v>#N/A</v>
      </c>
      <c r="H29" s="82" t="e">
        <f t="shared" si="1"/>
        <v>#DIV/0!</v>
      </c>
      <c r="I29" s="87" t="e">
        <f>VLOOKUP(B29,'R.H.'!A$3:C$3974,3,FALSE)/100</f>
        <v>#N/A</v>
      </c>
      <c r="J29" s="83"/>
      <c r="K29" s="92" t="e">
        <f t="shared" si="2"/>
        <v>#DIV/0!</v>
      </c>
      <c r="L29" s="84"/>
      <c r="M29" s="84"/>
      <c r="N29" s="94" t="e">
        <f t="shared" si="3"/>
        <v>#DIV/0!</v>
      </c>
      <c r="O29" s="88" t="e">
        <f t="shared" si="0"/>
        <v>#DIV/0!</v>
      </c>
      <c r="P29" s="119"/>
      <c r="Q29" s="5"/>
      <c r="R29" s="5"/>
    </row>
    <row r="30" spans="1:18" s="4" customFormat="1" ht="16.5" x14ac:dyDescent="0.25">
      <c r="A30" s="85">
        <v>26</v>
      </c>
      <c r="B30" s="86"/>
      <c r="C30" s="91" t="str">
        <f>IF(ISBLANK(B30),"",VLOOKUP(B30,SÜRELER!$A:$B,2,FALSE))</f>
        <v/>
      </c>
      <c r="D30" s="80"/>
      <c r="E30" s="92">
        <f>IF(ISBLANK($B30),"0",VLOOKUP($B30,SÜRELER!$A:$C,3,FALSE))*(D30-F30)</f>
        <v>0</v>
      </c>
      <c r="F30" s="81"/>
      <c r="G30" s="93" t="e">
        <f>VLOOKUP(B30,'R.H.'!A$3:C$3974,3,FALSE)*D30/100</f>
        <v>#N/A</v>
      </c>
      <c r="H30" s="82" t="e">
        <f t="shared" si="1"/>
        <v>#DIV/0!</v>
      </c>
      <c r="I30" s="87" t="e">
        <f>VLOOKUP(B30,'R.H.'!A$3:C$3974,3,FALSE)/100</f>
        <v>#N/A</v>
      </c>
      <c r="J30" s="83"/>
      <c r="K30" s="92" t="e">
        <f t="shared" si="2"/>
        <v>#DIV/0!</v>
      </c>
      <c r="L30" s="84"/>
      <c r="M30" s="84"/>
      <c r="N30" s="94" t="e">
        <f t="shared" si="3"/>
        <v>#DIV/0!</v>
      </c>
      <c r="O30" s="88" t="e">
        <f t="shared" si="0"/>
        <v>#DIV/0!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8146</v>
      </c>
      <c r="E45" s="26" t="e">
        <f>SUM(E5:E44)</f>
        <v>#N/A</v>
      </c>
      <c r="F45" s="26">
        <f>SUM(F5:F44)</f>
        <v>144</v>
      </c>
      <c r="G45" s="26"/>
      <c r="H45" s="26"/>
      <c r="I45" s="26"/>
      <c r="J45" s="26"/>
      <c r="K45" s="26"/>
      <c r="L45" s="26">
        <f>SUM(L5:L44)</f>
        <v>9045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1.7677387674932481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7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5090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>
        <v>400</v>
      </c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4690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400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8146</v>
      </c>
      <c r="F63" s="24">
        <f>F45</f>
        <v>144</v>
      </c>
      <c r="G63" s="23">
        <f>(F63*1000000)/E63</f>
        <v>17677.387674932481</v>
      </c>
      <c r="H63" s="22">
        <f>D59</f>
        <v>400</v>
      </c>
      <c r="I63" s="17" t="e">
        <f>N1</f>
        <v>#N/A</v>
      </c>
    </row>
  </sheetData>
  <mergeCells count="17">
    <mergeCell ref="P6:P7"/>
    <mergeCell ref="P20:P22"/>
    <mergeCell ref="N1:N3"/>
    <mergeCell ref="A2:B3"/>
    <mergeCell ref="E56:N56"/>
    <mergeCell ref="D46:D47"/>
    <mergeCell ref="E46:F47"/>
    <mergeCell ref="A1:B1"/>
    <mergeCell ref="C1:D2"/>
    <mergeCell ref="H1:H3"/>
    <mergeCell ref="E57:N57"/>
    <mergeCell ref="E49:N49"/>
    <mergeCell ref="E50:N50"/>
    <mergeCell ref="E51:N51"/>
    <mergeCell ref="E53:N53"/>
    <mergeCell ref="E54:N54"/>
    <mergeCell ref="E55:N55"/>
  </mergeCells>
  <conditionalFormatting sqref="D3">
    <cfRule type="cellIs" dxfId="34" priority="5" stopIfTrue="1" operator="lessThan">
      <formula>0.95</formula>
    </cfRule>
  </conditionalFormatting>
  <conditionalFormatting sqref="F5:F44">
    <cfRule type="cellIs" dxfId="33" priority="1" stopIfTrue="1" operator="greaterThan">
      <formula>$G5</formula>
    </cfRule>
  </conditionalFormatting>
  <conditionalFormatting sqref="H5:H44">
    <cfRule type="cellIs" dxfId="32" priority="2" stopIfTrue="1" operator="greaterThan">
      <formula>$I$5</formula>
    </cfRule>
  </conditionalFormatting>
  <conditionalFormatting sqref="N1:N3">
    <cfRule type="cellIs" dxfId="31" priority="4" stopIfTrue="1" operator="lessThan">
      <formula>0.8</formula>
    </cfRule>
  </conditionalFormatting>
  <conditionalFormatting sqref="N5:O44">
    <cfRule type="cellIs" dxfId="30" priority="3" stopIfTrue="1" operator="lessThan">
      <formula>0.85</formula>
    </cfRule>
  </conditionalFormatting>
  <hyperlinks>
    <hyperlink ref="P1:P3" location="'Ana Sayfa'!A1" display="ANA SAYFA" xr:uid="{6E25DCE7-6ABD-4A44-B83C-8FA40A6C63E0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05E1-60FF-4D0C-9635-FAB2D01AA9F3}">
  <sheetPr codeName="Sayfa26">
    <tabColor theme="0" tint="-0.14999847407452621"/>
    <pageSetUpPr fitToPage="1"/>
  </sheetPr>
  <dimension ref="A1:W63"/>
  <sheetViews>
    <sheetView workbookViewId="0">
      <selection activeCell="I1" sqref="I1:M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'25'!A1+1</f>
        <v>46229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Pazar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21794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1334</v>
      </c>
      <c r="C5" s="91" t="e">
        <f>IF(ISBLANK(B5),"",VLOOKUP(B5,SÜRELER!$A:$B,2,FALSE))</f>
        <v>#N/A</v>
      </c>
      <c r="D5" s="80">
        <f>68+528</f>
        <v>596</v>
      </c>
      <c r="E5" s="92" t="e">
        <f>IF(ISBLANK($B5),"0",VLOOKUP($B5,SÜRELER!$A:$C,3,FALSE))*(D5-F5)</f>
        <v>#N/A</v>
      </c>
      <c r="F5" s="81">
        <v>24</v>
      </c>
      <c r="G5" s="93" t="e">
        <f>VLOOKUP(B5,'R.H.'!A$3:C$3974,3,FALSE)*D5/100</f>
        <v>#N/A</v>
      </c>
      <c r="H5" s="82">
        <f>F5/D5</f>
        <v>4.0268456375838924E-2</v>
      </c>
      <c r="I5" s="87" t="e">
        <f>VLOOKUP(B5,'R.H.'!A$3:C$3974,3,FALSE)/100</f>
        <v>#N/A</v>
      </c>
      <c r="J5" s="83">
        <v>0.5</v>
      </c>
      <c r="K5" s="92" t="e">
        <f>E5/J5</f>
        <v>#N/A</v>
      </c>
      <c r="L5" s="84">
        <v>565</v>
      </c>
      <c r="M5" s="84"/>
      <c r="N5" s="94" t="e">
        <f>K5/L5</f>
        <v>#N/A</v>
      </c>
      <c r="O5" s="88" t="e">
        <f t="shared" ref="O5:O44" si="0">K5/(L5-M5)</f>
        <v>#N/A</v>
      </c>
      <c r="P5" s="193" t="s">
        <v>3402</v>
      </c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1335</v>
      </c>
      <c r="C6" s="91" t="e">
        <f>IF(ISBLANK(B6),"",VLOOKUP(B6,SÜRELER!$A:$B,2,FALSE))</f>
        <v>#N/A</v>
      </c>
      <c r="D6" s="80">
        <v>596</v>
      </c>
      <c r="E6" s="92" t="e">
        <f>IF(ISBLANK($B6),"0",VLOOKUP($B6,SÜRELER!$A:$C,3,FALSE))*(D6-F6)</f>
        <v>#N/A</v>
      </c>
      <c r="F6" s="81">
        <v>24</v>
      </c>
      <c r="G6" s="93" t="e">
        <f>VLOOKUP(B6,'R.H.'!A$3:C$3974,3,FALSE)*D6/100</f>
        <v>#N/A</v>
      </c>
      <c r="H6" s="82">
        <f t="shared" ref="H6:H44" si="1">F6/D6</f>
        <v>4.0268456375838924E-2</v>
      </c>
      <c r="I6" s="87" t="e">
        <f>VLOOKUP(B6,'R.H.'!A$3:C$3974,3,FALSE)/100</f>
        <v>#N/A</v>
      </c>
      <c r="J6" s="83">
        <v>0.5</v>
      </c>
      <c r="K6" s="92" t="e">
        <f t="shared" ref="K6:K44" si="2">E6/J6</f>
        <v>#N/A</v>
      </c>
      <c r="L6" s="84">
        <v>565</v>
      </c>
      <c r="M6" s="84"/>
      <c r="N6" s="94" t="e">
        <f t="shared" ref="N6:N44" si="3">K6/L6</f>
        <v>#N/A</v>
      </c>
      <c r="O6" s="88" t="e">
        <f t="shared" si="0"/>
        <v>#N/A</v>
      </c>
      <c r="P6" s="194"/>
      <c r="Q6" s="5"/>
      <c r="R6" s="5"/>
    </row>
    <row r="7" spans="1:23" s="4" customFormat="1" ht="16.5" customHeight="1" x14ac:dyDescent="0.25">
      <c r="A7" s="90">
        <v>3</v>
      </c>
      <c r="B7" s="86">
        <v>1320</v>
      </c>
      <c r="C7" s="91" t="e">
        <f>IF(ISBLANK(B7),"",VLOOKUP(B7,SÜRELER!$A:$B,2,FALSE))</f>
        <v>#N/A</v>
      </c>
      <c r="D7" s="80">
        <f>594+472</f>
        <v>1066</v>
      </c>
      <c r="E7" s="92" t="e">
        <f>IF(ISBLANK($B7),"0",VLOOKUP($B7,SÜRELER!$A:$C,3,FALSE))*(D7-F7)</f>
        <v>#N/A</v>
      </c>
      <c r="F7" s="81">
        <v>7</v>
      </c>
      <c r="G7" s="93" t="e">
        <f>VLOOKUP(B7,'R.H.'!A$3:C$3974,3,FALSE)*D7/100</f>
        <v>#N/A</v>
      </c>
      <c r="H7" s="82">
        <f t="shared" si="1"/>
        <v>6.5666041275797378E-3</v>
      </c>
      <c r="I7" s="87" t="e">
        <f>VLOOKUP(B7,'R.H.'!A$3:C$3974,3,FALSE)/100</f>
        <v>#N/A</v>
      </c>
      <c r="J7" s="83">
        <v>0.5</v>
      </c>
      <c r="K7" s="92" t="e">
        <f t="shared" si="2"/>
        <v>#N/A</v>
      </c>
      <c r="L7" s="84">
        <v>900</v>
      </c>
      <c r="M7" s="84"/>
      <c r="N7" s="94" t="e">
        <f t="shared" si="3"/>
        <v>#N/A</v>
      </c>
      <c r="O7" s="88" t="e">
        <f t="shared" si="0"/>
        <v>#N/A</v>
      </c>
      <c r="P7" s="193" t="s">
        <v>3400</v>
      </c>
      <c r="Q7" s="5"/>
      <c r="R7" s="5"/>
    </row>
    <row r="8" spans="1:23" s="4" customFormat="1" ht="16.5" customHeight="1" x14ac:dyDescent="0.25">
      <c r="A8" s="85">
        <v>4</v>
      </c>
      <c r="B8" s="86">
        <v>1321</v>
      </c>
      <c r="C8" s="91" t="e">
        <f>IF(ISBLANK(B8),"",VLOOKUP(B8,SÜRELER!$A:$B,2,FALSE))</f>
        <v>#N/A</v>
      </c>
      <c r="D8" s="80">
        <v>1066</v>
      </c>
      <c r="E8" s="92" t="e">
        <f>IF(ISBLANK($B8),"0",VLOOKUP($B8,SÜRELER!$A:$C,3,FALSE))*(D8-F8)</f>
        <v>#N/A</v>
      </c>
      <c r="F8" s="81">
        <v>7</v>
      </c>
      <c r="G8" s="93" t="e">
        <f>VLOOKUP(B8,'R.H.'!A$3:C$3974,3,FALSE)*D8/100</f>
        <v>#N/A</v>
      </c>
      <c r="H8" s="82">
        <f t="shared" si="1"/>
        <v>6.5666041275797378E-3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900</v>
      </c>
      <c r="M8" s="84"/>
      <c r="N8" s="94" t="e">
        <f t="shared" si="3"/>
        <v>#N/A</v>
      </c>
      <c r="O8" s="88" t="e">
        <f t="shared" si="0"/>
        <v>#N/A</v>
      </c>
      <c r="P8" s="194"/>
      <c r="Q8" s="5"/>
      <c r="R8" s="5"/>
    </row>
    <row r="9" spans="1:23" s="4" customFormat="1" ht="16.5" x14ac:dyDescent="0.25">
      <c r="A9" s="90">
        <v>5</v>
      </c>
      <c r="B9" s="86">
        <v>2074</v>
      </c>
      <c r="C9" s="91" t="e">
        <f>IF(ISBLANK(B9),"",VLOOKUP(B9,SÜRELER!$A:$B,2,FALSE))</f>
        <v>#N/A</v>
      </c>
      <c r="D9" s="80">
        <f>2390+250</f>
        <v>2640</v>
      </c>
      <c r="E9" s="92" t="e">
        <f>IF(ISBLANK($B9),"0",VLOOKUP($B9,SÜRELER!$A:$C,3,FALSE))*(D9-F9)</f>
        <v>#N/A</v>
      </c>
      <c r="F9" s="81">
        <v>14</v>
      </c>
      <c r="G9" s="93" t="e">
        <f>VLOOKUP(B9,'R.H.'!A$3:C$3974,3,FALSE)*D9/100</f>
        <v>#N/A</v>
      </c>
      <c r="H9" s="82">
        <f t="shared" si="1"/>
        <v>5.3030303030303034E-3</v>
      </c>
      <c r="I9" s="87" t="e">
        <f>VLOOKUP(B9,'R.H.'!A$3:C$3974,3,FALSE)/100</f>
        <v>#N/A</v>
      </c>
      <c r="J9" s="83">
        <v>1</v>
      </c>
      <c r="K9" s="92" t="e">
        <f t="shared" si="2"/>
        <v>#N/A</v>
      </c>
      <c r="L9" s="84">
        <v>1115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248</v>
      </c>
      <c r="C10" s="91" t="e">
        <f>IF(ISBLANK(B10),"",VLOOKUP(B10,SÜRELER!$A:$B,2,FALSE))</f>
        <v>#N/A</v>
      </c>
      <c r="D10" s="80">
        <f>638+542</f>
        <v>1180</v>
      </c>
      <c r="E10" s="92" t="e">
        <f>IF(ISBLANK($B10),"0",VLOOKUP($B10,SÜRELER!$A:$C,3,FALSE))*(D10-F10)</f>
        <v>#N/A</v>
      </c>
      <c r="F10" s="81">
        <v>2</v>
      </c>
      <c r="G10" s="93" t="e">
        <f>VLOOKUP(B10,'R.H.'!A$3:C$3974,3,FALSE)*D10/100</f>
        <v>#N/A</v>
      </c>
      <c r="H10" s="82">
        <f t="shared" si="1"/>
        <v>1.6949152542372881E-3</v>
      </c>
      <c r="I10" s="87" t="e">
        <f>VLOOKUP(B10,'R.H.'!A$3:C$3974,3,FALSE)/100</f>
        <v>#N/A</v>
      </c>
      <c r="J10" s="83">
        <v>0.5</v>
      </c>
      <c r="K10" s="92" t="e">
        <f t="shared" si="2"/>
        <v>#N/A</v>
      </c>
      <c r="L10" s="84">
        <v>1115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249</v>
      </c>
      <c r="C11" s="91" t="e">
        <f>IF(ISBLANK(B11),"",VLOOKUP(B11,SÜRELER!$A:$B,2,FALSE))</f>
        <v>#N/A</v>
      </c>
      <c r="D11" s="80">
        <v>1180</v>
      </c>
      <c r="E11" s="92" t="e">
        <f>IF(ISBLANK($B11),"0",VLOOKUP($B11,SÜRELER!$A:$C,3,FALSE))*(D11-F11)</f>
        <v>#N/A</v>
      </c>
      <c r="F11" s="81">
        <v>2</v>
      </c>
      <c r="G11" s="93" t="e">
        <f>VLOOKUP(B11,'R.H.'!A$3:C$3974,3,FALSE)*D11/100</f>
        <v>#N/A</v>
      </c>
      <c r="H11" s="82">
        <f t="shared" si="1"/>
        <v>1.6949152542372881E-3</v>
      </c>
      <c r="I11" s="87" t="e">
        <f>VLOOKUP(B11,'R.H.'!A$3:C$3974,3,FALSE)/100</f>
        <v>#N/A</v>
      </c>
      <c r="J11" s="83">
        <v>0.5</v>
      </c>
      <c r="K11" s="92" t="e">
        <f t="shared" si="2"/>
        <v>#N/A</v>
      </c>
      <c r="L11" s="84">
        <v>1115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700</v>
      </c>
      <c r="C12" s="91" t="e">
        <f>IF(ISBLANK(B12),"",VLOOKUP(B12,SÜRELER!$A:$B,2,FALSE))</f>
        <v>#N/A</v>
      </c>
      <c r="D12" s="80">
        <v>786</v>
      </c>
      <c r="E12" s="92" t="e">
        <f>IF(ISBLANK($B12),"0",VLOOKUP($B12,SÜRELER!$A:$C,3,FALSE))*(D12-F12)</f>
        <v>#N/A</v>
      </c>
      <c r="F12" s="81">
        <v>6</v>
      </c>
      <c r="G12" s="93" t="e">
        <f>VLOOKUP(B12,'R.H.'!A$3:C$3974,3,FALSE)*D12/100</f>
        <v>#N/A</v>
      </c>
      <c r="H12" s="82">
        <f t="shared" si="1"/>
        <v>7.6335877862595417E-3</v>
      </c>
      <c r="I12" s="87" t="e">
        <f>VLOOKUP(B12,'R.H.'!A$3:C$3974,3,FALSE)/100</f>
        <v>#N/A</v>
      </c>
      <c r="J12" s="83">
        <v>1</v>
      </c>
      <c r="K12" s="92" t="e">
        <f t="shared" si="2"/>
        <v>#N/A</v>
      </c>
      <c r="L12" s="84">
        <v>390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1320</v>
      </c>
      <c r="C13" s="91" t="e">
        <f>IF(ISBLANK(B13),"",VLOOKUP(B13,SÜRELER!$A:$B,2,FALSE))</f>
        <v>#N/A</v>
      </c>
      <c r="D13" s="80">
        <v>223</v>
      </c>
      <c r="E13" s="92" t="e">
        <f>IF(ISBLANK($B13),"0",VLOOKUP($B13,SÜRELER!$A:$C,3,FALSE))*(D13-F13)</f>
        <v>#N/A</v>
      </c>
      <c r="F13" s="81">
        <v>4</v>
      </c>
      <c r="G13" s="93" t="e">
        <f>VLOOKUP(B13,'R.H.'!A$3:C$3974,3,FALSE)*D13/100</f>
        <v>#N/A</v>
      </c>
      <c r="H13" s="82">
        <f t="shared" si="1"/>
        <v>1.7937219730941704E-2</v>
      </c>
      <c r="I13" s="87" t="e">
        <f>VLOOKUP(B13,'R.H.'!A$3:C$3974,3,FALSE)/100</f>
        <v>#N/A</v>
      </c>
      <c r="J13" s="83">
        <v>0.5</v>
      </c>
      <c r="K13" s="92" t="e">
        <f t="shared" si="2"/>
        <v>#N/A</v>
      </c>
      <c r="L13" s="84">
        <v>157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1321</v>
      </c>
      <c r="C14" s="91" t="e">
        <f>IF(ISBLANK(B14),"",VLOOKUP(B14,SÜRELER!$A:$B,2,FALSE))</f>
        <v>#N/A</v>
      </c>
      <c r="D14" s="80">
        <v>223</v>
      </c>
      <c r="E14" s="92" t="e">
        <f>IF(ISBLANK($B14),"0",VLOOKUP($B14,SÜRELER!$A:$C,3,FALSE))*(D14-F14)</f>
        <v>#N/A</v>
      </c>
      <c r="F14" s="81">
        <v>4</v>
      </c>
      <c r="G14" s="93" t="e">
        <f>VLOOKUP(B14,'R.H.'!A$3:C$3974,3,FALSE)*D14/100</f>
        <v>#N/A</v>
      </c>
      <c r="H14" s="82">
        <f t="shared" si="1"/>
        <v>1.7937219730941704E-2</v>
      </c>
      <c r="I14" s="87" t="e">
        <f>VLOOKUP(B14,'R.H.'!A$3:C$3974,3,FALSE)/100</f>
        <v>#N/A</v>
      </c>
      <c r="J14" s="83">
        <v>0.5</v>
      </c>
      <c r="K14" s="92" t="e">
        <f t="shared" si="2"/>
        <v>#N/A</v>
      </c>
      <c r="L14" s="84">
        <v>157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2084</v>
      </c>
      <c r="C15" s="91" t="e">
        <f>IF(ISBLANK(B15),"",VLOOKUP(B15,SÜRELER!$A:$B,2,FALSE))</f>
        <v>#N/A</v>
      </c>
      <c r="D15" s="80">
        <f>224+196</f>
        <v>420</v>
      </c>
      <c r="E15" s="92" t="e">
        <f>IF(ISBLANK($B15),"0",VLOOKUP($B15,SÜRELER!$A:$C,3,FALSE))*(D15-F15)</f>
        <v>#N/A</v>
      </c>
      <c r="F15" s="81">
        <v>0</v>
      </c>
      <c r="G15" s="93" t="e">
        <f>VLOOKUP(B15,'R.H.'!A$3:C$3974,3,FALSE)*D15/100</f>
        <v>#N/A</v>
      </c>
      <c r="H15" s="82">
        <f t="shared" si="1"/>
        <v>0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986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2085</v>
      </c>
      <c r="C16" s="91" t="e">
        <f>IF(ISBLANK(B16),"",VLOOKUP(B16,SÜRELER!$A:$B,2,FALSE))</f>
        <v>#N/A</v>
      </c>
      <c r="D16" s="80">
        <v>420</v>
      </c>
      <c r="E16" s="92" t="e">
        <f>IF(ISBLANK($B16),"0",VLOOKUP($B16,SÜRELER!$A:$C,3,FALSE))*(D16-F16)</f>
        <v>#N/A</v>
      </c>
      <c r="F16" s="81">
        <v>0</v>
      </c>
      <c r="G16" s="93" t="e">
        <f>VLOOKUP(B16,'R.H.'!A$3:C$3974,3,FALSE)*D16/100</f>
        <v>#N/A</v>
      </c>
      <c r="H16" s="82">
        <f t="shared" si="1"/>
        <v>0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986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287</v>
      </c>
      <c r="C17" s="91" t="e">
        <f>IF(ISBLANK(B17),"",VLOOKUP(B17,SÜRELER!$A:$B,2,FALSE))</f>
        <v>#N/A</v>
      </c>
      <c r="D17" s="80">
        <f>180+826</f>
        <v>1006</v>
      </c>
      <c r="E17" s="92" t="e">
        <f>IF(ISBLANK($B17),"0",VLOOKUP($B17,SÜRELER!$A:$C,3,FALSE))*(D17-F17)</f>
        <v>#N/A</v>
      </c>
      <c r="F17" s="81">
        <v>4</v>
      </c>
      <c r="G17" s="93" t="e">
        <f>VLOOKUP(B17,'R.H.'!A$3:C$3974,3,FALSE)*D17/100</f>
        <v>#N/A</v>
      </c>
      <c r="H17" s="82">
        <f t="shared" si="1"/>
        <v>3.9761431411530811E-3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848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288</v>
      </c>
      <c r="C18" s="91" t="e">
        <f>IF(ISBLANK(B18),"",VLOOKUP(B18,SÜRELER!$A:$B,2,FALSE))</f>
        <v>#N/A</v>
      </c>
      <c r="D18" s="80">
        <v>1006</v>
      </c>
      <c r="E18" s="92" t="e">
        <f>IF(ISBLANK($B18),"0",VLOOKUP($B18,SÜRELER!$A:$C,3,FALSE))*(D18-F18)</f>
        <v>#N/A</v>
      </c>
      <c r="F18" s="81">
        <v>4</v>
      </c>
      <c r="G18" s="93" t="e">
        <f>VLOOKUP(B18,'R.H.'!A$3:C$3974,3,FALSE)*D18/100</f>
        <v>#N/A</v>
      </c>
      <c r="H18" s="82">
        <f t="shared" si="1"/>
        <v>3.9761431411530811E-3</v>
      </c>
      <c r="I18" s="87" t="e">
        <f>VLOOKUP(B18,'R.H.'!A$3:C$3974,3,FALSE)/100</f>
        <v>#N/A</v>
      </c>
      <c r="J18" s="83">
        <v>0.5</v>
      </c>
      <c r="K18" s="92" t="e">
        <f t="shared" si="2"/>
        <v>#N/A</v>
      </c>
      <c r="L18" s="84">
        <v>848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2011</v>
      </c>
      <c r="C19" s="91" t="e">
        <f>IF(ISBLANK(B19),"",VLOOKUP(B19,SÜRELER!$A:$B,2,FALSE))</f>
        <v>#N/A</v>
      </c>
      <c r="D19" s="80">
        <f>393+83</f>
        <v>476</v>
      </c>
      <c r="E19" s="92" t="e">
        <f>IF(ISBLANK($B19),"0",VLOOKUP($B19,SÜRELER!$A:$C,3,FALSE))*(D19-F19)</f>
        <v>#N/A</v>
      </c>
      <c r="F19" s="81">
        <v>19</v>
      </c>
      <c r="G19" s="93" t="e">
        <f>VLOOKUP(B19,'R.H.'!A$3:C$3974,3,FALSE)*D19/100</f>
        <v>#N/A</v>
      </c>
      <c r="H19" s="82">
        <f t="shared" si="1"/>
        <v>3.9915966386554619E-2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320</v>
      </c>
      <c r="M19" s="84"/>
      <c r="N19" s="94" t="e">
        <f t="shared" si="3"/>
        <v>#N/A</v>
      </c>
      <c r="O19" s="88" t="e">
        <f t="shared" si="0"/>
        <v>#N/A</v>
      </c>
      <c r="P19" s="193" t="s">
        <v>3401</v>
      </c>
      <c r="Q19" s="5"/>
      <c r="R19" s="5"/>
    </row>
    <row r="20" spans="1:18" s="4" customFormat="1" ht="16.5" customHeight="1" x14ac:dyDescent="0.25">
      <c r="A20" s="85">
        <v>16</v>
      </c>
      <c r="B20" s="86">
        <v>2012</v>
      </c>
      <c r="C20" s="91" t="e">
        <f>IF(ISBLANK(B20),"",VLOOKUP(B20,SÜRELER!$A:$B,2,FALSE))</f>
        <v>#N/A</v>
      </c>
      <c r="D20" s="80">
        <v>476</v>
      </c>
      <c r="E20" s="92" t="e">
        <f>IF(ISBLANK($B20),"0",VLOOKUP($B20,SÜRELER!$A:$C,3,FALSE))*(D20-F20)</f>
        <v>#N/A</v>
      </c>
      <c r="F20" s="81">
        <v>19</v>
      </c>
      <c r="G20" s="93" t="e">
        <f>VLOOKUP(B20,'R.H.'!A$3:C$3974,3,FALSE)*D20/100</f>
        <v>#N/A</v>
      </c>
      <c r="H20" s="82">
        <f t="shared" si="1"/>
        <v>3.9915966386554619E-2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320</v>
      </c>
      <c r="M20" s="84"/>
      <c r="N20" s="94" t="e">
        <f t="shared" si="3"/>
        <v>#N/A</v>
      </c>
      <c r="O20" s="88" t="e">
        <f t="shared" si="0"/>
        <v>#N/A</v>
      </c>
      <c r="P20" s="197"/>
      <c r="Q20" s="5"/>
      <c r="R20" s="5"/>
    </row>
    <row r="21" spans="1:18" s="4" customFormat="1" ht="16.5" x14ac:dyDescent="0.25">
      <c r="A21" s="90">
        <v>17</v>
      </c>
      <c r="B21" s="86">
        <v>1577</v>
      </c>
      <c r="C21" s="91" t="e">
        <f>IF(ISBLANK(B21),"",VLOOKUP(B21,SÜRELER!$A:$B,2,FALSE))</f>
        <v>#N/A</v>
      </c>
      <c r="D21" s="80">
        <v>476</v>
      </c>
      <c r="E21" s="92" t="e">
        <f>IF(ISBLANK($B21),"0",VLOOKUP($B21,SÜRELER!$A:$C,3,FALSE))*(D21-F21)</f>
        <v>#N/A</v>
      </c>
      <c r="F21" s="81">
        <v>19</v>
      </c>
      <c r="G21" s="93" t="e">
        <f>VLOOKUP(B21,'R.H.'!A$3:C$3974,3,FALSE)*D21/100</f>
        <v>#N/A</v>
      </c>
      <c r="H21" s="82">
        <f t="shared" si="1"/>
        <v>3.9915966386554619E-2</v>
      </c>
      <c r="I21" s="87" t="e">
        <f>VLOOKUP(B21,'R.H.'!A$3:C$3974,3,FALSE)/100</f>
        <v>#N/A</v>
      </c>
      <c r="J21" s="83">
        <v>0.5</v>
      </c>
      <c r="K21" s="92" t="e">
        <f t="shared" si="2"/>
        <v>#N/A</v>
      </c>
      <c r="L21" s="84">
        <v>320</v>
      </c>
      <c r="M21" s="84"/>
      <c r="N21" s="94" t="e">
        <f t="shared" si="3"/>
        <v>#N/A</v>
      </c>
      <c r="O21" s="88" t="e">
        <f t="shared" si="0"/>
        <v>#N/A</v>
      </c>
      <c r="P21" s="197"/>
      <c r="Q21" s="5"/>
      <c r="R21" s="5"/>
    </row>
    <row r="22" spans="1:18" s="4" customFormat="1" ht="16.5" customHeight="1" x14ac:dyDescent="0.25">
      <c r="A22" s="85">
        <v>18</v>
      </c>
      <c r="B22" s="86">
        <v>1578</v>
      </c>
      <c r="C22" s="91" t="e">
        <f>IF(ISBLANK(B22),"",VLOOKUP(B22,SÜRELER!$A:$B,2,FALSE))</f>
        <v>#N/A</v>
      </c>
      <c r="D22" s="80">
        <v>476</v>
      </c>
      <c r="E22" s="92" t="e">
        <f>IF(ISBLANK($B22),"0",VLOOKUP($B22,SÜRELER!$A:$C,3,FALSE))*(D22-F22)</f>
        <v>#N/A</v>
      </c>
      <c r="F22" s="81">
        <v>19</v>
      </c>
      <c r="G22" s="93" t="e">
        <f>VLOOKUP(B22,'R.H.'!A$3:C$3974,3,FALSE)*D22/100</f>
        <v>#N/A</v>
      </c>
      <c r="H22" s="82">
        <f t="shared" si="1"/>
        <v>3.9915966386554619E-2</v>
      </c>
      <c r="I22" s="87" t="e">
        <f>VLOOKUP(B22,'R.H.'!A$3:C$3974,3,FALSE)/100</f>
        <v>#N/A</v>
      </c>
      <c r="J22" s="83">
        <v>0.5</v>
      </c>
      <c r="K22" s="92" t="e">
        <f t="shared" si="2"/>
        <v>#N/A</v>
      </c>
      <c r="L22" s="84">
        <v>320</v>
      </c>
      <c r="M22" s="84"/>
      <c r="N22" s="94" t="e">
        <f t="shared" si="3"/>
        <v>#N/A</v>
      </c>
      <c r="O22" s="88" t="e">
        <f t="shared" si="0"/>
        <v>#N/A</v>
      </c>
      <c r="P22" s="194"/>
      <c r="Q22" s="5"/>
      <c r="R22" s="5"/>
    </row>
    <row r="23" spans="1:18" s="4" customFormat="1" ht="16.5" customHeight="1" x14ac:dyDescent="0.25">
      <c r="A23" s="90">
        <v>19</v>
      </c>
      <c r="B23" s="86">
        <v>710</v>
      </c>
      <c r="C23" s="91" t="e">
        <f>IF(ISBLANK(B23),"",VLOOKUP(B23,SÜRELER!$A:$B,2,FALSE))</f>
        <v>#N/A</v>
      </c>
      <c r="D23" s="80">
        <f>734+395</f>
        <v>1129</v>
      </c>
      <c r="E23" s="92" t="e">
        <f>IF(ISBLANK($B23),"0",VLOOKUP($B23,SÜRELER!$A:$C,3,FALSE))*(D23-F23)</f>
        <v>#N/A</v>
      </c>
      <c r="F23" s="81">
        <v>7</v>
      </c>
      <c r="G23" s="93" t="e">
        <f>VLOOKUP(B23,'R.H.'!A$3:C$3974,3,FALSE)*D23/100</f>
        <v>#N/A</v>
      </c>
      <c r="H23" s="82">
        <f t="shared" si="1"/>
        <v>6.2001771479185119E-3</v>
      </c>
      <c r="I23" s="87" t="e">
        <f>VLOOKUP(B23,'R.H.'!A$3:C$3974,3,FALSE)/100</f>
        <v>#N/A</v>
      </c>
      <c r="J23" s="83">
        <v>0.5</v>
      </c>
      <c r="K23" s="92" t="e">
        <f t="shared" si="2"/>
        <v>#N/A</v>
      </c>
      <c r="L23" s="84">
        <v>1219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711</v>
      </c>
      <c r="C24" s="91" t="e">
        <f>IF(ISBLANK(B24),"",VLOOKUP(B24,SÜRELER!$A:$B,2,FALSE))</f>
        <v>#N/A</v>
      </c>
      <c r="D24" s="80">
        <v>1129</v>
      </c>
      <c r="E24" s="92" t="e">
        <f>IF(ISBLANK($B24),"0",VLOOKUP($B24,SÜRELER!$A:$C,3,FALSE))*(D24-F24)</f>
        <v>#N/A</v>
      </c>
      <c r="F24" s="81">
        <v>7</v>
      </c>
      <c r="G24" s="93" t="e">
        <f>VLOOKUP(B24,'R.H.'!A$3:C$3974,3,FALSE)*D24/100</f>
        <v>#N/A</v>
      </c>
      <c r="H24" s="82">
        <f t="shared" si="1"/>
        <v>6.2001771479185119E-3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1219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2091</v>
      </c>
      <c r="C25" s="91" t="e">
        <f>IF(ISBLANK(B25),"",VLOOKUP(B25,SÜRELER!$A:$B,2,FALSE))</f>
        <v>#N/A</v>
      </c>
      <c r="D25" s="80">
        <v>116</v>
      </c>
      <c r="E25" s="92" t="e">
        <f>IF(ISBLANK($B25),"0",VLOOKUP($B25,SÜRELER!$A:$C,3,FALSE))*(D25-F25)</f>
        <v>#N/A</v>
      </c>
      <c r="F25" s="81">
        <v>4</v>
      </c>
      <c r="G25" s="93" t="e">
        <f>VLOOKUP(B25,'R.H.'!A$3:C$3974,3,FALSE)*D25/100</f>
        <v>#N/A</v>
      </c>
      <c r="H25" s="82">
        <f t="shared" si="1"/>
        <v>3.4482758620689655E-2</v>
      </c>
      <c r="I25" s="87" t="e">
        <f>VLOOKUP(B25,'R.H.'!A$3:C$3974,3,FALSE)/100</f>
        <v>#N/A</v>
      </c>
      <c r="J25" s="83">
        <v>1</v>
      </c>
      <c r="K25" s="92" t="e">
        <f t="shared" si="2"/>
        <v>#N/A</v>
      </c>
      <c r="L25" s="84">
        <v>135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1244</v>
      </c>
      <c r="C26" s="91" t="e">
        <f>IF(ISBLANK(B26),"",VLOOKUP(B26,SÜRELER!$A:$B,2,FALSE))</f>
        <v>#N/A</v>
      </c>
      <c r="D26" s="80">
        <f>56+153</f>
        <v>209</v>
      </c>
      <c r="E26" s="92" t="e">
        <f>IF(ISBLANK($B26),"0",VLOOKUP($B26,SÜRELER!$A:$C,3,FALSE))*(D26-F26)</f>
        <v>#N/A</v>
      </c>
      <c r="F26" s="81">
        <v>6</v>
      </c>
      <c r="G26" s="93" t="e">
        <f>VLOOKUP(B26,'R.H.'!A$3:C$3974,3,FALSE)*D26/100</f>
        <v>#N/A</v>
      </c>
      <c r="H26" s="82">
        <f t="shared" si="1"/>
        <v>2.8708133971291867E-2</v>
      </c>
      <c r="I26" s="87" t="e">
        <f>VLOOKUP(B26,'R.H.'!A$3:C$3974,3,FALSE)/100</f>
        <v>#N/A</v>
      </c>
      <c r="J26" s="83">
        <v>0.5</v>
      </c>
      <c r="K26" s="92" t="e">
        <f t="shared" si="2"/>
        <v>#N/A</v>
      </c>
      <c r="L26" s="84">
        <v>355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1245</v>
      </c>
      <c r="C27" s="91" t="e">
        <f>IF(ISBLANK(B27),"",VLOOKUP(B27,SÜRELER!$A:$B,2,FALSE))</f>
        <v>#N/A</v>
      </c>
      <c r="D27" s="80">
        <v>209</v>
      </c>
      <c r="E27" s="92" t="e">
        <f>IF(ISBLANK($B27),"0",VLOOKUP($B27,SÜRELER!$A:$C,3,FALSE))*(D27-F27)</f>
        <v>#N/A</v>
      </c>
      <c r="F27" s="81">
        <v>6</v>
      </c>
      <c r="G27" s="93" t="e">
        <f>VLOOKUP(B27,'R.H.'!A$3:C$3974,3,FALSE)*D27/100</f>
        <v>#N/A</v>
      </c>
      <c r="H27" s="82">
        <f t="shared" si="1"/>
        <v>2.8708133971291867E-2</v>
      </c>
      <c r="I27" s="87" t="e">
        <f>VLOOKUP(B27,'R.H.'!A$3:C$3974,3,FALSE)/100</f>
        <v>#N/A</v>
      </c>
      <c r="J27" s="83">
        <v>0.5</v>
      </c>
      <c r="K27" s="92" t="e">
        <f t="shared" si="2"/>
        <v>#N/A</v>
      </c>
      <c r="L27" s="84">
        <v>355</v>
      </c>
      <c r="M27" s="84"/>
      <c r="N27" s="94" t="e">
        <f t="shared" si="3"/>
        <v>#N/A</v>
      </c>
      <c r="O27" s="88" t="e">
        <f t="shared" si="0"/>
        <v>#N/A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>
        <v>1078</v>
      </c>
      <c r="C28" s="91" t="e">
        <f>IF(ISBLANK(B28),"",VLOOKUP(B28,SÜRELER!$A:$B,2,FALSE))</f>
        <v>#N/A</v>
      </c>
      <c r="D28" s="80">
        <v>417</v>
      </c>
      <c r="E28" s="92" t="e">
        <f>IF(ISBLANK($B28),"0",VLOOKUP($B28,SÜRELER!$A:$C,3,FALSE))*(D28-F28)</f>
        <v>#N/A</v>
      </c>
      <c r="F28" s="81">
        <v>3</v>
      </c>
      <c r="G28" s="93" t="e">
        <f>VLOOKUP(B28,'R.H.'!A$3:C$3974,3,FALSE)*D28/100</f>
        <v>#N/A</v>
      </c>
      <c r="H28" s="82">
        <f t="shared" si="1"/>
        <v>7.1942446043165471E-3</v>
      </c>
      <c r="I28" s="87" t="e">
        <f>VLOOKUP(B28,'R.H.'!A$3:C$3974,3,FALSE)/100</f>
        <v>#N/A</v>
      </c>
      <c r="J28" s="83">
        <v>1</v>
      </c>
      <c r="K28" s="92" t="e">
        <f t="shared" si="2"/>
        <v>#N/A</v>
      </c>
      <c r="L28" s="84">
        <v>210</v>
      </c>
      <c r="M28" s="84"/>
      <c r="N28" s="94" t="e">
        <f t="shared" si="3"/>
        <v>#N/A</v>
      </c>
      <c r="O28" s="88" t="e">
        <f t="shared" si="0"/>
        <v>#N/A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>
        <v>1936</v>
      </c>
      <c r="C29" s="91" t="e">
        <f>IF(ISBLANK(B29),"",VLOOKUP(B29,SÜRELER!$A:$B,2,FALSE))</f>
        <v>#N/A</v>
      </c>
      <c r="D29" s="80">
        <v>115</v>
      </c>
      <c r="E29" s="92" t="e">
        <f>IF(ISBLANK($B29),"0",VLOOKUP($B29,SÜRELER!$A:$C,3,FALSE))*(D29-F29)</f>
        <v>#N/A</v>
      </c>
      <c r="F29" s="81">
        <v>0</v>
      </c>
      <c r="G29" s="93" t="e">
        <f>VLOOKUP(B29,'R.H.'!A$3:C$3974,3,FALSE)*D29/100</f>
        <v>#N/A</v>
      </c>
      <c r="H29" s="82">
        <f t="shared" si="1"/>
        <v>0</v>
      </c>
      <c r="I29" s="87" t="e">
        <f>VLOOKUP(B29,'R.H.'!A$3:C$3974,3,FALSE)/100</f>
        <v>#N/A</v>
      </c>
      <c r="J29" s="83">
        <v>1</v>
      </c>
      <c r="K29" s="92" t="e">
        <f t="shared" si="2"/>
        <v>#N/A</v>
      </c>
      <c r="L29" s="84">
        <v>580</v>
      </c>
      <c r="M29" s="84"/>
      <c r="N29" s="94" t="e">
        <f t="shared" si="3"/>
        <v>#N/A</v>
      </c>
      <c r="O29" s="88" t="e">
        <f t="shared" si="0"/>
        <v>#N/A</v>
      </c>
      <c r="P29" s="119"/>
      <c r="Q29" s="5"/>
      <c r="R29" s="5"/>
    </row>
    <row r="30" spans="1:18" s="4" customFormat="1" ht="16.5" x14ac:dyDescent="0.25">
      <c r="A30" s="85">
        <v>26</v>
      </c>
      <c r="B30" s="86">
        <v>98</v>
      </c>
      <c r="C30" s="91" t="e">
        <f>IF(ISBLANK(B30),"",VLOOKUP(B30,SÜRELER!$A:$B,2,FALSE))</f>
        <v>#N/A</v>
      </c>
      <c r="D30" s="80">
        <f>14+224</f>
        <v>238</v>
      </c>
      <c r="E30" s="92" t="e">
        <f>IF(ISBLANK($B30),"0",VLOOKUP($B30,SÜRELER!$A:$C,3,FALSE))*(D30-F30)</f>
        <v>#N/A</v>
      </c>
      <c r="F30" s="81">
        <v>10</v>
      </c>
      <c r="G30" s="93" t="e">
        <f>VLOOKUP(B30,'R.H.'!A$3:C$3974,3,FALSE)*D30/100</f>
        <v>#N/A</v>
      </c>
      <c r="H30" s="82">
        <f t="shared" si="1"/>
        <v>4.2016806722689079E-2</v>
      </c>
      <c r="I30" s="87" t="e">
        <f>VLOOKUP(B30,'R.H.'!A$3:C$3974,3,FALSE)/100</f>
        <v>#N/A</v>
      </c>
      <c r="J30" s="83">
        <v>0.5</v>
      </c>
      <c r="K30" s="92" t="e">
        <f t="shared" si="2"/>
        <v>#N/A</v>
      </c>
      <c r="L30" s="84">
        <v>395</v>
      </c>
      <c r="M30" s="84"/>
      <c r="N30" s="94" t="e">
        <f t="shared" si="3"/>
        <v>#N/A</v>
      </c>
      <c r="O30" s="88" t="e">
        <f t="shared" si="0"/>
        <v>#N/A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>
        <v>99</v>
      </c>
      <c r="C31" s="91" t="e">
        <f>IF(ISBLANK(B31),"",VLOOKUP(B31,SÜRELER!$A:$B,2,FALSE))</f>
        <v>#N/A</v>
      </c>
      <c r="D31" s="80">
        <v>238</v>
      </c>
      <c r="E31" s="92" t="e">
        <f>IF(ISBLANK($B31),"0",VLOOKUP($B31,SÜRELER!$A:$C,3,FALSE))*(D31-F31)</f>
        <v>#N/A</v>
      </c>
      <c r="F31" s="81">
        <v>10</v>
      </c>
      <c r="G31" s="93" t="e">
        <f>VLOOKUP(B31,'R.H.'!A$3:C$3974,3,FALSE)*D31/100</f>
        <v>#N/A</v>
      </c>
      <c r="H31" s="82">
        <f t="shared" si="1"/>
        <v>4.2016806722689079E-2</v>
      </c>
      <c r="I31" s="87" t="e">
        <f>VLOOKUP(B31,'R.H.'!A$3:C$3974,3,FALSE)/100</f>
        <v>#N/A</v>
      </c>
      <c r="J31" s="83">
        <v>0.5</v>
      </c>
      <c r="K31" s="92" t="e">
        <f t="shared" si="2"/>
        <v>#N/A</v>
      </c>
      <c r="L31" s="84">
        <v>395</v>
      </c>
      <c r="M31" s="84"/>
      <c r="N31" s="94" t="e">
        <f t="shared" si="3"/>
        <v>#N/A</v>
      </c>
      <c r="O31" s="88" t="e">
        <f t="shared" si="0"/>
        <v>#N/A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>
        <v>1012</v>
      </c>
      <c r="C32" s="91" t="e">
        <f>IF(ISBLANK(B32),"",VLOOKUP(B32,SÜRELER!$A:$B,2,FALSE))</f>
        <v>#N/A</v>
      </c>
      <c r="D32" s="80">
        <v>222</v>
      </c>
      <c r="E32" s="92" t="e">
        <f>IF(ISBLANK($B32),"0",VLOOKUP($B32,SÜRELER!$A:$C,3,FALSE))*(D32-F32)</f>
        <v>#N/A</v>
      </c>
      <c r="F32" s="81">
        <v>4</v>
      </c>
      <c r="G32" s="93" t="e">
        <f>VLOOKUP(B32,'R.H.'!A$3:C$3974,3,FALSE)*D32/100</f>
        <v>#N/A</v>
      </c>
      <c r="H32" s="82">
        <f t="shared" si="1"/>
        <v>1.8018018018018018E-2</v>
      </c>
      <c r="I32" s="87" t="e">
        <f>VLOOKUP(B32,'R.H.'!A$3:C$3974,3,FALSE)/100</f>
        <v>#N/A</v>
      </c>
      <c r="J32" s="83">
        <v>0.5</v>
      </c>
      <c r="K32" s="92" t="e">
        <f t="shared" si="2"/>
        <v>#N/A</v>
      </c>
      <c r="L32" s="84">
        <v>235</v>
      </c>
      <c r="M32" s="84"/>
      <c r="N32" s="94" t="e">
        <f t="shared" si="3"/>
        <v>#N/A</v>
      </c>
      <c r="O32" s="88" t="e">
        <f t="shared" si="0"/>
        <v>#N/A</v>
      </c>
      <c r="P32" s="119"/>
      <c r="Q32" s="5"/>
      <c r="R32" s="5"/>
    </row>
    <row r="33" spans="1:18" s="4" customFormat="1" ht="16.5" x14ac:dyDescent="0.25">
      <c r="A33" s="90">
        <v>29</v>
      </c>
      <c r="B33" s="86">
        <v>1013</v>
      </c>
      <c r="C33" s="91" t="e">
        <f>IF(ISBLANK(B33),"",VLOOKUP(B33,SÜRELER!$A:$B,2,FALSE))</f>
        <v>#N/A</v>
      </c>
      <c r="D33" s="80">
        <v>222</v>
      </c>
      <c r="E33" s="92" t="e">
        <f>IF(ISBLANK($B33),"0",VLOOKUP($B33,SÜRELER!$A:$C,3,FALSE))*(D33-F33)</f>
        <v>#N/A</v>
      </c>
      <c r="F33" s="81">
        <v>4</v>
      </c>
      <c r="G33" s="93" t="e">
        <f>VLOOKUP(B33,'R.H.'!A$3:C$3974,3,FALSE)*D33/100</f>
        <v>#N/A</v>
      </c>
      <c r="H33" s="82">
        <f t="shared" si="1"/>
        <v>1.8018018018018018E-2</v>
      </c>
      <c r="I33" s="87" t="e">
        <f>VLOOKUP(B33,'R.H.'!A$3:C$3974,3,FALSE)/100</f>
        <v>#N/A</v>
      </c>
      <c r="J33" s="83">
        <v>0.5</v>
      </c>
      <c r="K33" s="92" t="e">
        <f t="shared" si="2"/>
        <v>#N/A</v>
      </c>
      <c r="L33" s="84">
        <v>235</v>
      </c>
      <c r="M33" s="84"/>
      <c r="N33" s="94" t="e">
        <f t="shared" si="3"/>
        <v>#N/A</v>
      </c>
      <c r="O33" s="88" t="e">
        <f t="shared" si="0"/>
        <v>#N/A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>
        <v>1073</v>
      </c>
      <c r="C34" s="91" t="e">
        <f>IF(ISBLANK(B34),"",VLOOKUP(B34,SÜRELER!$A:$B,2,FALSE))</f>
        <v>#N/A</v>
      </c>
      <c r="D34" s="80">
        <v>366</v>
      </c>
      <c r="E34" s="92" t="e">
        <f>IF(ISBLANK($B34),"0",VLOOKUP($B34,SÜRELER!$A:$C,3,FALSE))*(D34-F34)</f>
        <v>#N/A</v>
      </c>
      <c r="F34" s="81">
        <v>8</v>
      </c>
      <c r="G34" s="93" t="e">
        <f>VLOOKUP(B34,'R.H.'!A$3:C$3974,3,FALSE)*D34/100</f>
        <v>#N/A</v>
      </c>
      <c r="H34" s="82">
        <f t="shared" si="1"/>
        <v>2.185792349726776E-2</v>
      </c>
      <c r="I34" s="87" t="e">
        <f>VLOOKUP(B34,'R.H.'!A$3:C$3974,3,FALSE)/100</f>
        <v>#N/A</v>
      </c>
      <c r="J34" s="83">
        <v>0.5</v>
      </c>
      <c r="K34" s="92" t="e">
        <f t="shared" si="2"/>
        <v>#N/A</v>
      </c>
      <c r="L34" s="84">
        <v>365</v>
      </c>
      <c r="M34" s="84"/>
      <c r="N34" s="94" t="e">
        <f t="shared" si="3"/>
        <v>#N/A</v>
      </c>
      <c r="O34" s="88" t="e">
        <f t="shared" si="0"/>
        <v>#N/A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>
        <v>1078</v>
      </c>
      <c r="C35" s="91" t="e">
        <f>IF(ISBLANK(B35),"",VLOOKUP(B35,SÜRELER!$A:$B,2,FALSE))</f>
        <v>#N/A</v>
      </c>
      <c r="D35" s="80">
        <v>293</v>
      </c>
      <c r="E35" s="92" t="e">
        <f>IF(ISBLANK($B35),"0",VLOOKUP($B35,SÜRELER!$A:$C,3,FALSE))*(D35-F35)</f>
        <v>#N/A</v>
      </c>
      <c r="F35" s="81">
        <v>5</v>
      </c>
      <c r="G35" s="93" t="e">
        <f>VLOOKUP(B35,'R.H.'!A$3:C$3974,3,FALSE)*D35/100</f>
        <v>#N/A</v>
      </c>
      <c r="H35" s="82">
        <f t="shared" si="1"/>
        <v>1.7064846416382253E-2</v>
      </c>
      <c r="I35" s="87" t="e">
        <f>VLOOKUP(B35,'R.H.'!A$3:C$3974,3,FALSE)/100</f>
        <v>#N/A</v>
      </c>
      <c r="J35" s="83">
        <v>0.5</v>
      </c>
      <c r="K35" s="92" t="e">
        <f t="shared" si="2"/>
        <v>#N/A</v>
      </c>
      <c r="L35" s="84">
        <v>295</v>
      </c>
      <c r="M35" s="84"/>
      <c r="N35" s="94" t="e">
        <f t="shared" si="3"/>
        <v>#N/A</v>
      </c>
      <c r="O35" s="88" t="e">
        <f t="shared" si="0"/>
        <v>#N/A</v>
      </c>
      <c r="P35" s="119"/>
      <c r="Q35" s="5"/>
      <c r="R35" s="5"/>
    </row>
    <row r="36" spans="1:18" s="4" customFormat="1" ht="16.5" x14ac:dyDescent="0.25">
      <c r="A36" s="85">
        <v>32</v>
      </c>
      <c r="B36" s="86">
        <v>203</v>
      </c>
      <c r="C36" s="91" t="e">
        <f>IF(ISBLANK(B36),"",VLOOKUP(B36,SÜRELER!$A:$B,2,FALSE))</f>
        <v>#N/A</v>
      </c>
      <c r="D36" s="80">
        <v>398</v>
      </c>
      <c r="E36" s="92" t="e">
        <f>IF(ISBLANK($B36),"0",VLOOKUP($B36,SÜRELER!$A:$C,3,FALSE))*(D36-F36)</f>
        <v>#N/A</v>
      </c>
      <c r="F36" s="81">
        <v>20</v>
      </c>
      <c r="G36" s="93" t="e">
        <f>VLOOKUP(B36,'R.H.'!A$3:C$3974,3,FALSE)*D36/100</f>
        <v>#N/A</v>
      </c>
      <c r="H36" s="82">
        <f t="shared" si="1"/>
        <v>5.0251256281407038E-2</v>
      </c>
      <c r="I36" s="87" t="e">
        <f>VLOOKUP(B36,'R.H.'!A$3:C$3974,3,FALSE)/100</f>
        <v>#N/A</v>
      </c>
      <c r="J36" s="83">
        <v>0.5</v>
      </c>
      <c r="K36" s="92" t="e">
        <f t="shared" si="2"/>
        <v>#N/A</v>
      </c>
      <c r="L36" s="84">
        <v>490</v>
      </c>
      <c r="M36" s="84"/>
      <c r="N36" s="94" t="e">
        <f t="shared" si="3"/>
        <v>#N/A</v>
      </c>
      <c r="O36" s="88" t="e">
        <f t="shared" si="0"/>
        <v>#N/A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>
        <v>204</v>
      </c>
      <c r="C37" s="91" t="e">
        <f>IF(ISBLANK(B37),"",VLOOKUP(B37,SÜRELER!$A:$B,2,FALSE))</f>
        <v>#N/A</v>
      </c>
      <c r="D37" s="80">
        <v>398</v>
      </c>
      <c r="E37" s="92" t="e">
        <f>IF(ISBLANK($B37),"0",VLOOKUP($B37,SÜRELER!$A:$C,3,FALSE))*(D37-F37)</f>
        <v>#N/A</v>
      </c>
      <c r="F37" s="81">
        <v>20</v>
      </c>
      <c r="G37" s="93" t="e">
        <f>VLOOKUP(B37,'R.H.'!A$3:C$3974,3,FALSE)*D37/100</f>
        <v>#N/A</v>
      </c>
      <c r="H37" s="82">
        <f t="shared" si="1"/>
        <v>5.0251256281407038E-2</v>
      </c>
      <c r="I37" s="87" t="e">
        <f>VLOOKUP(B37,'R.H.'!A$3:C$3974,3,FALSE)/100</f>
        <v>#N/A</v>
      </c>
      <c r="J37" s="83">
        <v>0.5</v>
      </c>
      <c r="K37" s="92" t="e">
        <f t="shared" si="2"/>
        <v>#N/A</v>
      </c>
      <c r="L37" s="84">
        <v>490</v>
      </c>
      <c r="M37" s="84"/>
      <c r="N37" s="94" t="e">
        <f t="shared" si="3"/>
        <v>#N/A</v>
      </c>
      <c r="O37" s="88" t="e">
        <f t="shared" si="0"/>
        <v>#N/A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>
        <v>97</v>
      </c>
      <c r="C38" s="91" t="e">
        <f>IF(ISBLANK(B38),"",VLOOKUP(B38,SÜRELER!$A:$B,2,FALSE))</f>
        <v>#N/A</v>
      </c>
      <c r="D38" s="80">
        <v>61</v>
      </c>
      <c r="E38" s="92" t="e">
        <f>IF(ISBLANK($B38),"0",VLOOKUP($B38,SÜRELER!$A:$C,3,FALSE))*(D38-F38)</f>
        <v>#N/A</v>
      </c>
      <c r="F38" s="81">
        <v>8</v>
      </c>
      <c r="G38" s="93" t="e">
        <f>VLOOKUP(B38,'R.H.'!A$3:C$3974,3,FALSE)*D38/100</f>
        <v>#N/A</v>
      </c>
      <c r="H38" s="82">
        <f t="shared" si="1"/>
        <v>0.13114754098360656</v>
      </c>
      <c r="I38" s="87" t="e">
        <f>VLOOKUP(B38,'R.H.'!A$3:C$3974,3,FALSE)/100</f>
        <v>#N/A</v>
      </c>
      <c r="J38" s="83">
        <v>1</v>
      </c>
      <c r="K38" s="92" t="e">
        <f t="shared" si="2"/>
        <v>#N/A</v>
      </c>
      <c r="L38" s="84">
        <v>55</v>
      </c>
      <c r="M38" s="84"/>
      <c r="N38" s="94" t="e">
        <f t="shared" si="3"/>
        <v>#N/A</v>
      </c>
      <c r="O38" s="88" t="e">
        <f t="shared" si="0"/>
        <v>#N/A</v>
      </c>
      <c r="P38" s="119"/>
      <c r="Q38" s="5"/>
      <c r="R38" s="5"/>
    </row>
    <row r="39" spans="1:18" s="4" customFormat="1" ht="16.5" x14ac:dyDescent="0.25">
      <c r="A39" s="90">
        <v>35</v>
      </c>
      <c r="B39" s="86">
        <v>1936</v>
      </c>
      <c r="C39" s="91" t="e">
        <f>IF(ISBLANK(B39),"",VLOOKUP(B39,SÜRELER!$A:$B,2,FALSE))</f>
        <v>#N/A</v>
      </c>
      <c r="D39" s="80">
        <v>158</v>
      </c>
      <c r="E39" s="92" t="e">
        <f>IF(ISBLANK($B39),"0",VLOOKUP($B39,SÜRELER!$A:$C,3,FALSE))*(D39-F39)</f>
        <v>#N/A</v>
      </c>
      <c r="F39" s="81">
        <v>8</v>
      </c>
      <c r="G39" s="93" t="e">
        <f>VLOOKUP(B39,'R.H.'!A$3:C$3974,3,FALSE)*D39/100</f>
        <v>#N/A</v>
      </c>
      <c r="H39" s="82">
        <f t="shared" si="1"/>
        <v>5.0632911392405063E-2</v>
      </c>
      <c r="I39" s="87" t="e">
        <f>VLOOKUP(B39,'R.H.'!A$3:C$3974,3,FALSE)/100</f>
        <v>#N/A</v>
      </c>
      <c r="J39" s="83">
        <v>1</v>
      </c>
      <c r="K39" s="92" t="e">
        <f t="shared" si="2"/>
        <v>#N/A</v>
      </c>
      <c r="L39" s="84">
        <v>760</v>
      </c>
      <c r="M39" s="84"/>
      <c r="N39" s="94" t="e">
        <f t="shared" si="3"/>
        <v>#N/A</v>
      </c>
      <c r="O39" s="88" t="e">
        <f t="shared" si="0"/>
        <v>#N/A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>
        <v>1937</v>
      </c>
      <c r="C40" s="91" t="e">
        <f>IF(ISBLANK(B40),"",VLOOKUP(B40,SÜRELER!$A:$B,2,FALSE))</f>
        <v>#N/A</v>
      </c>
      <c r="D40" s="80">
        <v>158</v>
      </c>
      <c r="E40" s="92" t="e">
        <f>IF(ISBLANK($B40),"0",VLOOKUP($B40,SÜRELER!$A:$C,3,FALSE))*(D40-F40)</f>
        <v>#N/A</v>
      </c>
      <c r="F40" s="81">
        <v>8</v>
      </c>
      <c r="G40" s="93" t="e">
        <f>VLOOKUP(B40,'R.H.'!A$3:C$3974,3,FALSE)*D40/100</f>
        <v>#N/A</v>
      </c>
      <c r="H40" s="82">
        <f t="shared" si="1"/>
        <v>5.0632911392405063E-2</v>
      </c>
      <c r="I40" s="87" t="e">
        <f>VLOOKUP(B40,'R.H.'!A$3:C$3974,3,FALSE)/100</f>
        <v>#N/A</v>
      </c>
      <c r="J40" s="83">
        <v>1</v>
      </c>
      <c r="K40" s="92" t="e">
        <f t="shared" si="2"/>
        <v>#N/A</v>
      </c>
      <c r="L40" s="84">
        <v>760</v>
      </c>
      <c r="M40" s="84"/>
      <c r="N40" s="94" t="e">
        <f t="shared" si="3"/>
        <v>#N/A</v>
      </c>
      <c r="O40" s="88" t="e">
        <f t="shared" si="0"/>
        <v>#N/A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>
        <v>726</v>
      </c>
      <c r="C41" s="91" t="e">
        <f>IF(ISBLANK(B41),"",VLOOKUP(B41,SÜRELER!$A:$B,2,FALSE))</f>
        <v>#N/A</v>
      </c>
      <c r="D41" s="80">
        <v>330</v>
      </c>
      <c r="E41" s="92" t="e">
        <f>IF(ISBLANK($B41),"0",VLOOKUP($B41,SÜRELER!$A:$C,3,FALSE))*(D41-F41)</f>
        <v>#N/A</v>
      </c>
      <c r="F41" s="81">
        <v>10</v>
      </c>
      <c r="G41" s="93" t="e">
        <f>VLOOKUP(B41,'R.H.'!A$3:C$3974,3,FALSE)*D41/100</f>
        <v>#N/A</v>
      </c>
      <c r="H41" s="82">
        <f t="shared" si="1"/>
        <v>3.0303030303030304E-2</v>
      </c>
      <c r="I41" s="87" t="e">
        <f>VLOOKUP(B41,'R.H.'!A$3:C$3974,3,FALSE)/100</f>
        <v>#N/A</v>
      </c>
      <c r="J41" s="83">
        <v>1</v>
      </c>
      <c r="K41" s="92" t="e">
        <f t="shared" si="2"/>
        <v>#N/A</v>
      </c>
      <c r="L41" s="84">
        <v>150</v>
      </c>
      <c r="M41" s="84"/>
      <c r="N41" s="94" t="e">
        <f t="shared" si="3"/>
        <v>#N/A</v>
      </c>
      <c r="O41" s="88" t="e">
        <f>K41/(L41-M41)</f>
        <v>#N/A</v>
      </c>
      <c r="P41" s="119"/>
      <c r="Q41" s="5"/>
      <c r="R41" s="5"/>
    </row>
    <row r="42" spans="1:18" s="4" customFormat="1" ht="16.5" x14ac:dyDescent="0.25">
      <c r="A42" s="85">
        <v>38</v>
      </c>
      <c r="B42" s="86">
        <v>727</v>
      </c>
      <c r="C42" s="91" t="e">
        <f>IF(ISBLANK(B42),"",VLOOKUP(B42,SÜRELER!$A:$B,2,FALSE))</f>
        <v>#N/A</v>
      </c>
      <c r="D42" s="80">
        <v>330</v>
      </c>
      <c r="E42" s="92" t="e">
        <f>IF(ISBLANK($B42),"0",VLOOKUP($B42,SÜRELER!$A:$C,3,FALSE))*(D42-F42)</f>
        <v>#N/A</v>
      </c>
      <c r="F42" s="81">
        <v>10</v>
      </c>
      <c r="G42" s="93" t="e">
        <f>VLOOKUP(B42,'R.H.'!A$3:C$3974,3,FALSE)*D42/100</f>
        <v>#N/A</v>
      </c>
      <c r="H42" s="82">
        <f t="shared" si="1"/>
        <v>3.0303030303030304E-2</v>
      </c>
      <c r="I42" s="87" t="e">
        <f>VLOOKUP(B42,'R.H.'!A$3:C$3974,3,FALSE)/100</f>
        <v>#N/A</v>
      </c>
      <c r="J42" s="83">
        <v>1</v>
      </c>
      <c r="K42" s="92" t="e">
        <f t="shared" si="2"/>
        <v>#N/A</v>
      </c>
      <c r="L42" s="84">
        <v>150</v>
      </c>
      <c r="M42" s="84"/>
      <c r="N42" s="94" t="e">
        <f t="shared" si="3"/>
        <v>#N/A</v>
      </c>
      <c r="O42" s="88" t="e">
        <f t="shared" si="0"/>
        <v>#N/A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>
        <v>2100</v>
      </c>
      <c r="C43" s="91" t="e">
        <f>IF(ISBLANK(B43),"",VLOOKUP(B43,SÜRELER!$A:$B,2,FALSE))</f>
        <v>#N/A</v>
      </c>
      <c r="D43" s="80">
        <v>373</v>
      </c>
      <c r="E43" s="92" t="e">
        <f>IF(ISBLANK($B43),"0",VLOOKUP($B43,SÜRELER!$A:$C,3,FALSE))*(D43-F43)</f>
        <v>#N/A</v>
      </c>
      <c r="F43" s="81">
        <v>5</v>
      </c>
      <c r="G43" s="93" t="e">
        <f>VLOOKUP(B43,'R.H.'!A$3:C$3974,3,FALSE)*D43/100</f>
        <v>#N/A</v>
      </c>
      <c r="H43" s="82">
        <f t="shared" si="1"/>
        <v>1.3404825737265416E-2</v>
      </c>
      <c r="I43" s="87" t="e">
        <f>VLOOKUP(B43,'R.H.'!A$3:C$3974,3,FALSE)/100</f>
        <v>#N/A</v>
      </c>
      <c r="J43" s="83">
        <v>0.5</v>
      </c>
      <c r="K43" s="92" t="e">
        <f t="shared" si="2"/>
        <v>#N/A</v>
      </c>
      <c r="L43" s="84">
        <v>445</v>
      </c>
      <c r="M43" s="84"/>
      <c r="N43" s="94" t="e">
        <f t="shared" si="3"/>
        <v>#N/A</v>
      </c>
      <c r="O43" s="88" t="e">
        <f t="shared" si="0"/>
        <v>#N/A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>
        <v>2101</v>
      </c>
      <c r="C44" s="91" t="e">
        <f>IF(ISBLANK(B44),"",VLOOKUP(B44,SÜRELER!$A:$B,2,FALSE))</f>
        <v>#N/A</v>
      </c>
      <c r="D44" s="80">
        <v>373</v>
      </c>
      <c r="E44" s="92" t="e">
        <f>IF(ISBLANK($B44),"0",VLOOKUP($B44,SÜRELER!$A:$C,3,FALSE))*(D44-F44)</f>
        <v>#N/A</v>
      </c>
      <c r="F44" s="81">
        <v>5</v>
      </c>
      <c r="G44" s="93" t="e">
        <f>VLOOKUP(B44,'R.H.'!A$3:C$3974,3,FALSE)*D44/100</f>
        <v>#N/A</v>
      </c>
      <c r="H44" s="82">
        <f t="shared" si="1"/>
        <v>1.3404825737265416E-2</v>
      </c>
      <c r="I44" s="87" t="e">
        <f>VLOOKUP(B44,'R.H.'!A$3:C$3974,3,FALSE)/100</f>
        <v>#N/A</v>
      </c>
      <c r="J44" s="83">
        <v>0.5</v>
      </c>
      <c r="K44" s="92" t="e">
        <f t="shared" si="2"/>
        <v>#N/A</v>
      </c>
      <c r="L44" s="84">
        <v>445</v>
      </c>
      <c r="M44" s="84"/>
      <c r="N44" s="94" t="e">
        <f t="shared" si="3"/>
        <v>#N/A</v>
      </c>
      <c r="O44" s="88" t="e">
        <f t="shared" si="0"/>
        <v>#N/A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21794</v>
      </c>
      <c r="E45" s="26" t="e">
        <f>SUM(E5:E44)</f>
        <v>#N/A</v>
      </c>
      <c r="F45" s="26">
        <f>SUM(F5:F44)</f>
        <v>346</v>
      </c>
      <c r="G45" s="26"/>
      <c r="H45" s="26"/>
      <c r="I45" s="26"/>
      <c r="J45" s="26"/>
      <c r="K45" s="26"/>
      <c r="L45" s="26">
        <f>SUM(L5:L44)</f>
        <v>21665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1.5875929154813253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4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27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13690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/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13690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21794</v>
      </c>
      <c r="F63" s="24">
        <f>F45</f>
        <v>346</v>
      </c>
      <c r="G63" s="23">
        <f>(F63*1000000)/E63</f>
        <v>15875.929154813251</v>
      </c>
      <c r="H63" s="22">
        <f>D59</f>
        <v>0</v>
      </c>
      <c r="I63" s="17" t="e">
        <f>N1</f>
        <v>#N/A</v>
      </c>
    </row>
  </sheetData>
  <mergeCells count="18">
    <mergeCell ref="E57:N57"/>
    <mergeCell ref="E49:N49"/>
    <mergeCell ref="E50:N50"/>
    <mergeCell ref="E51:N51"/>
    <mergeCell ref="E53:N53"/>
    <mergeCell ref="E54:N54"/>
    <mergeCell ref="E55:N55"/>
    <mergeCell ref="P7:P8"/>
    <mergeCell ref="P19:P22"/>
    <mergeCell ref="N1:N3"/>
    <mergeCell ref="A2:B3"/>
    <mergeCell ref="E56:N56"/>
    <mergeCell ref="D46:D47"/>
    <mergeCell ref="E46:F47"/>
    <mergeCell ref="A1:B1"/>
    <mergeCell ref="C1:D2"/>
    <mergeCell ref="H1:H3"/>
    <mergeCell ref="P5:P6"/>
  </mergeCells>
  <conditionalFormatting sqref="D3">
    <cfRule type="cellIs" dxfId="29" priority="5" stopIfTrue="1" operator="lessThan">
      <formula>0.95</formula>
    </cfRule>
  </conditionalFormatting>
  <conditionalFormatting sqref="F5:F44">
    <cfRule type="cellIs" dxfId="28" priority="1" stopIfTrue="1" operator="greaterThan">
      <formula>$G5</formula>
    </cfRule>
  </conditionalFormatting>
  <conditionalFormatting sqref="H5:H44">
    <cfRule type="cellIs" dxfId="27" priority="2" stopIfTrue="1" operator="greaterThan">
      <formula>$I$5</formula>
    </cfRule>
  </conditionalFormatting>
  <conditionalFormatting sqref="N1:N3">
    <cfRule type="cellIs" dxfId="26" priority="4" stopIfTrue="1" operator="lessThan">
      <formula>0.8</formula>
    </cfRule>
  </conditionalFormatting>
  <conditionalFormatting sqref="N5:O44">
    <cfRule type="cellIs" dxfId="25" priority="3" stopIfTrue="1" operator="lessThan">
      <formula>0.85</formula>
    </cfRule>
  </conditionalFormatting>
  <hyperlinks>
    <hyperlink ref="P1:P3" location="'Ana Sayfa'!A1" display="ANA SAYFA" xr:uid="{5B31D92E-4B75-4933-8EEA-0904360799D4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08BD1-ADD4-4EC1-B036-A26EC8BC956E}">
  <sheetPr codeName="Sayfa27">
    <tabColor theme="0" tint="-0.14999847407452621"/>
    <pageSetUpPr fitToPage="1"/>
  </sheetPr>
  <dimension ref="A1:W63"/>
  <sheetViews>
    <sheetView workbookViewId="0">
      <selection activeCell="P11" sqref="P11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customWidth="1"/>
    <col min="6" max="6" width="5.1796875" style="2" customWidth="1"/>
    <col min="7" max="7" width="8.26953125" style="8" customWidth="1"/>
    <col min="8" max="8" width="11.1796875" style="15" customWidth="1"/>
    <col min="9" max="9" width="8.1796875" style="8" customWidth="1"/>
    <col min="10" max="10" width="6.81640625" style="66" customWidth="1"/>
    <col min="11" max="11" width="10.26953125" style="2" customWidth="1"/>
    <col min="12" max="13" width="7" style="2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'26'!A1+1</f>
        <v>46230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#DIV/0!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Pazartesi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0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/>
      <c r="C5" s="91" t="str">
        <f>IF(ISBLANK(B5),"",VLOOKUP(B5,SÜRELER!$A:$B,2,FALSE))</f>
        <v/>
      </c>
      <c r="D5" s="80"/>
      <c r="E5" s="92">
        <f>IF(ISBLANK($B5),"0",VLOOKUP($B5,SÜRELER!$A:$C,3,FALSE))*(D5-F5)</f>
        <v>0</v>
      </c>
      <c r="F5" s="81"/>
      <c r="G5" s="93" t="e">
        <f>VLOOKUP(B5,'R.H.'!A$3:C$3974,3,FALSE)*D5/100</f>
        <v>#N/A</v>
      </c>
      <c r="H5" s="82" t="e">
        <f>F5/D5</f>
        <v>#DIV/0!</v>
      </c>
      <c r="I5" s="87" t="e">
        <f>VLOOKUP(B5,'R.H.'!A$3:C$3974,3,FALSE)/100</f>
        <v>#N/A</v>
      </c>
      <c r="J5" s="83"/>
      <c r="K5" s="92" t="e">
        <f>E5/J5</f>
        <v>#DIV/0!</v>
      </c>
      <c r="L5" s="84"/>
      <c r="M5" s="84"/>
      <c r="N5" s="94" t="e">
        <f>K5/L5</f>
        <v>#DIV/0!</v>
      </c>
      <c r="O5" s="88" t="e">
        <f t="shared" ref="O5:O44" si="0">K5/(L5-M5)</f>
        <v>#DIV/0!</v>
      </c>
      <c r="P5" s="119"/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/>
      <c r="C6" s="91" t="str">
        <f>IF(ISBLANK(B6),"",VLOOKUP(B6,SÜRELER!$A:$B,2,FALSE))</f>
        <v/>
      </c>
      <c r="D6" s="80"/>
      <c r="E6" s="92">
        <f>IF(ISBLANK($B6),"0",VLOOKUP($B6,SÜRELER!$A:$C,3,FALSE))*(D6-F6)</f>
        <v>0</v>
      </c>
      <c r="F6" s="81"/>
      <c r="G6" s="93" t="e">
        <f>VLOOKUP(B6,'R.H.'!A$3:C$3974,3,FALSE)*D6/100</f>
        <v>#N/A</v>
      </c>
      <c r="H6" s="82" t="e">
        <f t="shared" ref="H6:H44" si="1">F6/D6</f>
        <v>#DIV/0!</v>
      </c>
      <c r="I6" s="87" t="e">
        <f>VLOOKUP(B6,'R.H.'!A$3:C$3974,3,FALSE)/100</f>
        <v>#N/A</v>
      </c>
      <c r="J6" s="83"/>
      <c r="K6" s="92" t="e">
        <f t="shared" ref="K6:K44" si="2">E6/J6</f>
        <v>#DIV/0!</v>
      </c>
      <c r="L6" s="84"/>
      <c r="M6" s="84"/>
      <c r="N6" s="94" t="e">
        <f t="shared" ref="N6:N44" si="3">K6/L6</f>
        <v>#DIV/0!</v>
      </c>
      <c r="O6" s="88" t="e">
        <f t="shared" si="0"/>
        <v>#DIV/0!</v>
      </c>
      <c r="P6" s="119"/>
      <c r="Q6" s="5"/>
      <c r="R6" s="5"/>
    </row>
    <row r="7" spans="1:23" s="4" customFormat="1" ht="16.5" customHeight="1" x14ac:dyDescent="0.25">
      <c r="A7" s="90">
        <v>3</v>
      </c>
      <c r="B7" s="86"/>
      <c r="C7" s="91" t="str">
        <f>IF(ISBLANK(B7),"",VLOOKUP(B7,SÜRELER!$A:$B,2,FALSE))</f>
        <v/>
      </c>
      <c r="D7" s="80"/>
      <c r="E7" s="92">
        <f>IF(ISBLANK($B7),"0",VLOOKUP($B7,SÜRELER!$A:$C,3,FALSE))*(D7-F7)</f>
        <v>0</v>
      </c>
      <c r="F7" s="81"/>
      <c r="G7" s="93" t="e">
        <f>VLOOKUP(B7,'R.H.'!A$3:C$3974,3,FALSE)*D7/100</f>
        <v>#N/A</v>
      </c>
      <c r="H7" s="82" t="e">
        <f t="shared" si="1"/>
        <v>#DIV/0!</v>
      </c>
      <c r="I7" s="87" t="e">
        <f>VLOOKUP(B7,'R.H.'!A$3:C$3974,3,FALSE)/100</f>
        <v>#N/A</v>
      </c>
      <c r="J7" s="83"/>
      <c r="K7" s="92" t="e">
        <f t="shared" si="2"/>
        <v>#DIV/0!</v>
      </c>
      <c r="L7" s="84"/>
      <c r="M7" s="84"/>
      <c r="N7" s="94" t="e">
        <f t="shared" si="3"/>
        <v>#DIV/0!</v>
      </c>
      <c r="O7" s="88" t="e">
        <f t="shared" si="0"/>
        <v>#DIV/0!</v>
      </c>
      <c r="P7" s="119"/>
      <c r="Q7" s="5"/>
      <c r="R7" s="5"/>
    </row>
    <row r="8" spans="1:23" s="4" customFormat="1" ht="16.5" customHeight="1" x14ac:dyDescent="0.25">
      <c r="A8" s="85">
        <v>4</v>
      </c>
      <c r="B8" s="86"/>
      <c r="C8" s="91" t="str">
        <f>IF(ISBLANK(B8),"",VLOOKUP(B8,SÜRELER!$A:$B,2,FALSE))</f>
        <v/>
      </c>
      <c r="D8" s="80"/>
      <c r="E8" s="92">
        <f>IF(ISBLANK($B8),"0",VLOOKUP($B8,SÜRELER!$A:$C,3,FALSE))*(D8-F8)</f>
        <v>0</v>
      </c>
      <c r="F8" s="81"/>
      <c r="G8" s="93" t="e">
        <f>VLOOKUP(B8,'R.H.'!A$3:C$3974,3,FALSE)*D8/100</f>
        <v>#N/A</v>
      </c>
      <c r="H8" s="82" t="e">
        <f t="shared" si="1"/>
        <v>#DIV/0!</v>
      </c>
      <c r="I8" s="87" t="e">
        <f>VLOOKUP(B8,'R.H.'!A$3:C$3974,3,FALSE)/100</f>
        <v>#N/A</v>
      </c>
      <c r="J8" s="83"/>
      <c r="K8" s="92" t="e">
        <f t="shared" si="2"/>
        <v>#DIV/0!</v>
      </c>
      <c r="L8" s="84"/>
      <c r="M8" s="84"/>
      <c r="N8" s="94" t="e">
        <f t="shared" si="3"/>
        <v>#DIV/0!</v>
      </c>
      <c r="O8" s="88" t="e">
        <f t="shared" si="0"/>
        <v>#DIV/0!</v>
      </c>
      <c r="P8" s="119"/>
      <c r="Q8" s="5"/>
      <c r="R8" s="5"/>
    </row>
    <row r="9" spans="1:23" s="4" customFormat="1" ht="16.5" x14ac:dyDescent="0.25">
      <c r="A9" s="90">
        <v>5</v>
      </c>
      <c r="B9" s="86"/>
      <c r="C9" s="91" t="str">
        <f>IF(ISBLANK(B9),"",VLOOKUP(B9,SÜRELER!$A:$B,2,FALSE))</f>
        <v/>
      </c>
      <c r="D9" s="80"/>
      <c r="E9" s="92">
        <f>IF(ISBLANK($B9),"0",VLOOKUP($B9,SÜRELER!$A:$C,3,FALSE))*(D9-F9)</f>
        <v>0</v>
      </c>
      <c r="F9" s="81"/>
      <c r="G9" s="93" t="e">
        <f>VLOOKUP(B9,'R.H.'!A$3:C$3974,3,FALSE)*D9/100</f>
        <v>#N/A</v>
      </c>
      <c r="H9" s="82" t="e">
        <f t="shared" si="1"/>
        <v>#DIV/0!</v>
      </c>
      <c r="I9" s="87" t="e">
        <f>VLOOKUP(B9,'R.H.'!A$3:C$3974,3,FALSE)/100</f>
        <v>#N/A</v>
      </c>
      <c r="J9" s="83"/>
      <c r="K9" s="92" t="e">
        <f t="shared" si="2"/>
        <v>#DIV/0!</v>
      </c>
      <c r="L9" s="84"/>
      <c r="M9" s="84"/>
      <c r="N9" s="94" t="e">
        <f t="shared" si="3"/>
        <v>#DIV/0!</v>
      </c>
      <c r="O9" s="88" t="e">
        <f t="shared" si="0"/>
        <v>#DIV/0!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/>
      <c r="C10" s="91" t="str">
        <f>IF(ISBLANK(B10),"",VLOOKUP(B10,SÜRELER!$A:$B,2,FALSE))</f>
        <v/>
      </c>
      <c r="D10" s="80"/>
      <c r="E10" s="92">
        <f>IF(ISBLANK($B10),"0",VLOOKUP($B10,SÜRELER!$A:$C,3,FALSE))*(D10-F10)</f>
        <v>0</v>
      </c>
      <c r="F10" s="81"/>
      <c r="G10" s="93" t="e">
        <f>VLOOKUP(B10,'R.H.'!A$3:C$3974,3,FALSE)*D10/100</f>
        <v>#N/A</v>
      </c>
      <c r="H10" s="82" t="e">
        <f t="shared" si="1"/>
        <v>#DIV/0!</v>
      </c>
      <c r="I10" s="87" t="e">
        <f>VLOOKUP(B10,'R.H.'!A$3:C$3974,3,FALSE)/100</f>
        <v>#N/A</v>
      </c>
      <c r="J10" s="83"/>
      <c r="K10" s="92" t="e">
        <f t="shared" si="2"/>
        <v>#DIV/0!</v>
      </c>
      <c r="L10" s="84"/>
      <c r="M10" s="84"/>
      <c r="N10" s="94" t="e">
        <f t="shared" si="3"/>
        <v>#DIV/0!</v>
      </c>
      <c r="O10" s="88" t="e">
        <f t="shared" si="0"/>
        <v>#DIV/0!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/>
      <c r="C11" s="91" t="str">
        <f>IF(ISBLANK(B11),"",VLOOKUP(B11,SÜRELER!$A:$B,2,FALSE))</f>
        <v/>
      </c>
      <c r="D11" s="80"/>
      <c r="E11" s="92">
        <f>IF(ISBLANK($B11),"0",VLOOKUP($B11,SÜRELER!$A:$C,3,FALSE))*(D11-F11)</f>
        <v>0</v>
      </c>
      <c r="F11" s="81"/>
      <c r="G11" s="93" t="e">
        <f>VLOOKUP(B11,'R.H.'!A$3:C$3974,3,FALSE)*D11/100</f>
        <v>#N/A</v>
      </c>
      <c r="H11" s="82" t="e">
        <f t="shared" si="1"/>
        <v>#DIV/0!</v>
      </c>
      <c r="I11" s="87" t="e">
        <f>VLOOKUP(B11,'R.H.'!A$3:C$3974,3,FALSE)/100</f>
        <v>#N/A</v>
      </c>
      <c r="J11" s="83"/>
      <c r="K11" s="92" t="e">
        <f t="shared" si="2"/>
        <v>#DIV/0!</v>
      </c>
      <c r="L11" s="84"/>
      <c r="M11" s="84"/>
      <c r="N11" s="94" t="e">
        <f t="shared" si="3"/>
        <v>#DIV/0!</v>
      </c>
      <c r="O11" s="88" t="e">
        <f t="shared" si="0"/>
        <v>#DIV/0!</v>
      </c>
      <c r="P11" s="119"/>
      <c r="Q11" s="5"/>
      <c r="R11" s="5"/>
    </row>
    <row r="12" spans="1:23" s="4" customFormat="1" ht="16.5" x14ac:dyDescent="0.25">
      <c r="A12" s="85">
        <v>8</v>
      </c>
      <c r="B12" s="86"/>
      <c r="C12" s="91" t="str">
        <f>IF(ISBLANK(B12),"",VLOOKUP(B12,SÜRELER!$A:$B,2,FALSE))</f>
        <v/>
      </c>
      <c r="D12" s="80"/>
      <c r="E12" s="92">
        <f>IF(ISBLANK($B12),"0",VLOOKUP($B12,SÜRELER!$A:$C,3,FALSE))*(D12-F12)</f>
        <v>0</v>
      </c>
      <c r="F12" s="81"/>
      <c r="G12" s="93" t="e">
        <f>VLOOKUP(B12,'R.H.'!A$3:C$3974,3,FALSE)*D12/100</f>
        <v>#N/A</v>
      </c>
      <c r="H12" s="82" t="e">
        <f t="shared" si="1"/>
        <v>#DIV/0!</v>
      </c>
      <c r="I12" s="87" t="e">
        <f>VLOOKUP(B12,'R.H.'!A$3:C$3974,3,FALSE)/100</f>
        <v>#N/A</v>
      </c>
      <c r="J12" s="83"/>
      <c r="K12" s="92" t="e">
        <f t="shared" si="2"/>
        <v>#DIV/0!</v>
      </c>
      <c r="L12" s="84"/>
      <c r="M12" s="84"/>
      <c r="N12" s="94" t="e">
        <f t="shared" si="3"/>
        <v>#DIV/0!</v>
      </c>
      <c r="O12" s="88" t="e">
        <f t="shared" si="0"/>
        <v>#DIV/0!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/>
      <c r="C13" s="91" t="str">
        <f>IF(ISBLANK(B13),"",VLOOKUP(B13,SÜRELER!$A:$B,2,FALSE))</f>
        <v/>
      </c>
      <c r="D13" s="80"/>
      <c r="E13" s="92">
        <f>IF(ISBLANK($B13),"0",VLOOKUP($B13,SÜRELER!$A:$C,3,FALSE))*(D13-F13)</f>
        <v>0</v>
      </c>
      <c r="F13" s="81"/>
      <c r="G13" s="93" t="e">
        <f>VLOOKUP(B13,'R.H.'!A$3:C$3974,3,FALSE)*D13/100</f>
        <v>#N/A</v>
      </c>
      <c r="H13" s="82" t="e">
        <f t="shared" si="1"/>
        <v>#DIV/0!</v>
      </c>
      <c r="I13" s="87" t="e">
        <f>VLOOKUP(B13,'R.H.'!A$3:C$3974,3,FALSE)/100</f>
        <v>#N/A</v>
      </c>
      <c r="J13" s="83"/>
      <c r="K13" s="92" t="e">
        <f t="shared" si="2"/>
        <v>#DIV/0!</v>
      </c>
      <c r="L13" s="84"/>
      <c r="M13" s="84"/>
      <c r="N13" s="94" t="e">
        <f t="shared" si="3"/>
        <v>#DIV/0!</v>
      </c>
      <c r="O13" s="88" t="e">
        <f t="shared" si="0"/>
        <v>#DIV/0!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/>
      <c r="C14" s="91" t="str">
        <f>IF(ISBLANK(B14),"",VLOOKUP(B14,SÜRELER!$A:$B,2,FALSE))</f>
        <v/>
      </c>
      <c r="D14" s="80"/>
      <c r="E14" s="92">
        <f>IF(ISBLANK($B14),"0",VLOOKUP($B14,SÜRELER!$A:$C,3,FALSE))*(D14-F14)</f>
        <v>0</v>
      </c>
      <c r="F14" s="81"/>
      <c r="G14" s="93" t="e">
        <f>VLOOKUP(B14,'R.H.'!A$3:C$3974,3,FALSE)*D14/100</f>
        <v>#N/A</v>
      </c>
      <c r="H14" s="82" t="e">
        <f t="shared" si="1"/>
        <v>#DIV/0!</v>
      </c>
      <c r="I14" s="87" t="e">
        <f>VLOOKUP(B14,'R.H.'!A$3:C$3974,3,FALSE)/100</f>
        <v>#N/A</v>
      </c>
      <c r="J14" s="83"/>
      <c r="K14" s="92" t="e">
        <f t="shared" si="2"/>
        <v>#DIV/0!</v>
      </c>
      <c r="L14" s="84"/>
      <c r="M14" s="84"/>
      <c r="N14" s="94" t="e">
        <f t="shared" si="3"/>
        <v>#DIV/0!</v>
      </c>
      <c r="O14" s="88" t="e">
        <f t="shared" si="0"/>
        <v>#DIV/0!</v>
      </c>
      <c r="P14" s="119"/>
      <c r="Q14" s="5"/>
      <c r="R14" s="5"/>
    </row>
    <row r="15" spans="1:23" s="4" customFormat="1" ht="16.5" x14ac:dyDescent="0.25">
      <c r="A15" s="90">
        <v>11</v>
      </c>
      <c r="B15" s="86"/>
      <c r="C15" s="91" t="str">
        <f>IF(ISBLANK(B15),"",VLOOKUP(B15,SÜRELER!$A:$B,2,FALSE))</f>
        <v/>
      </c>
      <c r="D15" s="80"/>
      <c r="E15" s="92">
        <f>IF(ISBLANK($B15),"0",VLOOKUP($B15,SÜRELER!$A:$C,3,FALSE))*(D15-F15)</f>
        <v>0</v>
      </c>
      <c r="F15" s="81"/>
      <c r="G15" s="93" t="e">
        <f>VLOOKUP(B15,'R.H.'!A$3:C$3974,3,FALSE)*D15/100</f>
        <v>#N/A</v>
      </c>
      <c r="H15" s="82" t="e">
        <f t="shared" si="1"/>
        <v>#DIV/0!</v>
      </c>
      <c r="I15" s="87" t="e">
        <f>VLOOKUP(B15,'R.H.'!A$3:C$3974,3,FALSE)/100</f>
        <v>#N/A</v>
      </c>
      <c r="J15" s="83"/>
      <c r="K15" s="92" t="e">
        <f t="shared" si="2"/>
        <v>#DIV/0!</v>
      </c>
      <c r="L15" s="84"/>
      <c r="M15" s="84"/>
      <c r="N15" s="94" t="e">
        <f t="shared" si="3"/>
        <v>#DIV/0!</v>
      </c>
      <c r="O15" s="88" t="e">
        <f t="shared" si="0"/>
        <v>#DIV/0!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/>
      <c r="C16" s="91" t="str">
        <f>IF(ISBLANK(B16),"",VLOOKUP(B16,SÜRELER!$A:$B,2,FALSE))</f>
        <v/>
      </c>
      <c r="D16" s="80"/>
      <c r="E16" s="92">
        <f>IF(ISBLANK($B16),"0",VLOOKUP($B16,SÜRELER!$A:$C,3,FALSE))*(D16-F16)</f>
        <v>0</v>
      </c>
      <c r="F16" s="81"/>
      <c r="G16" s="93" t="e">
        <f>VLOOKUP(B16,'R.H.'!A$3:C$3974,3,FALSE)*D16/100</f>
        <v>#N/A</v>
      </c>
      <c r="H16" s="82" t="e">
        <f t="shared" si="1"/>
        <v>#DIV/0!</v>
      </c>
      <c r="I16" s="87" t="e">
        <f>VLOOKUP(B16,'R.H.'!A$3:C$3974,3,FALSE)/100</f>
        <v>#N/A</v>
      </c>
      <c r="J16" s="83"/>
      <c r="K16" s="92" t="e">
        <f t="shared" si="2"/>
        <v>#DIV/0!</v>
      </c>
      <c r="L16" s="84"/>
      <c r="M16" s="84"/>
      <c r="N16" s="94" t="e">
        <f t="shared" si="3"/>
        <v>#DIV/0!</v>
      </c>
      <c r="O16" s="88" t="e">
        <f t="shared" si="0"/>
        <v>#DIV/0!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/>
      <c r="C17" s="91" t="str">
        <f>IF(ISBLANK(B17),"",VLOOKUP(B17,SÜRELER!$A:$B,2,FALSE))</f>
        <v/>
      </c>
      <c r="D17" s="80"/>
      <c r="E17" s="92">
        <f>IF(ISBLANK($B17),"0",VLOOKUP($B17,SÜRELER!$A:$C,3,FALSE))*(D17-F17)</f>
        <v>0</v>
      </c>
      <c r="F17" s="81"/>
      <c r="G17" s="93" t="e">
        <f>VLOOKUP(B17,'R.H.'!A$3:C$3974,3,FALSE)*D17/100</f>
        <v>#N/A</v>
      </c>
      <c r="H17" s="82" t="e">
        <f t="shared" si="1"/>
        <v>#DIV/0!</v>
      </c>
      <c r="I17" s="87" t="e">
        <f>VLOOKUP(B17,'R.H.'!A$3:C$3974,3,FALSE)/100</f>
        <v>#N/A</v>
      </c>
      <c r="J17" s="83"/>
      <c r="K17" s="92" t="e">
        <f t="shared" si="2"/>
        <v>#DIV/0!</v>
      </c>
      <c r="L17" s="84"/>
      <c r="M17" s="84"/>
      <c r="N17" s="94" t="e">
        <f t="shared" si="3"/>
        <v>#DIV/0!</v>
      </c>
      <c r="O17" s="88" t="e">
        <f t="shared" si="0"/>
        <v>#DIV/0!</v>
      </c>
      <c r="P17" s="119"/>
      <c r="Q17" s="5"/>
      <c r="R17" s="5"/>
    </row>
    <row r="18" spans="1:18" s="4" customFormat="1" ht="16.5" x14ac:dyDescent="0.25">
      <c r="A18" s="85">
        <v>14</v>
      </c>
      <c r="B18" s="86"/>
      <c r="C18" s="91" t="str">
        <f>IF(ISBLANK(B18),"",VLOOKUP(B18,SÜRELER!$A:$B,2,FALSE))</f>
        <v/>
      </c>
      <c r="D18" s="80"/>
      <c r="E18" s="92">
        <f>IF(ISBLANK($B18),"0",VLOOKUP($B18,SÜRELER!$A:$C,3,FALSE))*(D18-F18)</f>
        <v>0</v>
      </c>
      <c r="F18" s="81"/>
      <c r="G18" s="93" t="e">
        <f>VLOOKUP(B18,'R.H.'!A$3:C$3974,3,FALSE)*D18/100</f>
        <v>#N/A</v>
      </c>
      <c r="H18" s="82" t="e">
        <f t="shared" si="1"/>
        <v>#DIV/0!</v>
      </c>
      <c r="I18" s="87" t="e">
        <f>VLOOKUP(B18,'R.H.'!A$3:C$3974,3,FALSE)/100</f>
        <v>#N/A</v>
      </c>
      <c r="J18" s="83"/>
      <c r="K18" s="92" t="e">
        <f t="shared" si="2"/>
        <v>#DIV/0!</v>
      </c>
      <c r="L18" s="84"/>
      <c r="M18" s="84"/>
      <c r="N18" s="94" t="e">
        <f t="shared" si="3"/>
        <v>#DIV/0!</v>
      </c>
      <c r="O18" s="88" t="e">
        <f t="shared" si="0"/>
        <v>#DIV/0!</v>
      </c>
      <c r="P18" s="119"/>
      <c r="Q18" s="5"/>
      <c r="R18" s="5"/>
    </row>
    <row r="19" spans="1:18" s="4" customFormat="1" ht="16.5" x14ac:dyDescent="0.25">
      <c r="A19" s="90">
        <v>15</v>
      </c>
      <c r="B19" s="86"/>
      <c r="C19" s="91" t="str">
        <f>IF(ISBLANK(B19),"",VLOOKUP(B19,SÜRELER!$A:$B,2,FALSE))</f>
        <v/>
      </c>
      <c r="D19" s="80"/>
      <c r="E19" s="92">
        <f>IF(ISBLANK($B19),"0",VLOOKUP($B19,SÜRELER!$A:$C,3,FALSE))*(D19-F19)</f>
        <v>0</v>
      </c>
      <c r="F19" s="81"/>
      <c r="G19" s="93" t="e">
        <f>VLOOKUP(B19,'R.H.'!A$3:C$3974,3,FALSE)*D19/100</f>
        <v>#N/A</v>
      </c>
      <c r="H19" s="82" t="e">
        <f t="shared" si="1"/>
        <v>#DIV/0!</v>
      </c>
      <c r="I19" s="87" t="e">
        <f>VLOOKUP(B19,'R.H.'!A$3:C$3974,3,FALSE)/100</f>
        <v>#N/A</v>
      </c>
      <c r="J19" s="83"/>
      <c r="K19" s="92" t="e">
        <f t="shared" si="2"/>
        <v>#DIV/0!</v>
      </c>
      <c r="L19" s="84"/>
      <c r="M19" s="84"/>
      <c r="N19" s="94" t="e">
        <f t="shared" si="3"/>
        <v>#DIV/0!</v>
      </c>
      <c r="O19" s="88" t="e">
        <f t="shared" si="0"/>
        <v>#DIV/0!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/>
      <c r="C20" s="91" t="str">
        <f>IF(ISBLANK(B20),"",VLOOKUP(B20,SÜRELER!$A:$B,2,FALSE))</f>
        <v/>
      </c>
      <c r="D20" s="80"/>
      <c r="E20" s="92">
        <f>IF(ISBLANK($B20),"0",VLOOKUP($B20,SÜRELER!$A:$C,3,FALSE))*(D20-F20)</f>
        <v>0</v>
      </c>
      <c r="F20" s="81"/>
      <c r="G20" s="93" t="e">
        <f>VLOOKUP(B20,'R.H.'!A$3:C$3974,3,FALSE)*D20/100</f>
        <v>#N/A</v>
      </c>
      <c r="H20" s="82" t="e">
        <f t="shared" si="1"/>
        <v>#DIV/0!</v>
      </c>
      <c r="I20" s="87" t="e">
        <f>VLOOKUP(B20,'R.H.'!A$3:C$3974,3,FALSE)/100</f>
        <v>#N/A</v>
      </c>
      <c r="J20" s="83"/>
      <c r="K20" s="92" t="e">
        <f t="shared" si="2"/>
        <v>#DIV/0!</v>
      </c>
      <c r="L20" s="84"/>
      <c r="M20" s="84"/>
      <c r="N20" s="94" t="e">
        <f t="shared" si="3"/>
        <v>#DIV/0!</v>
      </c>
      <c r="O20" s="88" t="e">
        <f t="shared" si="0"/>
        <v>#DIV/0!</v>
      </c>
      <c r="P20" s="119"/>
      <c r="Q20" s="5"/>
      <c r="R20" s="5"/>
    </row>
    <row r="21" spans="1:18" s="4" customFormat="1" ht="16.5" x14ac:dyDescent="0.25">
      <c r="A21" s="90">
        <v>17</v>
      </c>
      <c r="B21" s="86"/>
      <c r="C21" s="91" t="str">
        <f>IF(ISBLANK(B21),"",VLOOKUP(B21,SÜRELER!$A:$B,2,FALSE))</f>
        <v/>
      </c>
      <c r="D21" s="80"/>
      <c r="E21" s="92">
        <f>IF(ISBLANK($B21),"0",VLOOKUP($B21,SÜRELER!$A:$C,3,FALSE))*(D21-F21)</f>
        <v>0</v>
      </c>
      <c r="F21" s="81"/>
      <c r="G21" s="93" t="e">
        <f>VLOOKUP(B21,'R.H.'!A$3:C$3974,3,FALSE)*D21/100</f>
        <v>#N/A</v>
      </c>
      <c r="H21" s="82" t="e">
        <f t="shared" si="1"/>
        <v>#DIV/0!</v>
      </c>
      <c r="I21" s="87" t="e">
        <f>VLOOKUP(B21,'R.H.'!A$3:C$3974,3,FALSE)/100</f>
        <v>#N/A</v>
      </c>
      <c r="J21" s="83"/>
      <c r="K21" s="92" t="e">
        <f t="shared" si="2"/>
        <v>#DIV/0!</v>
      </c>
      <c r="L21" s="84"/>
      <c r="M21" s="84"/>
      <c r="N21" s="94" t="e">
        <f t="shared" si="3"/>
        <v>#DIV/0!</v>
      </c>
      <c r="O21" s="88" t="e">
        <f t="shared" si="0"/>
        <v>#DIV/0!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/>
      <c r="C22" s="91" t="str">
        <f>IF(ISBLANK(B22),"",VLOOKUP(B22,SÜRELER!$A:$B,2,FALSE))</f>
        <v/>
      </c>
      <c r="D22" s="80"/>
      <c r="E22" s="92">
        <f>IF(ISBLANK($B22),"0",VLOOKUP($B22,SÜRELER!$A:$C,3,FALSE))*(D22-F22)</f>
        <v>0</v>
      </c>
      <c r="F22" s="81"/>
      <c r="G22" s="93" t="e">
        <f>VLOOKUP(B22,'R.H.'!A$3:C$3974,3,FALSE)*D22/100</f>
        <v>#N/A</v>
      </c>
      <c r="H22" s="82" t="e">
        <f t="shared" si="1"/>
        <v>#DIV/0!</v>
      </c>
      <c r="I22" s="87" t="e">
        <f>VLOOKUP(B22,'R.H.'!A$3:C$3974,3,FALSE)/100</f>
        <v>#N/A</v>
      </c>
      <c r="J22" s="83"/>
      <c r="K22" s="92" t="e">
        <f t="shared" si="2"/>
        <v>#DIV/0!</v>
      </c>
      <c r="L22" s="84"/>
      <c r="M22" s="84"/>
      <c r="N22" s="94" t="e">
        <f t="shared" si="3"/>
        <v>#DIV/0!</v>
      </c>
      <c r="O22" s="88" t="e">
        <f t="shared" si="0"/>
        <v>#DIV/0!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/>
      <c r="C23" s="91" t="str">
        <f>IF(ISBLANK(B23),"",VLOOKUP(B23,SÜRELER!$A:$B,2,FALSE))</f>
        <v/>
      </c>
      <c r="D23" s="80"/>
      <c r="E23" s="92">
        <f>IF(ISBLANK($B23),"0",VLOOKUP($B23,SÜRELER!$A:$C,3,FALSE))*(D23-F23)</f>
        <v>0</v>
      </c>
      <c r="F23" s="81"/>
      <c r="G23" s="93" t="e">
        <f>VLOOKUP(B23,'R.H.'!A$3:C$3974,3,FALSE)*D23/100</f>
        <v>#N/A</v>
      </c>
      <c r="H23" s="82" t="e">
        <f t="shared" si="1"/>
        <v>#DIV/0!</v>
      </c>
      <c r="I23" s="87" t="e">
        <f>VLOOKUP(B23,'R.H.'!A$3:C$3974,3,FALSE)/100</f>
        <v>#N/A</v>
      </c>
      <c r="J23" s="83"/>
      <c r="K23" s="92" t="e">
        <f t="shared" si="2"/>
        <v>#DIV/0!</v>
      </c>
      <c r="L23" s="84"/>
      <c r="M23" s="84"/>
      <c r="N23" s="94" t="e">
        <f t="shared" si="3"/>
        <v>#DIV/0!</v>
      </c>
      <c r="O23" s="88" t="e">
        <f t="shared" si="0"/>
        <v>#DIV/0!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/>
      <c r="C24" s="91" t="str">
        <f>IF(ISBLANK(B24),"",VLOOKUP(B24,SÜRELER!$A:$B,2,FALSE))</f>
        <v/>
      </c>
      <c r="D24" s="80"/>
      <c r="E24" s="92">
        <f>IF(ISBLANK($B24),"0",VLOOKUP($B24,SÜRELER!$A:$C,3,FALSE))*(D24-F24)</f>
        <v>0</v>
      </c>
      <c r="F24" s="81"/>
      <c r="G24" s="93" t="e">
        <f>VLOOKUP(B24,'R.H.'!A$3:C$3974,3,FALSE)*D24/100</f>
        <v>#N/A</v>
      </c>
      <c r="H24" s="82" t="e">
        <f t="shared" si="1"/>
        <v>#DIV/0!</v>
      </c>
      <c r="I24" s="87" t="e">
        <f>VLOOKUP(B24,'R.H.'!A$3:C$3974,3,FALSE)/100</f>
        <v>#N/A</v>
      </c>
      <c r="J24" s="83"/>
      <c r="K24" s="92" t="e">
        <f t="shared" si="2"/>
        <v>#DIV/0!</v>
      </c>
      <c r="L24" s="84"/>
      <c r="M24" s="84"/>
      <c r="N24" s="94" t="e">
        <f t="shared" si="3"/>
        <v>#DIV/0!</v>
      </c>
      <c r="O24" s="88" t="e">
        <f t="shared" si="0"/>
        <v>#DIV/0!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/>
      <c r="C25" s="91" t="str">
        <f>IF(ISBLANK(B25),"",VLOOKUP(B25,SÜRELER!$A:$B,2,FALSE))</f>
        <v/>
      </c>
      <c r="D25" s="80"/>
      <c r="E25" s="92">
        <f>IF(ISBLANK($B25),"0",VLOOKUP($B25,SÜRELER!$A:$C,3,FALSE))*(D25-F25)</f>
        <v>0</v>
      </c>
      <c r="F25" s="81"/>
      <c r="G25" s="93" t="e">
        <f>VLOOKUP(B25,'R.H.'!A$3:C$3974,3,FALSE)*D25/100</f>
        <v>#N/A</v>
      </c>
      <c r="H25" s="82" t="e">
        <f t="shared" si="1"/>
        <v>#DIV/0!</v>
      </c>
      <c r="I25" s="87" t="e">
        <f>VLOOKUP(B25,'R.H.'!A$3:C$3974,3,FALSE)/100</f>
        <v>#N/A</v>
      </c>
      <c r="J25" s="83"/>
      <c r="K25" s="92" t="e">
        <f t="shared" si="2"/>
        <v>#DIV/0!</v>
      </c>
      <c r="L25" s="84"/>
      <c r="M25" s="84"/>
      <c r="N25" s="94" t="e">
        <f t="shared" si="3"/>
        <v>#DIV/0!</v>
      </c>
      <c r="O25" s="88" t="e">
        <f t="shared" si="0"/>
        <v>#DIV/0!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/>
      <c r="C26" s="91" t="str">
        <f>IF(ISBLANK(B26),"",VLOOKUP(B26,SÜRELER!$A:$B,2,FALSE))</f>
        <v/>
      </c>
      <c r="D26" s="80"/>
      <c r="E26" s="92">
        <f>IF(ISBLANK($B26),"0",VLOOKUP($B26,SÜRELER!$A:$C,3,FALSE))*(D26-F26)</f>
        <v>0</v>
      </c>
      <c r="F26" s="81"/>
      <c r="G26" s="93" t="e">
        <f>VLOOKUP(B26,'R.H.'!A$3:C$3974,3,FALSE)*D26/100</f>
        <v>#N/A</v>
      </c>
      <c r="H26" s="82" t="e">
        <f t="shared" si="1"/>
        <v>#DIV/0!</v>
      </c>
      <c r="I26" s="87" t="e">
        <f>VLOOKUP(B26,'R.H.'!A$3:C$3974,3,FALSE)/100</f>
        <v>#N/A</v>
      </c>
      <c r="J26" s="83"/>
      <c r="K26" s="92" t="e">
        <f t="shared" si="2"/>
        <v>#DIV/0!</v>
      </c>
      <c r="L26" s="84"/>
      <c r="M26" s="84"/>
      <c r="N26" s="94" t="e">
        <f t="shared" si="3"/>
        <v>#DIV/0!</v>
      </c>
      <c r="O26" s="88" t="e">
        <f t="shared" si="0"/>
        <v>#DIV/0!</v>
      </c>
      <c r="P26" s="119"/>
      <c r="Q26" s="5"/>
      <c r="R26" s="5"/>
    </row>
    <row r="27" spans="1:18" s="4" customFormat="1" ht="16.5" x14ac:dyDescent="0.25">
      <c r="A27" s="90">
        <v>23</v>
      </c>
      <c r="B27" s="86"/>
      <c r="C27" s="91" t="str">
        <f>IF(ISBLANK(B27),"",VLOOKUP(B27,SÜRELER!$A:$B,2,FALSE))</f>
        <v/>
      </c>
      <c r="D27" s="80"/>
      <c r="E27" s="92">
        <f>IF(ISBLANK($B27),"0",VLOOKUP($B27,SÜRELER!$A:$C,3,FALSE))*(D27-F27)</f>
        <v>0</v>
      </c>
      <c r="F27" s="81"/>
      <c r="G27" s="93" t="e">
        <f>VLOOKUP(B27,'R.H.'!A$3:C$3974,3,FALSE)*D27/100</f>
        <v>#N/A</v>
      </c>
      <c r="H27" s="82" t="e">
        <f t="shared" si="1"/>
        <v>#DIV/0!</v>
      </c>
      <c r="I27" s="87" t="e">
        <f>VLOOKUP(B27,'R.H.'!A$3:C$3974,3,FALSE)/100</f>
        <v>#N/A</v>
      </c>
      <c r="J27" s="83"/>
      <c r="K27" s="92" t="e">
        <f t="shared" si="2"/>
        <v>#DIV/0!</v>
      </c>
      <c r="L27" s="84"/>
      <c r="M27" s="84"/>
      <c r="N27" s="94" t="e">
        <f t="shared" si="3"/>
        <v>#DIV/0!</v>
      </c>
      <c r="O27" s="88" t="e">
        <f t="shared" si="0"/>
        <v>#DIV/0!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/>
      <c r="C28" s="91" t="str">
        <f>IF(ISBLANK(B28),"",VLOOKUP(B28,SÜRELER!$A:$B,2,FALSE))</f>
        <v/>
      </c>
      <c r="D28" s="80"/>
      <c r="E28" s="92">
        <f>IF(ISBLANK($B28),"0",VLOOKUP($B28,SÜRELER!$A:$C,3,FALSE))*(D28-F28)</f>
        <v>0</v>
      </c>
      <c r="F28" s="81"/>
      <c r="G28" s="93" t="e">
        <f>VLOOKUP(B28,'R.H.'!A$3:C$3974,3,FALSE)*D28/100</f>
        <v>#N/A</v>
      </c>
      <c r="H28" s="82" t="e">
        <f t="shared" si="1"/>
        <v>#DIV/0!</v>
      </c>
      <c r="I28" s="87" t="e">
        <f>VLOOKUP(B28,'R.H.'!A$3:C$3974,3,FALSE)/100</f>
        <v>#N/A</v>
      </c>
      <c r="J28" s="83"/>
      <c r="K28" s="92" t="e">
        <f t="shared" si="2"/>
        <v>#DIV/0!</v>
      </c>
      <c r="L28" s="84"/>
      <c r="M28" s="84"/>
      <c r="N28" s="94" t="e">
        <f t="shared" si="3"/>
        <v>#DIV/0!</v>
      </c>
      <c r="O28" s="88" t="e">
        <f t="shared" si="0"/>
        <v>#DIV/0!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/>
      <c r="C29" s="91" t="str">
        <f>IF(ISBLANK(B29),"",VLOOKUP(B29,SÜRELER!$A:$B,2,FALSE))</f>
        <v/>
      </c>
      <c r="D29" s="80"/>
      <c r="E29" s="92">
        <f>IF(ISBLANK($B29),"0",VLOOKUP($B29,SÜRELER!$A:$C,3,FALSE))*(D29-F29)</f>
        <v>0</v>
      </c>
      <c r="F29" s="81"/>
      <c r="G29" s="93" t="e">
        <f>VLOOKUP(B29,'R.H.'!A$3:C$3974,3,FALSE)*D29/100</f>
        <v>#N/A</v>
      </c>
      <c r="H29" s="82" t="e">
        <f t="shared" si="1"/>
        <v>#DIV/0!</v>
      </c>
      <c r="I29" s="87" t="e">
        <f>VLOOKUP(B29,'R.H.'!A$3:C$3974,3,FALSE)/100</f>
        <v>#N/A</v>
      </c>
      <c r="J29" s="83"/>
      <c r="K29" s="92" t="e">
        <f t="shared" si="2"/>
        <v>#DIV/0!</v>
      </c>
      <c r="L29" s="84"/>
      <c r="M29" s="84"/>
      <c r="N29" s="94" t="e">
        <f t="shared" si="3"/>
        <v>#DIV/0!</v>
      </c>
      <c r="O29" s="88" t="e">
        <f t="shared" si="0"/>
        <v>#DIV/0!</v>
      </c>
      <c r="P29" s="119"/>
      <c r="Q29" s="5"/>
      <c r="R29" s="5"/>
    </row>
    <row r="30" spans="1:18" s="4" customFormat="1" ht="16.5" x14ac:dyDescent="0.25">
      <c r="A30" s="85">
        <v>26</v>
      </c>
      <c r="B30" s="86"/>
      <c r="C30" s="91" t="str">
        <f>IF(ISBLANK(B30),"",VLOOKUP(B30,SÜRELER!$A:$B,2,FALSE))</f>
        <v/>
      </c>
      <c r="D30" s="80"/>
      <c r="E30" s="92">
        <f>IF(ISBLANK($B30),"0",VLOOKUP($B30,SÜRELER!$A:$C,3,FALSE))*(D30-F30)</f>
        <v>0</v>
      </c>
      <c r="F30" s="81"/>
      <c r="G30" s="93" t="e">
        <f>VLOOKUP(B30,'R.H.'!A$3:C$3974,3,FALSE)*D30/100</f>
        <v>#N/A</v>
      </c>
      <c r="H30" s="82" t="e">
        <f t="shared" si="1"/>
        <v>#DIV/0!</v>
      </c>
      <c r="I30" s="87" t="e">
        <f>VLOOKUP(B30,'R.H.'!A$3:C$3974,3,FALSE)/100</f>
        <v>#N/A</v>
      </c>
      <c r="J30" s="83"/>
      <c r="K30" s="92" t="e">
        <f t="shared" si="2"/>
        <v>#DIV/0!</v>
      </c>
      <c r="L30" s="84"/>
      <c r="M30" s="84"/>
      <c r="N30" s="94" t="e">
        <f t="shared" si="3"/>
        <v>#DIV/0!</v>
      </c>
      <c r="O30" s="88" t="e">
        <f t="shared" si="0"/>
        <v>#DIV/0!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0</v>
      </c>
      <c r="E45" s="26">
        <f>SUM(E5:E44)</f>
        <v>0</v>
      </c>
      <c r="F45" s="26">
        <f>SUM(F5:F44)</f>
        <v>0</v>
      </c>
      <c r="G45" s="26"/>
      <c r="H45" s="26"/>
      <c r="I45" s="26"/>
      <c r="J45" s="26"/>
      <c r="K45" s="26"/>
      <c r="L45" s="26">
        <f>SUM(L5:L44)</f>
        <v>0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 t="e">
        <f>F45/D45*100</f>
        <v>#DIV/0!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/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/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/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#DIV/0!</v>
      </c>
      <c r="E63" s="21">
        <f>D45</f>
        <v>0</v>
      </c>
      <c r="F63" s="24">
        <f>F45</f>
        <v>0</v>
      </c>
      <c r="G63" s="23" t="e">
        <f>(F63*1000000)/E63</f>
        <v>#DIV/0!</v>
      </c>
      <c r="H63" s="22">
        <f>D59</f>
        <v>0</v>
      </c>
      <c r="I63" s="17" t="e">
        <f>N1</f>
        <v>#DIV/0!</v>
      </c>
    </row>
  </sheetData>
  <mergeCells count="15">
    <mergeCell ref="N1:N3"/>
    <mergeCell ref="A2:B3"/>
    <mergeCell ref="E56:N56"/>
    <mergeCell ref="E57:N57"/>
    <mergeCell ref="E49:N49"/>
    <mergeCell ref="E50:N50"/>
    <mergeCell ref="E51:N51"/>
    <mergeCell ref="E53:N53"/>
    <mergeCell ref="E54:N54"/>
    <mergeCell ref="E55:N55"/>
    <mergeCell ref="D46:D47"/>
    <mergeCell ref="E46:F47"/>
    <mergeCell ref="A1:B1"/>
    <mergeCell ref="C1:D2"/>
    <mergeCell ref="H1:H3"/>
  </mergeCells>
  <conditionalFormatting sqref="D3">
    <cfRule type="cellIs" dxfId="24" priority="5" stopIfTrue="1" operator="lessThan">
      <formula>0.95</formula>
    </cfRule>
  </conditionalFormatting>
  <conditionalFormatting sqref="F5:F44">
    <cfRule type="cellIs" dxfId="23" priority="1" stopIfTrue="1" operator="greaterThan">
      <formula>$G5</formula>
    </cfRule>
  </conditionalFormatting>
  <conditionalFormatting sqref="H5:H44">
    <cfRule type="cellIs" dxfId="22" priority="2" stopIfTrue="1" operator="greaterThan">
      <formula>$I$5</formula>
    </cfRule>
  </conditionalFormatting>
  <conditionalFormatting sqref="N1:N3">
    <cfRule type="cellIs" dxfId="21" priority="4" stopIfTrue="1" operator="lessThan">
      <formula>0.8</formula>
    </cfRule>
  </conditionalFormatting>
  <conditionalFormatting sqref="N5:O44">
    <cfRule type="cellIs" dxfId="20" priority="3" stopIfTrue="1" operator="lessThan">
      <formula>0.85</formula>
    </cfRule>
  </conditionalFormatting>
  <hyperlinks>
    <hyperlink ref="P1:P3" location="'Ana Sayfa'!A1" display="ANA SAYFA" xr:uid="{E6E47350-D57E-4687-835D-13943891C266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7EAB-E30A-4BFF-82F2-82E9C4CFDA25}">
  <sheetPr codeName="Sayfa28">
    <tabColor theme="0" tint="-0.14999847407452621"/>
    <pageSetUpPr fitToPage="1"/>
  </sheetPr>
  <dimension ref="A1:W63"/>
  <sheetViews>
    <sheetView workbookViewId="0">
      <selection activeCell="B5" sqref="B5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customWidth="1"/>
    <col min="6" max="6" width="5.1796875" style="2" customWidth="1"/>
    <col min="7" max="7" width="8.26953125" style="8" customWidth="1"/>
    <col min="8" max="8" width="11.1796875" style="15" customWidth="1"/>
    <col min="9" max="9" width="8.1796875" style="8" customWidth="1"/>
    <col min="10" max="10" width="6.81640625" style="66" customWidth="1"/>
    <col min="11" max="11" width="10.26953125" style="2" customWidth="1"/>
    <col min="12" max="13" width="7" style="2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'27'!A1+1</f>
        <v>46231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#DIV/0!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Salı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0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/>
      <c r="C5" s="91" t="str">
        <f>IF(ISBLANK(B5),"",VLOOKUP(B5,SÜRELER!$A:$B,2,FALSE))</f>
        <v/>
      </c>
      <c r="D5" s="80"/>
      <c r="E5" s="92">
        <f>IF(ISBLANK($B5),"0",VLOOKUP($B5,SÜRELER!$A:$C,3,FALSE))*(D5-F5)</f>
        <v>0</v>
      </c>
      <c r="F5" s="81"/>
      <c r="G5" s="93" t="e">
        <f>VLOOKUP(B5,'R.H.'!A$3:C$3974,3,FALSE)*D5/100</f>
        <v>#N/A</v>
      </c>
      <c r="H5" s="82" t="e">
        <f>F5/D5</f>
        <v>#DIV/0!</v>
      </c>
      <c r="I5" s="87" t="e">
        <f>VLOOKUP(B5,'R.H.'!A$3:C$3974,3,FALSE)/100</f>
        <v>#N/A</v>
      </c>
      <c r="J5" s="83"/>
      <c r="K5" s="92" t="e">
        <f>E5/J5</f>
        <v>#DIV/0!</v>
      </c>
      <c r="L5" s="84"/>
      <c r="M5" s="84"/>
      <c r="N5" s="94" t="e">
        <f>K5/L5</f>
        <v>#DIV/0!</v>
      </c>
      <c r="O5" s="88" t="e">
        <f t="shared" ref="O5:O44" si="0">K5/(L5-M5)</f>
        <v>#DIV/0!</v>
      </c>
      <c r="P5" s="119"/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/>
      <c r="C6" s="91" t="str">
        <f>IF(ISBLANK(B6),"",VLOOKUP(B6,SÜRELER!$A:$B,2,FALSE))</f>
        <v/>
      </c>
      <c r="D6" s="80"/>
      <c r="E6" s="92">
        <f>IF(ISBLANK($B6),"0",VLOOKUP($B6,SÜRELER!$A:$C,3,FALSE))*(D6-F6)</f>
        <v>0</v>
      </c>
      <c r="F6" s="81"/>
      <c r="G6" s="93" t="e">
        <f>VLOOKUP(B6,'R.H.'!A$3:C$3974,3,FALSE)*D6/100</f>
        <v>#N/A</v>
      </c>
      <c r="H6" s="82" t="e">
        <f t="shared" ref="H6:H44" si="1">F6/D6</f>
        <v>#DIV/0!</v>
      </c>
      <c r="I6" s="87" t="e">
        <f>VLOOKUP(B6,'R.H.'!A$3:C$3974,3,FALSE)/100</f>
        <v>#N/A</v>
      </c>
      <c r="J6" s="83"/>
      <c r="K6" s="92" t="e">
        <f t="shared" ref="K6:K44" si="2">E6/J6</f>
        <v>#DIV/0!</v>
      </c>
      <c r="L6" s="84"/>
      <c r="M6" s="84"/>
      <c r="N6" s="94" t="e">
        <f t="shared" ref="N6:N44" si="3">K6/L6</f>
        <v>#DIV/0!</v>
      </c>
      <c r="O6" s="88" t="e">
        <f t="shared" si="0"/>
        <v>#DIV/0!</v>
      </c>
      <c r="P6" s="119"/>
      <c r="Q6" s="5"/>
      <c r="R6" s="5"/>
    </row>
    <row r="7" spans="1:23" s="4" customFormat="1" ht="16.5" customHeight="1" x14ac:dyDescent="0.25">
      <c r="A7" s="90">
        <v>3</v>
      </c>
      <c r="B7" s="86"/>
      <c r="C7" s="91" t="str">
        <f>IF(ISBLANK(B7),"",VLOOKUP(B7,SÜRELER!$A:$B,2,FALSE))</f>
        <v/>
      </c>
      <c r="D7" s="80"/>
      <c r="E7" s="92">
        <f>IF(ISBLANK($B7),"0",VLOOKUP($B7,SÜRELER!$A:$C,3,FALSE))*(D7-F7)</f>
        <v>0</v>
      </c>
      <c r="F7" s="81"/>
      <c r="G7" s="93" t="e">
        <f>VLOOKUP(B7,'R.H.'!A$3:C$3974,3,FALSE)*D7/100</f>
        <v>#N/A</v>
      </c>
      <c r="H7" s="82" t="e">
        <f t="shared" si="1"/>
        <v>#DIV/0!</v>
      </c>
      <c r="I7" s="87" t="e">
        <f>VLOOKUP(B7,'R.H.'!A$3:C$3974,3,FALSE)/100</f>
        <v>#N/A</v>
      </c>
      <c r="J7" s="83"/>
      <c r="K7" s="92" t="e">
        <f t="shared" si="2"/>
        <v>#DIV/0!</v>
      </c>
      <c r="L7" s="84"/>
      <c r="M7" s="84"/>
      <c r="N7" s="94" t="e">
        <f t="shared" si="3"/>
        <v>#DIV/0!</v>
      </c>
      <c r="O7" s="88" t="e">
        <f t="shared" si="0"/>
        <v>#DIV/0!</v>
      </c>
      <c r="P7" s="119"/>
      <c r="Q7" s="5"/>
      <c r="R7" s="5"/>
    </row>
    <row r="8" spans="1:23" s="4" customFormat="1" ht="16.5" customHeight="1" x14ac:dyDescent="0.25">
      <c r="A8" s="85">
        <v>4</v>
      </c>
      <c r="B8" s="86"/>
      <c r="C8" s="91" t="str">
        <f>IF(ISBLANK(B8),"",VLOOKUP(B8,SÜRELER!$A:$B,2,FALSE))</f>
        <v/>
      </c>
      <c r="D8" s="80"/>
      <c r="E8" s="92">
        <f>IF(ISBLANK($B8),"0",VLOOKUP($B8,SÜRELER!$A:$C,3,FALSE))*(D8-F8)</f>
        <v>0</v>
      </c>
      <c r="F8" s="81"/>
      <c r="G8" s="93" t="e">
        <f>VLOOKUP(B8,'R.H.'!A$3:C$3974,3,FALSE)*D8/100</f>
        <v>#N/A</v>
      </c>
      <c r="H8" s="82" t="e">
        <f t="shared" si="1"/>
        <v>#DIV/0!</v>
      </c>
      <c r="I8" s="87" t="e">
        <f>VLOOKUP(B8,'R.H.'!A$3:C$3974,3,FALSE)/100</f>
        <v>#N/A</v>
      </c>
      <c r="J8" s="83"/>
      <c r="K8" s="92" t="e">
        <f t="shared" si="2"/>
        <v>#DIV/0!</v>
      </c>
      <c r="L8" s="84"/>
      <c r="M8" s="84"/>
      <c r="N8" s="94" t="e">
        <f t="shared" si="3"/>
        <v>#DIV/0!</v>
      </c>
      <c r="O8" s="88" t="e">
        <f t="shared" si="0"/>
        <v>#DIV/0!</v>
      </c>
      <c r="P8" s="119"/>
      <c r="Q8" s="5"/>
      <c r="R8" s="5"/>
    </row>
    <row r="9" spans="1:23" s="4" customFormat="1" ht="16.5" x14ac:dyDescent="0.25">
      <c r="A9" s="90">
        <v>5</v>
      </c>
      <c r="B9" s="86"/>
      <c r="C9" s="91" t="str">
        <f>IF(ISBLANK(B9),"",VLOOKUP(B9,SÜRELER!$A:$B,2,FALSE))</f>
        <v/>
      </c>
      <c r="D9" s="80"/>
      <c r="E9" s="92">
        <f>IF(ISBLANK($B9),"0",VLOOKUP($B9,SÜRELER!$A:$C,3,FALSE))*(D9-F9)</f>
        <v>0</v>
      </c>
      <c r="F9" s="81"/>
      <c r="G9" s="93" t="e">
        <f>VLOOKUP(B9,'R.H.'!A$3:C$3974,3,FALSE)*D9/100</f>
        <v>#N/A</v>
      </c>
      <c r="H9" s="82" t="e">
        <f t="shared" si="1"/>
        <v>#DIV/0!</v>
      </c>
      <c r="I9" s="87" t="e">
        <f>VLOOKUP(B9,'R.H.'!A$3:C$3974,3,FALSE)/100</f>
        <v>#N/A</v>
      </c>
      <c r="J9" s="83"/>
      <c r="K9" s="92" t="e">
        <f t="shared" si="2"/>
        <v>#DIV/0!</v>
      </c>
      <c r="L9" s="84"/>
      <c r="M9" s="84"/>
      <c r="N9" s="94" t="e">
        <f t="shared" si="3"/>
        <v>#DIV/0!</v>
      </c>
      <c r="O9" s="88" t="e">
        <f t="shared" si="0"/>
        <v>#DIV/0!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/>
      <c r="C10" s="91" t="str">
        <f>IF(ISBLANK(B10),"",VLOOKUP(B10,SÜRELER!$A:$B,2,FALSE))</f>
        <v/>
      </c>
      <c r="D10" s="80"/>
      <c r="E10" s="92">
        <f>IF(ISBLANK($B10),"0",VLOOKUP($B10,SÜRELER!$A:$C,3,FALSE))*(D10-F10)</f>
        <v>0</v>
      </c>
      <c r="F10" s="81"/>
      <c r="G10" s="93" t="e">
        <f>VLOOKUP(B10,'R.H.'!A$3:C$3974,3,FALSE)*D10/100</f>
        <v>#N/A</v>
      </c>
      <c r="H10" s="82" t="e">
        <f t="shared" si="1"/>
        <v>#DIV/0!</v>
      </c>
      <c r="I10" s="87" t="e">
        <f>VLOOKUP(B10,'R.H.'!A$3:C$3974,3,FALSE)/100</f>
        <v>#N/A</v>
      </c>
      <c r="J10" s="83"/>
      <c r="K10" s="92" t="e">
        <f t="shared" si="2"/>
        <v>#DIV/0!</v>
      </c>
      <c r="L10" s="84"/>
      <c r="M10" s="84"/>
      <c r="N10" s="94" t="e">
        <f t="shared" si="3"/>
        <v>#DIV/0!</v>
      </c>
      <c r="O10" s="88" t="e">
        <f t="shared" si="0"/>
        <v>#DIV/0!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/>
      <c r="C11" s="91" t="str">
        <f>IF(ISBLANK(B11),"",VLOOKUP(B11,SÜRELER!$A:$B,2,FALSE))</f>
        <v/>
      </c>
      <c r="D11" s="80"/>
      <c r="E11" s="92">
        <f>IF(ISBLANK($B11),"0",VLOOKUP($B11,SÜRELER!$A:$C,3,FALSE))*(D11-F11)</f>
        <v>0</v>
      </c>
      <c r="F11" s="81"/>
      <c r="G11" s="93" t="e">
        <f>VLOOKUP(B11,'R.H.'!A$3:C$3974,3,FALSE)*D11/100</f>
        <v>#N/A</v>
      </c>
      <c r="H11" s="82" t="e">
        <f t="shared" si="1"/>
        <v>#DIV/0!</v>
      </c>
      <c r="I11" s="87" t="e">
        <f>VLOOKUP(B11,'R.H.'!A$3:C$3974,3,FALSE)/100</f>
        <v>#N/A</v>
      </c>
      <c r="J11" s="83"/>
      <c r="K11" s="92" t="e">
        <f t="shared" si="2"/>
        <v>#DIV/0!</v>
      </c>
      <c r="L11" s="84"/>
      <c r="M11" s="84"/>
      <c r="N11" s="94" t="e">
        <f t="shared" si="3"/>
        <v>#DIV/0!</v>
      </c>
      <c r="O11" s="88" t="e">
        <f t="shared" si="0"/>
        <v>#DIV/0!</v>
      </c>
      <c r="P11" s="119"/>
      <c r="Q11" s="5"/>
      <c r="R11" s="5"/>
    </row>
    <row r="12" spans="1:23" s="4" customFormat="1" ht="16.5" x14ac:dyDescent="0.25">
      <c r="A12" s="85">
        <v>8</v>
      </c>
      <c r="B12" s="86"/>
      <c r="C12" s="91" t="str">
        <f>IF(ISBLANK(B12),"",VLOOKUP(B12,SÜRELER!$A:$B,2,FALSE))</f>
        <v/>
      </c>
      <c r="D12" s="80"/>
      <c r="E12" s="92">
        <f>IF(ISBLANK($B12),"0",VLOOKUP($B12,SÜRELER!$A:$C,3,FALSE))*(D12-F12)</f>
        <v>0</v>
      </c>
      <c r="F12" s="81"/>
      <c r="G12" s="93" t="e">
        <f>VLOOKUP(B12,'R.H.'!A$3:C$3974,3,FALSE)*D12/100</f>
        <v>#N/A</v>
      </c>
      <c r="H12" s="82" t="e">
        <f t="shared" si="1"/>
        <v>#DIV/0!</v>
      </c>
      <c r="I12" s="87" t="e">
        <f>VLOOKUP(B12,'R.H.'!A$3:C$3974,3,FALSE)/100</f>
        <v>#N/A</v>
      </c>
      <c r="J12" s="83"/>
      <c r="K12" s="92" t="e">
        <f t="shared" si="2"/>
        <v>#DIV/0!</v>
      </c>
      <c r="L12" s="84"/>
      <c r="M12" s="84"/>
      <c r="N12" s="94" t="e">
        <f t="shared" si="3"/>
        <v>#DIV/0!</v>
      </c>
      <c r="O12" s="88" t="e">
        <f t="shared" si="0"/>
        <v>#DIV/0!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/>
      <c r="C13" s="91" t="str">
        <f>IF(ISBLANK(B13),"",VLOOKUP(B13,SÜRELER!$A:$B,2,FALSE))</f>
        <v/>
      </c>
      <c r="D13" s="80"/>
      <c r="E13" s="92">
        <f>IF(ISBLANK($B13),"0",VLOOKUP($B13,SÜRELER!$A:$C,3,FALSE))*(D13-F13)</f>
        <v>0</v>
      </c>
      <c r="F13" s="81"/>
      <c r="G13" s="93" t="e">
        <f>VLOOKUP(B13,'R.H.'!A$3:C$3974,3,FALSE)*D13/100</f>
        <v>#N/A</v>
      </c>
      <c r="H13" s="82" t="e">
        <f t="shared" si="1"/>
        <v>#DIV/0!</v>
      </c>
      <c r="I13" s="87" t="e">
        <f>VLOOKUP(B13,'R.H.'!A$3:C$3974,3,FALSE)/100</f>
        <v>#N/A</v>
      </c>
      <c r="J13" s="83"/>
      <c r="K13" s="92" t="e">
        <f t="shared" si="2"/>
        <v>#DIV/0!</v>
      </c>
      <c r="L13" s="84"/>
      <c r="M13" s="84"/>
      <c r="N13" s="94" t="e">
        <f t="shared" si="3"/>
        <v>#DIV/0!</v>
      </c>
      <c r="O13" s="88" t="e">
        <f t="shared" si="0"/>
        <v>#DIV/0!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/>
      <c r="C14" s="91" t="str">
        <f>IF(ISBLANK(B14),"",VLOOKUP(B14,SÜRELER!$A:$B,2,FALSE))</f>
        <v/>
      </c>
      <c r="D14" s="80"/>
      <c r="E14" s="92">
        <f>IF(ISBLANK($B14),"0",VLOOKUP($B14,SÜRELER!$A:$C,3,FALSE))*(D14-F14)</f>
        <v>0</v>
      </c>
      <c r="F14" s="81"/>
      <c r="G14" s="93" t="e">
        <f>VLOOKUP(B14,'R.H.'!A$3:C$3974,3,FALSE)*D14/100</f>
        <v>#N/A</v>
      </c>
      <c r="H14" s="82" t="e">
        <f t="shared" si="1"/>
        <v>#DIV/0!</v>
      </c>
      <c r="I14" s="87" t="e">
        <f>VLOOKUP(B14,'R.H.'!A$3:C$3974,3,FALSE)/100</f>
        <v>#N/A</v>
      </c>
      <c r="J14" s="83"/>
      <c r="K14" s="92" t="e">
        <f t="shared" si="2"/>
        <v>#DIV/0!</v>
      </c>
      <c r="L14" s="84"/>
      <c r="M14" s="84"/>
      <c r="N14" s="94" t="e">
        <f t="shared" si="3"/>
        <v>#DIV/0!</v>
      </c>
      <c r="O14" s="88" t="e">
        <f t="shared" si="0"/>
        <v>#DIV/0!</v>
      </c>
      <c r="P14" s="119"/>
      <c r="Q14" s="5"/>
      <c r="R14" s="5"/>
    </row>
    <row r="15" spans="1:23" s="4" customFormat="1" ht="16.5" x14ac:dyDescent="0.25">
      <c r="A15" s="90">
        <v>11</v>
      </c>
      <c r="B15" s="86"/>
      <c r="C15" s="91" t="str">
        <f>IF(ISBLANK(B15),"",VLOOKUP(B15,SÜRELER!$A:$B,2,FALSE))</f>
        <v/>
      </c>
      <c r="D15" s="80"/>
      <c r="E15" s="92">
        <f>IF(ISBLANK($B15),"0",VLOOKUP($B15,SÜRELER!$A:$C,3,FALSE))*(D15-F15)</f>
        <v>0</v>
      </c>
      <c r="F15" s="81"/>
      <c r="G15" s="93" t="e">
        <f>VLOOKUP(B15,'R.H.'!A$3:C$3974,3,FALSE)*D15/100</f>
        <v>#N/A</v>
      </c>
      <c r="H15" s="82" t="e">
        <f t="shared" si="1"/>
        <v>#DIV/0!</v>
      </c>
      <c r="I15" s="87" t="e">
        <f>VLOOKUP(B15,'R.H.'!A$3:C$3974,3,FALSE)/100</f>
        <v>#N/A</v>
      </c>
      <c r="J15" s="83"/>
      <c r="K15" s="92" t="e">
        <f t="shared" si="2"/>
        <v>#DIV/0!</v>
      </c>
      <c r="L15" s="84"/>
      <c r="M15" s="84"/>
      <c r="N15" s="94" t="e">
        <f t="shared" si="3"/>
        <v>#DIV/0!</v>
      </c>
      <c r="O15" s="88" t="e">
        <f t="shared" si="0"/>
        <v>#DIV/0!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/>
      <c r="C16" s="91" t="str">
        <f>IF(ISBLANK(B16),"",VLOOKUP(B16,SÜRELER!$A:$B,2,FALSE))</f>
        <v/>
      </c>
      <c r="D16" s="80"/>
      <c r="E16" s="92">
        <f>IF(ISBLANK($B16),"0",VLOOKUP($B16,SÜRELER!$A:$C,3,FALSE))*(D16-F16)</f>
        <v>0</v>
      </c>
      <c r="F16" s="81"/>
      <c r="G16" s="93" t="e">
        <f>VLOOKUP(B16,'R.H.'!A$3:C$3974,3,FALSE)*D16/100</f>
        <v>#N/A</v>
      </c>
      <c r="H16" s="82" t="e">
        <f t="shared" si="1"/>
        <v>#DIV/0!</v>
      </c>
      <c r="I16" s="87" t="e">
        <f>VLOOKUP(B16,'R.H.'!A$3:C$3974,3,FALSE)/100</f>
        <v>#N/A</v>
      </c>
      <c r="J16" s="83"/>
      <c r="K16" s="92" t="e">
        <f t="shared" si="2"/>
        <v>#DIV/0!</v>
      </c>
      <c r="L16" s="84"/>
      <c r="M16" s="84"/>
      <c r="N16" s="94" t="e">
        <f t="shared" si="3"/>
        <v>#DIV/0!</v>
      </c>
      <c r="O16" s="88" t="e">
        <f t="shared" si="0"/>
        <v>#DIV/0!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/>
      <c r="C17" s="91" t="str">
        <f>IF(ISBLANK(B17),"",VLOOKUP(B17,SÜRELER!$A:$B,2,FALSE))</f>
        <v/>
      </c>
      <c r="D17" s="80"/>
      <c r="E17" s="92">
        <f>IF(ISBLANK($B17),"0",VLOOKUP($B17,SÜRELER!$A:$C,3,FALSE))*(D17-F17)</f>
        <v>0</v>
      </c>
      <c r="F17" s="81"/>
      <c r="G17" s="93" t="e">
        <f>VLOOKUP(B17,'R.H.'!A$3:C$3974,3,FALSE)*D17/100</f>
        <v>#N/A</v>
      </c>
      <c r="H17" s="82" t="e">
        <f t="shared" si="1"/>
        <v>#DIV/0!</v>
      </c>
      <c r="I17" s="87" t="e">
        <f>VLOOKUP(B17,'R.H.'!A$3:C$3974,3,FALSE)/100</f>
        <v>#N/A</v>
      </c>
      <c r="J17" s="83"/>
      <c r="K17" s="92" t="e">
        <f t="shared" si="2"/>
        <v>#DIV/0!</v>
      </c>
      <c r="L17" s="84"/>
      <c r="M17" s="84"/>
      <c r="N17" s="94" t="e">
        <f t="shared" si="3"/>
        <v>#DIV/0!</v>
      </c>
      <c r="O17" s="88" t="e">
        <f t="shared" si="0"/>
        <v>#DIV/0!</v>
      </c>
      <c r="P17" s="119"/>
      <c r="Q17" s="5"/>
      <c r="R17" s="5"/>
    </row>
    <row r="18" spans="1:18" s="4" customFormat="1" ht="16.5" x14ac:dyDescent="0.25">
      <c r="A18" s="85">
        <v>14</v>
      </c>
      <c r="B18" s="86"/>
      <c r="C18" s="91" t="str">
        <f>IF(ISBLANK(B18),"",VLOOKUP(B18,SÜRELER!$A:$B,2,FALSE))</f>
        <v/>
      </c>
      <c r="D18" s="80"/>
      <c r="E18" s="92">
        <f>IF(ISBLANK($B18),"0",VLOOKUP($B18,SÜRELER!$A:$C,3,FALSE))*(D18-F18)</f>
        <v>0</v>
      </c>
      <c r="F18" s="81"/>
      <c r="G18" s="93" t="e">
        <f>VLOOKUP(B18,'R.H.'!A$3:C$3974,3,FALSE)*D18/100</f>
        <v>#N/A</v>
      </c>
      <c r="H18" s="82" t="e">
        <f t="shared" si="1"/>
        <v>#DIV/0!</v>
      </c>
      <c r="I18" s="87" t="e">
        <f>VLOOKUP(B18,'R.H.'!A$3:C$3974,3,FALSE)/100</f>
        <v>#N/A</v>
      </c>
      <c r="J18" s="83"/>
      <c r="K18" s="92" t="e">
        <f t="shared" si="2"/>
        <v>#DIV/0!</v>
      </c>
      <c r="L18" s="84"/>
      <c r="M18" s="84"/>
      <c r="N18" s="94" t="e">
        <f t="shared" si="3"/>
        <v>#DIV/0!</v>
      </c>
      <c r="O18" s="88" t="e">
        <f t="shared" si="0"/>
        <v>#DIV/0!</v>
      </c>
      <c r="P18" s="119"/>
      <c r="Q18" s="5"/>
      <c r="R18" s="5"/>
    </row>
    <row r="19" spans="1:18" s="4" customFormat="1" ht="16.5" x14ac:dyDescent="0.25">
      <c r="A19" s="90">
        <v>15</v>
      </c>
      <c r="B19" s="86"/>
      <c r="C19" s="91" t="str">
        <f>IF(ISBLANK(B19),"",VLOOKUP(B19,SÜRELER!$A:$B,2,FALSE))</f>
        <v/>
      </c>
      <c r="D19" s="80"/>
      <c r="E19" s="92">
        <f>IF(ISBLANK($B19),"0",VLOOKUP($B19,SÜRELER!$A:$C,3,FALSE))*(D19-F19)</f>
        <v>0</v>
      </c>
      <c r="F19" s="81"/>
      <c r="G19" s="93" t="e">
        <f>VLOOKUP(B19,'R.H.'!A$3:C$3974,3,FALSE)*D19/100</f>
        <v>#N/A</v>
      </c>
      <c r="H19" s="82" t="e">
        <f t="shared" si="1"/>
        <v>#DIV/0!</v>
      </c>
      <c r="I19" s="87" t="e">
        <f>VLOOKUP(B19,'R.H.'!A$3:C$3974,3,FALSE)/100</f>
        <v>#N/A</v>
      </c>
      <c r="J19" s="83"/>
      <c r="K19" s="92" t="e">
        <f t="shared" si="2"/>
        <v>#DIV/0!</v>
      </c>
      <c r="L19" s="84"/>
      <c r="M19" s="84"/>
      <c r="N19" s="94" t="e">
        <f t="shared" si="3"/>
        <v>#DIV/0!</v>
      </c>
      <c r="O19" s="88" t="e">
        <f t="shared" si="0"/>
        <v>#DIV/0!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/>
      <c r="C20" s="91" t="str">
        <f>IF(ISBLANK(B20),"",VLOOKUP(B20,SÜRELER!$A:$B,2,FALSE))</f>
        <v/>
      </c>
      <c r="D20" s="80"/>
      <c r="E20" s="92">
        <f>IF(ISBLANK($B20),"0",VLOOKUP($B20,SÜRELER!$A:$C,3,FALSE))*(D20-F20)</f>
        <v>0</v>
      </c>
      <c r="F20" s="81"/>
      <c r="G20" s="93" t="e">
        <f>VLOOKUP(B20,'R.H.'!A$3:C$3974,3,FALSE)*D20/100</f>
        <v>#N/A</v>
      </c>
      <c r="H20" s="82" t="e">
        <f t="shared" si="1"/>
        <v>#DIV/0!</v>
      </c>
      <c r="I20" s="87" t="e">
        <f>VLOOKUP(B20,'R.H.'!A$3:C$3974,3,FALSE)/100</f>
        <v>#N/A</v>
      </c>
      <c r="J20" s="83"/>
      <c r="K20" s="92" t="e">
        <f t="shared" si="2"/>
        <v>#DIV/0!</v>
      </c>
      <c r="L20" s="84"/>
      <c r="M20" s="84"/>
      <c r="N20" s="94" t="e">
        <f t="shared" si="3"/>
        <v>#DIV/0!</v>
      </c>
      <c r="O20" s="88" t="e">
        <f t="shared" si="0"/>
        <v>#DIV/0!</v>
      </c>
      <c r="P20" s="119"/>
      <c r="Q20" s="5"/>
      <c r="R20" s="5"/>
    </row>
    <row r="21" spans="1:18" s="4" customFormat="1" ht="16.5" x14ac:dyDescent="0.25">
      <c r="A21" s="90">
        <v>17</v>
      </c>
      <c r="B21" s="86"/>
      <c r="C21" s="91" t="str">
        <f>IF(ISBLANK(B21),"",VLOOKUP(B21,SÜRELER!$A:$B,2,FALSE))</f>
        <v/>
      </c>
      <c r="D21" s="80"/>
      <c r="E21" s="92">
        <f>IF(ISBLANK($B21),"0",VLOOKUP($B21,SÜRELER!$A:$C,3,FALSE))*(D21-F21)</f>
        <v>0</v>
      </c>
      <c r="F21" s="81"/>
      <c r="G21" s="93" t="e">
        <f>VLOOKUP(B21,'R.H.'!A$3:C$3974,3,FALSE)*D21/100</f>
        <v>#N/A</v>
      </c>
      <c r="H21" s="82" t="e">
        <f t="shared" si="1"/>
        <v>#DIV/0!</v>
      </c>
      <c r="I21" s="87" t="e">
        <f>VLOOKUP(B21,'R.H.'!A$3:C$3974,3,FALSE)/100</f>
        <v>#N/A</v>
      </c>
      <c r="J21" s="83"/>
      <c r="K21" s="92" t="e">
        <f t="shared" si="2"/>
        <v>#DIV/0!</v>
      </c>
      <c r="L21" s="84"/>
      <c r="M21" s="84"/>
      <c r="N21" s="94" t="e">
        <f t="shared" si="3"/>
        <v>#DIV/0!</v>
      </c>
      <c r="O21" s="88" t="e">
        <f t="shared" si="0"/>
        <v>#DIV/0!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/>
      <c r="C22" s="91" t="str">
        <f>IF(ISBLANK(B22),"",VLOOKUP(B22,SÜRELER!$A:$B,2,FALSE))</f>
        <v/>
      </c>
      <c r="D22" s="80"/>
      <c r="E22" s="92">
        <f>IF(ISBLANK($B22),"0",VLOOKUP($B22,SÜRELER!$A:$C,3,FALSE))*(D22-F22)</f>
        <v>0</v>
      </c>
      <c r="F22" s="81"/>
      <c r="G22" s="93" t="e">
        <f>VLOOKUP(B22,'R.H.'!A$3:C$3974,3,FALSE)*D22/100</f>
        <v>#N/A</v>
      </c>
      <c r="H22" s="82" t="e">
        <f t="shared" si="1"/>
        <v>#DIV/0!</v>
      </c>
      <c r="I22" s="87" t="e">
        <f>VLOOKUP(B22,'R.H.'!A$3:C$3974,3,FALSE)/100</f>
        <v>#N/A</v>
      </c>
      <c r="J22" s="83"/>
      <c r="K22" s="92" t="e">
        <f t="shared" si="2"/>
        <v>#DIV/0!</v>
      </c>
      <c r="L22" s="84"/>
      <c r="M22" s="84"/>
      <c r="N22" s="94" t="e">
        <f t="shared" si="3"/>
        <v>#DIV/0!</v>
      </c>
      <c r="O22" s="88" t="e">
        <f t="shared" si="0"/>
        <v>#DIV/0!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/>
      <c r="C23" s="91" t="str">
        <f>IF(ISBLANK(B23),"",VLOOKUP(B23,SÜRELER!$A:$B,2,FALSE))</f>
        <v/>
      </c>
      <c r="D23" s="80"/>
      <c r="E23" s="92">
        <f>IF(ISBLANK($B23),"0",VLOOKUP($B23,SÜRELER!$A:$C,3,FALSE))*(D23-F23)</f>
        <v>0</v>
      </c>
      <c r="F23" s="81"/>
      <c r="G23" s="93" t="e">
        <f>VLOOKUP(B23,'R.H.'!A$3:C$3974,3,FALSE)*D23/100</f>
        <v>#N/A</v>
      </c>
      <c r="H23" s="82" t="e">
        <f t="shared" si="1"/>
        <v>#DIV/0!</v>
      </c>
      <c r="I23" s="87" t="e">
        <f>VLOOKUP(B23,'R.H.'!A$3:C$3974,3,FALSE)/100</f>
        <v>#N/A</v>
      </c>
      <c r="J23" s="83"/>
      <c r="K23" s="92" t="e">
        <f t="shared" si="2"/>
        <v>#DIV/0!</v>
      </c>
      <c r="L23" s="84"/>
      <c r="M23" s="84"/>
      <c r="N23" s="94" t="e">
        <f t="shared" si="3"/>
        <v>#DIV/0!</v>
      </c>
      <c r="O23" s="88" t="e">
        <f t="shared" si="0"/>
        <v>#DIV/0!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/>
      <c r="C24" s="91" t="str">
        <f>IF(ISBLANK(B24),"",VLOOKUP(B24,SÜRELER!$A:$B,2,FALSE))</f>
        <v/>
      </c>
      <c r="D24" s="80"/>
      <c r="E24" s="92">
        <f>IF(ISBLANK($B24),"0",VLOOKUP($B24,SÜRELER!$A:$C,3,FALSE))*(D24-F24)</f>
        <v>0</v>
      </c>
      <c r="F24" s="81"/>
      <c r="G24" s="93" t="e">
        <f>VLOOKUP(B24,'R.H.'!A$3:C$3974,3,FALSE)*D24/100</f>
        <v>#N/A</v>
      </c>
      <c r="H24" s="82" t="e">
        <f t="shared" si="1"/>
        <v>#DIV/0!</v>
      </c>
      <c r="I24" s="87" t="e">
        <f>VLOOKUP(B24,'R.H.'!A$3:C$3974,3,FALSE)/100</f>
        <v>#N/A</v>
      </c>
      <c r="J24" s="83"/>
      <c r="K24" s="92" t="e">
        <f t="shared" si="2"/>
        <v>#DIV/0!</v>
      </c>
      <c r="L24" s="84"/>
      <c r="M24" s="84"/>
      <c r="N24" s="94" t="e">
        <f t="shared" si="3"/>
        <v>#DIV/0!</v>
      </c>
      <c r="O24" s="88" t="e">
        <f t="shared" si="0"/>
        <v>#DIV/0!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/>
      <c r="C25" s="91" t="str">
        <f>IF(ISBLANK(B25),"",VLOOKUP(B25,SÜRELER!$A:$B,2,FALSE))</f>
        <v/>
      </c>
      <c r="D25" s="80"/>
      <c r="E25" s="92">
        <f>IF(ISBLANK($B25),"0",VLOOKUP($B25,SÜRELER!$A:$C,3,FALSE))*(D25-F25)</f>
        <v>0</v>
      </c>
      <c r="F25" s="81"/>
      <c r="G25" s="93" t="e">
        <f>VLOOKUP(B25,'R.H.'!A$3:C$3974,3,FALSE)*D25/100</f>
        <v>#N/A</v>
      </c>
      <c r="H25" s="82" t="e">
        <f t="shared" si="1"/>
        <v>#DIV/0!</v>
      </c>
      <c r="I25" s="87" t="e">
        <f>VLOOKUP(B25,'R.H.'!A$3:C$3974,3,FALSE)/100</f>
        <v>#N/A</v>
      </c>
      <c r="J25" s="83"/>
      <c r="K25" s="92" t="e">
        <f t="shared" si="2"/>
        <v>#DIV/0!</v>
      </c>
      <c r="L25" s="84"/>
      <c r="M25" s="84"/>
      <c r="N25" s="94" t="e">
        <f t="shared" si="3"/>
        <v>#DIV/0!</v>
      </c>
      <c r="O25" s="88" t="e">
        <f t="shared" si="0"/>
        <v>#DIV/0!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/>
      <c r="C26" s="91" t="str">
        <f>IF(ISBLANK(B26),"",VLOOKUP(B26,SÜRELER!$A:$B,2,FALSE))</f>
        <v/>
      </c>
      <c r="D26" s="80"/>
      <c r="E26" s="92">
        <f>IF(ISBLANK($B26),"0",VLOOKUP($B26,SÜRELER!$A:$C,3,FALSE))*(D26-F26)</f>
        <v>0</v>
      </c>
      <c r="F26" s="81"/>
      <c r="G26" s="93" t="e">
        <f>VLOOKUP(B26,'R.H.'!A$3:C$3974,3,FALSE)*D26/100</f>
        <v>#N/A</v>
      </c>
      <c r="H26" s="82" t="e">
        <f t="shared" si="1"/>
        <v>#DIV/0!</v>
      </c>
      <c r="I26" s="87" t="e">
        <f>VLOOKUP(B26,'R.H.'!A$3:C$3974,3,FALSE)/100</f>
        <v>#N/A</v>
      </c>
      <c r="J26" s="83"/>
      <c r="K26" s="92" t="e">
        <f t="shared" si="2"/>
        <v>#DIV/0!</v>
      </c>
      <c r="L26" s="84"/>
      <c r="M26" s="84"/>
      <c r="N26" s="94" t="e">
        <f t="shared" si="3"/>
        <v>#DIV/0!</v>
      </c>
      <c r="O26" s="88" t="e">
        <f t="shared" si="0"/>
        <v>#DIV/0!</v>
      </c>
      <c r="P26" s="119"/>
      <c r="Q26" s="5"/>
      <c r="R26" s="5"/>
    </row>
    <row r="27" spans="1:18" s="4" customFormat="1" ht="16.5" x14ac:dyDescent="0.25">
      <c r="A27" s="90">
        <v>23</v>
      </c>
      <c r="B27" s="86"/>
      <c r="C27" s="91" t="str">
        <f>IF(ISBLANK(B27),"",VLOOKUP(B27,SÜRELER!$A:$B,2,FALSE))</f>
        <v/>
      </c>
      <c r="D27" s="80"/>
      <c r="E27" s="92">
        <f>IF(ISBLANK($B27),"0",VLOOKUP($B27,SÜRELER!$A:$C,3,FALSE))*(D27-F27)</f>
        <v>0</v>
      </c>
      <c r="F27" s="81"/>
      <c r="G27" s="93" t="e">
        <f>VLOOKUP(B27,'R.H.'!A$3:C$3974,3,FALSE)*D27/100</f>
        <v>#N/A</v>
      </c>
      <c r="H27" s="82" t="e">
        <f t="shared" si="1"/>
        <v>#DIV/0!</v>
      </c>
      <c r="I27" s="87" t="e">
        <f>VLOOKUP(B27,'R.H.'!A$3:C$3974,3,FALSE)/100</f>
        <v>#N/A</v>
      </c>
      <c r="J27" s="83"/>
      <c r="K27" s="92" t="e">
        <f t="shared" si="2"/>
        <v>#DIV/0!</v>
      </c>
      <c r="L27" s="84"/>
      <c r="M27" s="84"/>
      <c r="N27" s="94" t="e">
        <f t="shared" si="3"/>
        <v>#DIV/0!</v>
      </c>
      <c r="O27" s="88" t="e">
        <f t="shared" si="0"/>
        <v>#DIV/0!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/>
      <c r="C28" s="91" t="str">
        <f>IF(ISBLANK(B28),"",VLOOKUP(B28,SÜRELER!$A:$B,2,FALSE))</f>
        <v/>
      </c>
      <c r="D28" s="80"/>
      <c r="E28" s="92">
        <f>IF(ISBLANK($B28),"0",VLOOKUP($B28,SÜRELER!$A:$C,3,FALSE))*(D28-F28)</f>
        <v>0</v>
      </c>
      <c r="F28" s="81"/>
      <c r="G28" s="93" t="e">
        <f>VLOOKUP(B28,'R.H.'!A$3:C$3974,3,FALSE)*D28/100</f>
        <v>#N/A</v>
      </c>
      <c r="H28" s="82" t="e">
        <f t="shared" si="1"/>
        <v>#DIV/0!</v>
      </c>
      <c r="I28" s="87" t="e">
        <f>VLOOKUP(B28,'R.H.'!A$3:C$3974,3,FALSE)/100</f>
        <v>#N/A</v>
      </c>
      <c r="J28" s="83"/>
      <c r="K28" s="92" t="e">
        <f t="shared" si="2"/>
        <v>#DIV/0!</v>
      </c>
      <c r="L28" s="84"/>
      <c r="M28" s="84"/>
      <c r="N28" s="94" t="e">
        <f t="shared" si="3"/>
        <v>#DIV/0!</v>
      </c>
      <c r="O28" s="88" t="e">
        <f t="shared" si="0"/>
        <v>#DIV/0!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/>
      <c r="C29" s="91" t="str">
        <f>IF(ISBLANK(B29),"",VLOOKUP(B29,SÜRELER!$A:$B,2,FALSE))</f>
        <v/>
      </c>
      <c r="D29" s="80"/>
      <c r="E29" s="92">
        <f>IF(ISBLANK($B29),"0",VLOOKUP($B29,SÜRELER!$A:$C,3,FALSE))*(D29-F29)</f>
        <v>0</v>
      </c>
      <c r="F29" s="81"/>
      <c r="G29" s="93" t="e">
        <f>VLOOKUP(B29,'R.H.'!A$3:C$3974,3,FALSE)*D29/100</f>
        <v>#N/A</v>
      </c>
      <c r="H29" s="82" t="e">
        <f t="shared" si="1"/>
        <v>#DIV/0!</v>
      </c>
      <c r="I29" s="87" t="e">
        <f>VLOOKUP(B29,'R.H.'!A$3:C$3974,3,FALSE)/100</f>
        <v>#N/A</v>
      </c>
      <c r="J29" s="83"/>
      <c r="K29" s="92" t="e">
        <f t="shared" si="2"/>
        <v>#DIV/0!</v>
      </c>
      <c r="L29" s="84"/>
      <c r="M29" s="84"/>
      <c r="N29" s="94" t="e">
        <f t="shared" si="3"/>
        <v>#DIV/0!</v>
      </c>
      <c r="O29" s="88" t="e">
        <f t="shared" si="0"/>
        <v>#DIV/0!</v>
      </c>
      <c r="P29" s="119"/>
      <c r="Q29" s="5"/>
      <c r="R29" s="5"/>
    </row>
    <row r="30" spans="1:18" s="4" customFormat="1" ht="16.5" x14ac:dyDescent="0.25">
      <c r="A30" s="85">
        <v>26</v>
      </c>
      <c r="B30" s="86"/>
      <c r="C30" s="91" t="str">
        <f>IF(ISBLANK(B30),"",VLOOKUP(B30,SÜRELER!$A:$B,2,FALSE))</f>
        <v/>
      </c>
      <c r="D30" s="80"/>
      <c r="E30" s="92">
        <f>IF(ISBLANK($B30),"0",VLOOKUP($B30,SÜRELER!$A:$C,3,FALSE))*(D30-F30)</f>
        <v>0</v>
      </c>
      <c r="F30" s="81"/>
      <c r="G30" s="93" t="e">
        <f>VLOOKUP(B30,'R.H.'!A$3:C$3974,3,FALSE)*D30/100</f>
        <v>#N/A</v>
      </c>
      <c r="H30" s="82" t="e">
        <f t="shared" si="1"/>
        <v>#DIV/0!</v>
      </c>
      <c r="I30" s="87" t="e">
        <f>VLOOKUP(B30,'R.H.'!A$3:C$3974,3,FALSE)/100</f>
        <v>#N/A</v>
      </c>
      <c r="J30" s="83"/>
      <c r="K30" s="92" t="e">
        <f t="shared" si="2"/>
        <v>#DIV/0!</v>
      </c>
      <c r="L30" s="84"/>
      <c r="M30" s="84"/>
      <c r="N30" s="94" t="e">
        <f t="shared" si="3"/>
        <v>#DIV/0!</v>
      </c>
      <c r="O30" s="88" t="e">
        <f t="shared" si="0"/>
        <v>#DIV/0!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0</v>
      </c>
      <c r="E45" s="26">
        <f>SUM(E5:E44)</f>
        <v>0</v>
      </c>
      <c r="F45" s="26">
        <f>SUM(F5:F44)</f>
        <v>0</v>
      </c>
      <c r="G45" s="26"/>
      <c r="H45" s="26"/>
      <c r="I45" s="26"/>
      <c r="J45" s="26"/>
      <c r="K45" s="26"/>
      <c r="L45" s="26">
        <f>SUM(L5:L44)</f>
        <v>0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 t="e">
        <f>F45/D45*100</f>
        <v>#DIV/0!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/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/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/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#DIV/0!</v>
      </c>
      <c r="E63" s="21">
        <f>D45</f>
        <v>0</v>
      </c>
      <c r="F63" s="24">
        <f>F45</f>
        <v>0</v>
      </c>
      <c r="G63" s="23" t="e">
        <f>(F63*1000000)/E63</f>
        <v>#DIV/0!</v>
      </c>
      <c r="H63" s="22">
        <f>D59</f>
        <v>0</v>
      </c>
      <c r="I63" s="17" t="e">
        <f>N1</f>
        <v>#DIV/0!</v>
      </c>
    </row>
  </sheetData>
  <mergeCells count="15">
    <mergeCell ref="N1:N3"/>
    <mergeCell ref="A2:B3"/>
    <mergeCell ref="E56:N56"/>
    <mergeCell ref="E57:N57"/>
    <mergeCell ref="E49:N49"/>
    <mergeCell ref="E50:N50"/>
    <mergeCell ref="E51:N51"/>
    <mergeCell ref="E53:N53"/>
    <mergeCell ref="E54:N54"/>
    <mergeCell ref="E55:N55"/>
    <mergeCell ref="D46:D47"/>
    <mergeCell ref="E46:F47"/>
    <mergeCell ref="A1:B1"/>
    <mergeCell ref="C1:D2"/>
    <mergeCell ref="H1:H3"/>
  </mergeCells>
  <conditionalFormatting sqref="D3">
    <cfRule type="cellIs" dxfId="19" priority="5" stopIfTrue="1" operator="lessThan">
      <formula>0.95</formula>
    </cfRule>
  </conditionalFormatting>
  <conditionalFormatting sqref="F5:F44">
    <cfRule type="cellIs" dxfId="18" priority="1" stopIfTrue="1" operator="greaterThan">
      <formula>$G5</formula>
    </cfRule>
  </conditionalFormatting>
  <conditionalFormatting sqref="H5:H44">
    <cfRule type="cellIs" dxfId="17" priority="2" stopIfTrue="1" operator="greaterThan">
      <formula>$I$5</formula>
    </cfRule>
  </conditionalFormatting>
  <conditionalFormatting sqref="N1:N3">
    <cfRule type="cellIs" dxfId="16" priority="4" stopIfTrue="1" operator="lessThan">
      <formula>0.8</formula>
    </cfRule>
  </conditionalFormatting>
  <conditionalFormatting sqref="N5:O44">
    <cfRule type="cellIs" dxfId="15" priority="3" stopIfTrue="1" operator="lessThan">
      <formula>0.85</formula>
    </cfRule>
  </conditionalFormatting>
  <hyperlinks>
    <hyperlink ref="P1:P3" location="'Ana Sayfa'!A1" display="ANA SAYFA" xr:uid="{AF8A2FE7-FAFC-419E-BBDF-7DB4F316F694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0765-486F-4F83-9B54-2E7F472C272D}">
  <sheetPr codeName="Sayfa29">
    <tabColor theme="0" tint="-0.14999847407452621"/>
    <pageSetUpPr fitToPage="1"/>
  </sheetPr>
  <dimension ref="A1:W63"/>
  <sheetViews>
    <sheetView workbookViewId="0">
      <selection activeCell="H1" sqref="H1:H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0" style="2" bestFit="1" customWidth="1"/>
    <col min="5" max="5" width="7.54296875" style="2" bestFit="1" customWidth="1"/>
    <col min="6" max="6" width="5.7265625" style="2" bestFit="1" customWidth="1"/>
    <col min="7" max="7" width="7.7265625" style="8" bestFit="1" customWidth="1"/>
    <col min="8" max="8" width="11.1796875" style="15" customWidth="1"/>
    <col min="9" max="9" width="7.26953125" style="8" bestFit="1" customWidth="1"/>
    <col min="10" max="10" width="5" style="66" bestFit="1" customWidth="1"/>
    <col min="11" max="11" width="10" style="2" bestFit="1" customWidth="1"/>
    <col min="12" max="12" width="7.453125" style="2" bestFit="1" customWidth="1"/>
    <col min="13" max="13" width="7" style="2" bestFit="1" customWidth="1"/>
    <col min="14" max="14" width="12.54296875" style="2" bestFit="1" customWidth="1"/>
    <col min="15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'28'!A1+1</f>
        <v>46232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Çarşamba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18386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1320</v>
      </c>
      <c r="C5" s="91" t="e">
        <f>IF(ISBLANK(B5),"",VLOOKUP(B5,SÜRELER!$A:$B,2,FALSE))</f>
        <v>#N/A</v>
      </c>
      <c r="D5" s="80">
        <v>330</v>
      </c>
      <c r="E5" s="92" t="e">
        <f>IF(ISBLANK($B5),"0",VLOOKUP($B5,SÜRELER!$A:$C,3,FALSE))*(D5-F5)</f>
        <v>#N/A</v>
      </c>
      <c r="F5" s="81">
        <v>3</v>
      </c>
      <c r="G5" s="93" t="e">
        <f>VLOOKUP(B5,'R.H.'!A$3:C$3974,3,FALSE)*D5/100</f>
        <v>#N/A</v>
      </c>
      <c r="H5" s="82">
        <f>F5/D5</f>
        <v>9.0909090909090905E-3</v>
      </c>
      <c r="I5" s="87" t="e">
        <f>VLOOKUP(B5,'R.H.'!A$3:C$3974,3,FALSE)/100</f>
        <v>#N/A</v>
      </c>
      <c r="J5" s="83">
        <v>0.5</v>
      </c>
      <c r="K5" s="92" t="e">
        <f>E5/J5</f>
        <v>#N/A</v>
      </c>
      <c r="L5" s="84">
        <v>330</v>
      </c>
      <c r="M5" s="84"/>
      <c r="N5" s="94" t="e">
        <f>K5/L5</f>
        <v>#N/A</v>
      </c>
      <c r="O5" s="88" t="e">
        <f t="shared" ref="O5:O44" si="0">K5/(L5-M5)</f>
        <v>#N/A</v>
      </c>
      <c r="P5" s="193" t="s">
        <v>3400</v>
      </c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1321</v>
      </c>
      <c r="C6" s="91" t="e">
        <f>IF(ISBLANK(B6),"",VLOOKUP(B6,SÜRELER!$A:$B,2,FALSE))</f>
        <v>#N/A</v>
      </c>
      <c r="D6" s="80">
        <v>330</v>
      </c>
      <c r="E6" s="92" t="e">
        <f>IF(ISBLANK($B6),"0",VLOOKUP($B6,SÜRELER!$A:$C,3,FALSE))*(D6-F6)</f>
        <v>#N/A</v>
      </c>
      <c r="F6" s="81">
        <v>3</v>
      </c>
      <c r="G6" s="93" t="e">
        <f>VLOOKUP(B6,'R.H.'!A$3:C$3974,3,FALSE)*D6/100</f>
        <v>#N/A</v>
      </c>
      <c r="H6" s="82">
        <f t="shared" ref="H6:H44" si="1">F6/D6</f>
        <v>9.0909090909090905E-3</v>
      </c>
      <c r="I6" s="87" t="e">
        <f>VLOOKUP(B6,'R.H.'!A$3:C$3974,3,FALSE)/100</f>
        <v>#N/A</v>
      </c>
      <c r="J6" s="83">
        <v>0.5</v>
      </c>
      <c r="K6" s="92" t="e">
        <f t="shared" ref="K6:K44" si="2">E6/J6</f>
        <v>#N/A</v>
      </c>
      <c r="L6" s="84">
        <v>330</v>
      </c>
      <c r="M6" s="84"/>
      <c r="N6" s="94" t="e">
        <f t="shared" ref="N6:N44" si="3">K6/L6</f>
        <v>#N/A</v>
      </c>
      <c r="O6" s="88" t="e">
        <f t="shared" si="0"/>
        <v>#N/A</v>
      </c>
      <c r="P6" s="194"/>
      <c r="Q6" s="5"/>
      <c r="R6" s="5"/>
    </row>
    <row r="7" spans="1:23" s="4" customFormat="1" ht="16.5" customHeight="1" x14ac:dyDescent="0.25">
      <c r="A7" s="90">
        <v>3</v>
      </c>
      <c r="B7" s="86">
        <v>712</v>
      </c>
      <c r="C7" s="91" t="e">
        <f>IF(ISBLANK(B7),"",VLOOKUP(B7,SÜRELER!$A:$B,2,FALSE))</f>
        <v>#N/A</v>
      </c>
      <c r="D7" s="80">
        <v>167</v>
      </c>
      <c r="E7" s="92" t="e">
        <f>IF(ISBLANK($B7),"0",VLOOKUP($B7,SÜRELER!$A:$C,3,FALSE))*(D7-F7)</f>
        <v>#N/A</v>
      </c>
      <c r="F7" s="81">
        <v>5</v>
      </c>
      <c r="G7" s="93" t="e">
        <f>VLOOKUP(B7,'R.H.'!A$3:C$3974,3,FALSE)*D7/100</f>
        <v>#N/A</v>
      </c>
      <c r="H7" s="82">
        <f t="shared" si="1"/>
        <v>2.9940119760479042E-2</v>
      </c>
      <c r="I7" s="87" t="e">
        <f>VLOOKUP(B7,'R.H.'!A$3:C$3974,3,FALSE)/100</f>
        <v>#N/A</v>
      </c>
      <c r="J7" s="83">
        <v>0.5</v>
      </c>
      <c r="K7" s="92" t="e">
        <f t="shared" si="2"/>
        <v>#N/A</v>
      </c>
      <c r="L7" s="84">
        <v>300</v>
      </c>
      <c r="M7" s="84"/>
      <c r="N7" s="94" t="e">
        <f t="shared" si="3"/>
        <v>#N/A</v>
      </c>
      <c r="O7" s="88" t="e">
        <f t="shared" si="0"/>
        <v>#N/A</v>
      </c>
      <c r="P7" s="193" t="s">
        <v>3403</v>
      </c>
      <c r="Q7" s="5"/>
      <c r="R7" s="5"/>
    </row>
    <row r="8" spans="1:23" s="4" customFormat="1" ht="16.5" customHeight="1" x14ac:dyDescent="0.25">
      <c r="A8" s="85">
        <v>4</v>
      </c>
      <c r="B8" s="86">
        <v>713</v>
      </c>
      <c r="C8" s="91" t="e">
        <f>IF(ISBLANK(B8),"",VLOOKUP(B8,SÜRELER!$A:$B,2,FALSE))</f>
        <v>#N/A</v>
      </c>
      <c r="D8" s="80">
        <v>167</v>
      </c>
      <c r="E8" s="92" t="e">
        <f>IF(ISBLANK($B8),"0",VLOOKUP($B8,SÜRELER!$A:$C,3,FALSE))*(D8-F8)</f>
        <v>#N/A</v>
      </c>
      <c r="F8" s="81">
        <v>5</v>
      </c>
      <c r="G8" s="93" t="e">
        <f>VLOOKUP(B8,'R.H.'!A$3:C$3974,3,FALSE)*D8/100</f>
        <v>#N/A</v>
      </c>
      <c r="H8" s="82">
        <f t="shared" si="1"/>
        <v>2.9940119760479042E-2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300</v>
      </c>
      <c r="M8" s="84"/>
      <c r="N8" s="94" t="e">
        <f t="shared" si="3"/>
        <v>#N/A</v>
      </c>
      <c r="O8" s="88" t="e">
        <f t="shared" si="0"/>
        <v>#N/A</v>
      </c>
      <c r="P8" s="194"/>
      <c r="Q8" s="5"/>
      <c r="R8" s="5"/>
    </row>
    <row r="9" spans="1:23" s="4" customFormat="1" ht="31" x14ac:dyDescent="0.25">
      <c r="A9" s="90">
        <v>5</v>
      </c>
      <c r="B9" s="86">
        <v>2074</v>
      </c>
      <c r="C9" s="91" t="e">
        <f>IF(ISBLANK(B9),"",VLOOKUP(B9,SÜRELER!$A:$B,2,FALSE))</f>
        <v>#N/A</v>
      </c>
      <c r="D9" s="80">
        <f>1284+164</f>
        <v>1448</v>
      </c>
      <c r="E9" s="92" t="e">
        <f>IF(ISBLANK($B9),"0",VLOOKUP($B9,SÜRELER!$A:$C,3,FALSE))*(D9-F9)</f>
        <v>#N/A</v>
      </c>
      <c r="F9" s="81">
        <v>6</v>
      </c>
      <c r="G9" s="93" t="e">
        <f>VLOOKUP(B9,'R.H.'!A$3:C$3974,3,FALSE)*D9/100</f>
        <v>#N/A</v>
      </c>
      <c r="H9" s="82">
        <f t="shared" si="1"/>
        <v>4.1436464088397788E-3</v>
      </c>
      <c r="I9" s="87" t="e">
        <f>VLOOKUP(B9,'R.H.'!A$3:C$3974,3,FALSE)/100</f>
        <v>#N/A</v>
      </c>
      <c r="J9" s="83">
        <v>1</v>
      </c>
      <c r="K9" s="92" t="e">
        <f t="shared" si="2"/>
        <v>#N/A</v>
      </c>
      <c r="L9" s="84">
        <v>650</v>
      </c>
      <c r="M9" s="84"/>
      <c r="N9" s="94" t="e">
        <f t="shared" si="3"/>
        <v>#N/A</v>
      </c>
      <c r="O9" s="88" t="e">
        <f t="shared" si="0"/>
        <v>#N/A</v>
      </c>
      <c r="P9" s="164" t="s">
        <v>3404</v>
      </c>
      <c r="Q9" s="5"/>
      <c r="R9" s="5"/>
    </row>
    <row r="10" spans="1:23" s="4" customFormat="1" ht="16.5" customHeight="1" x14ac:dyDescent="0.25">
      <c r="A10" s="85">
        <v>6</v>
      </c>
      <c r="B10" s="86">
        <v>700</v>
      </c>
      <c r="C10" s="91" t="e">
        <f>IF(ISBLANK(B10),"",VLOOKUP(B10,SÜRELER!$A:$B,2,FALSE))</f>
        <v>#N/A</v>
      </c>
      <c r="D10" s="80">
        <v>1050</v>
      </c>
      <c r="E10" s="92" t="e">
        <f>IF(ISBLANK($B10),"0",VLOOKUP($B10,SÜRELER!$A:$C,3,FALSE))*(D10-F10)</f>
        <v>#N/A</v>
      </c>
      <c r="F10" s="81">
        <v>0</v>
      </c>
      <c r="G10" s="93" t="e">
        <f>VLOOKUP(B10,'R.H.'!A$3:C$3974,3,FALSE)*D10/100</f>
        <v>#N/A</v>
      </c>
      <c r="H10" s="82">
        <f t="shared" si="1"/>
        <v>0</v>
      </c>
      <c r="I10" s="87" t="e">
        <f>VLOOKUP(B10,'R.H.'!A$3:C$3974,3,FALSE)/100</f>
        <v>#N/A</v>
      </c>
      <c r="J10" s="83">
        <v>0.5</v>
      </c>
      <c r="K10" s="92" t="e">
        <f t="shared" si="2"/>
        <v>#N/A</v>
      </c>
      <c r="L10" s="84">
        <v>1039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248</v>
      </c>
      <c r="C11" s="91" t="e">
        <f>IF(ISBLANK(B11),"",VLOOKUP(B11,SÜRELER!$A:$B,2,FALSE))</f>
        <v>#N/A</v>
      </c>
      <c r="D11" s="80">
        <f>612+597</f>
        <v>1209</v>
      </c>
      <c r="E11" s="92" t="e">
        <f>IF(ISBLANK($B11),"0",VLOOKUP($B11,SÜRELER!$A:$C,3,FALSE))*(D11-F11)</f>
        <v>#N/A</v>
      </c>
      <c r="F11" s="81">
        <v>3</v>
      </c>
      <c r="G11" s="93" t="e">
        <f>VLOOKUP(B11,'R.H.'!A$3:C$3974,3,FALSE)*D11/100</f>
        <v>#N/A</v>
      </c>
      <c r="H11" s="82">
        <f t="shared" si="1"/>
        <v>2.4813895781637717E-3</v>
      </c>
      <c r="I11" s="87" t="e">
        <f>VLOOKUP(B11,'R.H.'!A$3:C$3974,3,FALSE)/100</f>
        <v>#N/A</v>
      </c>
      <c r="J11" s="83">
        <v>0.5</v>
      </c>
      <c r="K11" s="92" t="e">
        <f t="shared" si="2"/>
        <v>#N/A</v>
      </c>
      <c r="L11" s="84">
        <v>1144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249</v>
      </c>
      <c r="C12" s="91" t="e">
        <f>IF(ISBLANK(B12),"",VLOOKUP(B12,SÜRELER!$A:$B,2,FALSE))</f>
        <v>#N/A</v>
      </c>
      <c r="D12" s="80">
        <v>1209</v>
      </c>
      <c r="E12" s="92" t="e">
        <f>IF(ISBLANK($B12),"0",VLOOKUP($B12,SÜRELER!$A:$C,3,FALSE))*(D12-F12)</f>
        <v>#N/A</v>
      </c>
      <c r="F12" s="81">
        <v>3</v>
      </c>
      <c r="G12" s="93" t="e">
        <f>VLOOKUP(B12,'R.H.'!A$3:C$3974,3,FALSE)*D12/100</f>
        <v>#N/A</v>
      </c>
      <c r="H12" s="82">
        <f t="shared" si="1"/>
        <v>2.4813895781637717E-3</v>
      </c>
      <c r="I12" s="87" t="e">
        <f>VLOOKUP(B12,'R.H.'!A$3:C$3974,3,FALSE)/100</f>
        <v>#N/A</v>
      </c>
      <c r="J12" s="83">
        <v>0.5</v>
      </c>
      <c r="K12" s="92" t="e">
        <f t="shared" si="2"/>
        <v>#N/A</v>
      </c>
      <c r="L12" s="84">
        <v>1144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1205</v>
      </c>
      <c r="C13" s="91" t="e">
        <f>IF(ISBLANK(B13),"",VLOOKUP(B13,SÜRELER!$A:$B,2,FALSE))</f>
        <v>#N/A</v>
      </c>
      <c r="D13" s="80">
        <v>212</v>
      </c>
      <c r="E13" s="92" t="e">
        <f>IF(ISBLANK($B13),"0",VLOOKUP($B13,SÜRELER!$A:$C,3,FALSE))*(D13-F13)</f>
        <v>#N/A</v>
      </c>
      <c r="F13" s="81">
        <v>8</v>
      </c>
      <c r="G13" s="93" t="e">
        <f>VLOOKUP(B13,'R.H.'!A$3:C$3974,3,FALSE)*D13/100</f>
        <v>#N/A</v>
      </c>
      <c r="H13" s="82">
        <f t="shared" si="1"/>
        <v>3.7735849056603772E-2</v>
      </c>
      <c r="I13" s="87" t="e">
        <f>VLOOKUP(B13,'R.H.'!A$3:C$3974,3,FALSE)/100</f>
        <v>#N/A</v>
      </c>
      <c r="J13" s="83">
        <v>1</v>
      </c>
      <c r="K13" s="92" t="e">
        <f t="shared" si="2"/>
        <v>#N/A</v>
      </c>
      <c r="L13" s="84">
        <v>96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1358</v>
      </c>
      <c r="C14" s="91" t="e">
        <f>IF(ISBLANK(B14),"",VLOOKUP(B14,SÜRELER!$A:$B,2,FALSE))</f>
        <v>#N/A</v>
      </c>
      <c r="D14" s="80">
        <f>190+288</f>
        <v>478</v>
      </c>
      <c r="E14" s="92" t="e">
        <f>IF(ISBLANK($B14),"0",VLOOKUP($B14,SÜRELER!$A:$C,3,FALSE))*(D14-F14)</f>
        <v>#N/A</v>
      </c>
      <c r="F14" s="81">
        <v>3</v>
      </c>
      <c r="G14" s="93" t="e">
        <f>VLOOKUP(B14,'R.H.'!A$3:C$3974,3,FALSE)*D14/100</f>
        <v>#N/A</v>
      </c>
      <c r="H14" s="82">
        <f t="shared" si="1"/>
        <v>6.2761506276150627E-3</v>
      </c>
      <c r="I14" s="87" t="e">
        <f>VLOOKUP(B14,'R.H.'!A$3:C$3974,3,FALSE)/100</f>
        <v>#N/A</v>
      </c>
      <c r="J14" s="83">
        <v>0.5</v>
      </c>
      <c r="K14" s="92" t="e">
        <f t="shared" si="2"/>
        <v>#N/A</v>
      </c>
      <c r="L14" s="84">
        <v>800</v>
      </c>
      <c r="M14" s="84"/>
      <c r="N14" s="94" t="e">
        <f t="shared" si="3"/>
        <v>#N/A</v>
      </c>
      <c r="O14" s="88" t="e">
        <f t="shared" si="0"/>
        <v>#N/A</v>
      </c>
      <c r="P14" s="193" t="s">
        <v>3406</v>
      </c>
      <c r="Q14" s="5"/>
      <c r="R14" s="5"/>
    </row>
    <row r="15" spans="1:23" s="4" customFormat="1" ht="16.5" x14ac:dyDescent="0.25">
      <c r="A15" s="90">
        <v>11</v>
      </c>
      <c r="B15" s="86">
        <v>1359</v>
      </c>
      <c r="C15" s="91" t="e">
        <f>IF(ISBLANK(B15),"",VLOOKUP(B15,SÜRELER!$A:$B,2,FALSE))</f>
        <v>#N/A</v>
      </c>
      <c r="D15" s="80">
        <v>478</v>
      </c>
      <c r="E15" s="92" t="e">
        <f>IF(ISBLANK($B15),"0",VLOOKUP($B15,SÜRELER!$A:$C,3,FALSE))*(D15-F15)</f>
        <v>#N/A</v>
      </c>
      <c r="F15" s="81">
        <v>3</v>
      </c>
      <c r="G15" s="93" t="e">
        <f>VLOOKUP(B15,'R.H.'!A$3:C$3974,3,FALSE)*D15/100</f>
        <v>#N/A</v>
      </c>
      <c r="H15" s="82">
        <f t="shared" si="1"/>
        <v>6.2761506276150627E-3</v>
      </c>
      <c r="I15" s="87" t="e">
        <f>VLOOKUP(B15,'R.H.'!A$3:C$3974,3,FALSE)/100</f>
        <v>#N/A</v>
      </c>
      <c r="J15" s="83">
        <v>0.5</v>
      </c>
      <c r="K15" s="92" t="e">
        <f t="shared" si="2"/>
        <v>#N/A</v>
      </c>
      <c r="L15" s="84">
        <v>800</v>
      </c>
      <c r="M15" s="84"/>
      <c r="N15" s="94" t="e">
        <f t="shared" si="3"/>
        <v>#N/A</v>
      </c>
      <c r="O15" s="88" t="e">
        <f t="shared" si="0"/>
        <v>#N/A</v>
      </c>
      <c r="P15" s="194"/>
      <c r="Q15" s="5"/>
      <c r="R15" s="5"/>
    </row>
    <row r="16" spans="1:23" s="4" customFormat="1" ht="16.5" customHeight="1" x14ac:dyDescent="0.25">
      <c r="A16" s="85">
        <v>12</v>
      </c>
      <c r="B16" s="86">
        <v>1334</v>
      </c>
      <c r="C16" s="91" t="e">
        <f>IF(ISBLANK(B16),"",VLOOKUP(B16,SÜRELER!$A:$B,2,FALSE))</f>
        <v>#N/A</v>
      </c>
      <c r="D16" s="80">
        <f>774+528</f>
        <v>1302</v>
      </c>
      <c r="E16" s="92" t="e">
        <f>IF(ISBLANK($B16),"0",VLOOKUP($B16,SÜRELER!$A:$C,3,FALSE))*(D16-F16)</f>
        <v>#N/A</v>
      </c>
      <c r="F16" s="81">
        <v>4</v>
      </c>
      <c r="G16" s="93" t="e">
        <f>VLOOKUP(B16,'R.H.'!A$3:C$3974,3,FALSE)*D16/100</f>
        <v>#N/A</v>
      </c>
      <c r="H16" s="82">
        <f t="shared" si="1"/>
        <v>3.0721966205837174E-3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1074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1335</v>
      </c>
      <c r="C17" s="91" t="e">
        <f>IF(ISBLANK(B17),"",VLOOKUP(B17,SÜRELER!$A:$B,2,FALSE))</f>
        <v>#N/A</v>
      </c>
      <c r="D17" s="80">
        <v>1302</v>
      </c>
      <c r="E17" s="92" t="e">
        <f>IF(ISBLANK($B17),"0",VLOOKUP($B17,SÜRELER!$A:$C,3,FALSE))*(D17-F17)</f>
        <v>#N/A</v>
      </c>
      <c r="F17" s="81">
        <v>4</v>
      </c>
      <c r="G17" s="93" t="e">
        <f>VLOOKUP(B17,'R.H.'!A$3:C$3974,3,FALSE)*D17/100</f>
        <v>#N/A</v>
      </c>
      <c r="H17" s="82">
        <f t="shared" si="1"/>
        <v>3.0721966205837174E-3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1074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1831</v>
      </c>
      <c r="C18" s="91" t="e">
        <f>IF(ISBLANK(B18),"",VLOOKUP(B18,SÜRELER!$A:$B,2,FALSE))</f>
        <v>#N/A</v>
      </c>
      <c r="D18" s="80">
        <f>700+1770</f>
        <v>2470</v>
      </c>
      <c r="E18" s="92" t="e">
        <f>IF(ISBLANK($B18),"0",VLOOKUP($B18,SÜRELER!$A:$C,3,FALSE))*(D18-F18)</f>
        <v>#N/A</v>
      </c>
      <c r="F18" s="81">
        <v>0</v>
      </c>
      <c r="G18" s="93" t="e">
        <f>VLOOKUP(B18,'R.H.'!A$3:C$3974,3,FALSE)*D18/100</f>
        <v>#N/A</v>
      </c>
      <c r="H18" s="82">
        <f t="shared" si="1"/>
        <v>0</v>
      </c>
      <c r="I18" s="87" t="e">
        <f>VLOOKUP(B18,'R.H.'!A$3:C$3974,3,FALSE)/100</f>
        <v>#N/A</v>
      </c>
      <c r="J18" s="83">
        <v>1</v>
      </c>
      <c r="K18" s="92" t="e">
        <f t="shared" si="2"/>
        <v>#N/A</v>
      </c>
      <c r="L18" s="84">
        <v>380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287</v>
      </c>
      <c r="C19" s="91" t="e">
        <f>IF(ISBLANK(B19),"",VLOOKUP(B19,SÜRELER!$A:$B,2,FALSE))</f>
        <v>#N/A</v>
      </c>
      <c r="D19" s="80">
        <f>246+408</f>
        <v>654</v>
      </c>
      <c r="E19" s="92" t="e">
        <f>IF(ISBLANK($B19),"0",VLOOKUP($B19,SÜRELER!$A:$C,3,FALSE))*(D19-F19)</f>
        <v>#N/A</v>
      </c>
      <c r="F19" s="81">
        <v>10</v>
      </c>
      <c r="G19" s="93" t="e">
        <f>VLOOKUP(B19,'R.H.'!A$3:C$3974,3,FALSE)*D19/100</f>
        <v>#N/A</v>
      </c>
      <c r="H19" s="82">
        <f t="shared" si="1"/>
        <v>1.5290519877675841E-2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550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288</v>
      </c>
      <c r="C20" s="91" t="e">
        <f>IF(ISBLANK(B20),"",VLOOKUP(B20,SÜRELER!$A:$B,2,FALSE))</f>
        <v>#N/A</v>
      </c>
      <c r="D20" s="80">
        <v>654</v>
      </c>
      <c r="E20" s="92" t="e">
        <f>IF(ISBLANK($B20),"0",VLOOKUP($B20,SÜRELER!$A:$C,3,FALSE))*(D20-F20)</f>
        <v>#N/A</v>
      </c>
      <c r="F20" s="81">
        <v>10</v>
      </c>
      <c r="G20" s="93" t="e">
        <f>VLOOKUP(B20,'R.H.'!A$3:C$3974,3,FALSE)*D20/100</f>
        <v>#N/A</v>
      </c>
      <c r="H20" s="82">
        <f t="shared" si="1"/>
        <v>1.5290519877675841E-2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550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1332</v>
      </c>
      <c r="C21" s="91" t="e">
        <f>IF(ISBLANK(B21),"",VLOOKUP(B21,SÜRELER!$A:$B,2,FALSE))</f>
        <v>#N/A</v>
      </c>
      <c r="D21" s="80">
        <f>418+280</f>
        <v>698</v>
      </c>
      <c r="E21" s="92" t="e">
        <f>IF(ISBLANK($B21),"0",VLOOKUP($B21,SÜRELER!$A:$C,3,FALSE))*(D21-F21)</f>
        <v>#N/A</v>
      </c>
      <c r="F21" s="81">
        <v>4</v>
      </c>
      <c r="G21" s="93" t="e">
        <f>VLOOKUP(B21,'R.H.'!A$3:C$3974,3,FALSE)*D21/100</f>
        <v>#N/A</v>
      </c>
      <c r="H21" s="82">
        <f t="shared" si="1"/>
        <v>5.7306590257879654E-3</v>
      </c>
      <c r="I21" s="87" t="e">
        <f>VLOOKUP(B21,'R.H.'!A$3:C$3974,3,FALSE)/100</f>
        <v>#N/A</v>
      </c>
      <c r="J21" s="83">
        <v>0.5</v>
      </c>
      <c r="K21" s="92" t="e">
        <f t="shared" si="2"/>
        <v>#N/A</v>
      </c>
      <c r="L21" s="84">
        <v>740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1333</v>
      </c>
      <c r="C22" s="91" t="e">
        <f>IF(ISBLANK(B22),"",VLOOKUP(B22,SÜRELER!$A:$B,2,FALSE))</f>
        <v>#N/A</v>
      </c>
      <c r="D22" s="80">
        <v>698</v>
      </c>
      <c r="E22" s="92" t="e">
        <f>IF(ISBLANK($B22),"0",VLOOKUP($B22,SÜRELER!$A:$C,3,FALSE))*(D22-F22)</f>
        <v>#N/A</v>
      </c>
      <c r="F22" s="81">
        <v>4</v>
      </c>
      <c r="G22" s="93" t="e">
        <f>VLOOKUP(B22,'R.H.'!A$3:C$3974,3,FALSE)*D22/100</f>
        <v>#N/A</v>
      </c>
      <c r="H22" s="82">
        <f t="shared" si="1"/>
        <v>5.7306590257879654E-3</v>
      </c>
      <c r="I22" s="87" t="e">
        <f>VLOOKUP(B22,'R.H.'!A$3:C$3974,3,FALSE)/100</f>
        <v>#N/A</v>
      </c>
      <c r="J22" s="83">
        <v>0.5</v>
      </c>
      <c r="K22" s="92" t="e">
        <f t="shared" si="2"/>
        <v>#N/A</v>
      </c>
      <c r="L22" s="84">
        <v>740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2100</v>
      </c>
      <c r="C23" s="91" t="e">
        <f>IF(ISBLANK(B23),"",VLOOKUP(B23,SÜRELER!$A:$B,2,FALSE))</f>
        <v>#N/A</v>
      </c>
      <c r="D23" s="80">
        <f>144+452</f>
        <v>596</v>
      </c>
      <c r="E23" s="92" t="e">
        <f>IF(ISBLANK($B23),"0",VLOOKUP($B23,SÜRELER!$A:$C,3,FALSE))*(D23-F23)</f>
        <v>#N/A</v>
      </c>
      <c r="F23" s="81">
        <v>4</v>
      </c>
      <c r="G23" s="93" t="e">
        <f>VLOOKUP(B23,'R.H.'!A$3:C$3974,3,FALSE)*D23/100</f>
        <v>#N/A</v>
      </c>
      <c r="H23" s="82">
        <f t="shared" si="1"/>
        <v>6.7114093959731542E-3</v>
      </c>
      <c r="I23" s="87" t="e">
        <f>VLOOKUP(B23,'R.H.'!A$3:C$3974,3,FALSE)/100</f>
        <v>#N/A</v>
      </c>
      <c r="J23" s="83">
        <v>0.5</v>
      </c>
      <c r="K23" s="92" t="e">
        <f t="shared" si="2"/>
        <v>#N/A</v>
      </c>
      <c r="L23" s="84">
        <v>720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2101</v>
      </c>
      <c r="C24" s="91" t="e">
        <f>IF(ISBLANK(B24),"",VLOOKUP(B24,SÜRELER!$A:$B,2,FALSE))</f>
        <v>#N/A</v>
      </c>
      <c r="D24" s="80">
        <v>596</v>
      </c>
      <c r="E24" s="92" t="e">
        <f>IF(ISBLANK($B24),"0",VLOOKUP($B24,SÜRELER!$A:$C,3,FALSE))*(D24-F24)</f>
        <v>#N/A</v>
      </c>
      <c r="F24" s="81">
        <v>4</v>
      </c>
      <c r="G24" s="93" t="e">
        <f>VLOOKUP(B24,'R.H.'!A$3:C$3974,3,FALSE)*D24/100</f>
        <v>#N/A</v>
      </c>
      <c r="H24" s="82">
        <f t="shared" si="1"/>
        <v>6.7114093959731542E-3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720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1485</v>
      </c>
      <c r="C25" s="91" t="e">
        <f>IF(ISBLANK(B25),"",VLOOKUP(B25,SÜRELER!$A:$B,2,FALSE))</f>
        <v>#N/A</v>
      </c>
      <c r="D25" s="80">
        <f>129+380</f>
        <v>509</v>
      </c>
      <c r="E25" s="92" t="e">
        <f>IF(ISBLANK($B25),"0",VLOOKUP($B25,SÜRELER!$A:$C,3,FALSE))*(D25-F25)</f>
        <v>#N/A</v>
      </c>
      <c r="F25" s="81">
        <v>13</v>
      </c>
      <c r="G25" s="93" t="e">
        <f>VLOOKUP(B25,'R.H.'!A$3:C$3974,3,FALSE)*D25/100</f>
        <v>#N/A</v>
      </c>
      <c r="H25" s="82">
        <f t="shared" si="1"/>
        <v>2.5540275049115914E-2</v>
      </c>
      <c r="I25" s="87" t="e">
        <f>VLOOKUP(B25,'R.H.'!A$3:C$3974,3,FALSE)/100</f>
        <v>#N/A</v>
      </c>
      <c r="J25" s="83">
        <v>0.5</v>
      </c>
      <c r="K25" s="92" t="e">
        <f t="shared" si="2"/>
        <v>#N/A</v>
      </c>
      <c r="L25" s="84">
        <v>480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1486</v>
      </c>
      <c r="C26" s="91" t="e">
        <f>IF(ISBLANK(B26),"",VLOOKUP(B26,SÜRELER!$A:$B,2,FALSE))</f>
        <v>#N/A</v>
      </c>
      <c r="D26" s="80">
        <v>509</v>
      </c>
      <c r="E26" s="92" t="e">
        <f>IF(ISBLANK($B26),"0",VLOOKUP($B26,SÜRELER!$A:$C,3,FALSE))*(D26-F26)</f>
        <v>#N/A</v>
      </c>
      <c r="F26" s="81">
        <v>13</v>
      </c>
      <c r="G26" s="93" t="e">
        <f>VLOOKUP(B26,'R.H.'!A$3:C$3974,3,FALSE)*D26/100</f>
        <v>#N/A</v>
      </c>
      <c r="H26" s="82">
        <f t="shared" si="1"/>
        <v>2.5540275049115914E-2</v>
      </c>
      <c r="I26" s="87" t="e">
        <f>VLOOKUP(B26,'R.H.'!A$3:C$3974,3,FALSE)/100</f>
        <v>#N/A</v>
      </c>
      <c r="J26" s="83">
        <v>0.5</v>
      </c>
      <c r="K26" s="92" t="e">
        <f t="shared" si="2"/>
        <v>#N/A</v>
      </c>
      <c r="L26" s="84">
        <v>480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1301</v>
      </c>
      <c r="C27" s="91" t="e">
        <f>IF(ISBLANK(B27),"",VLOOKUP(B27,SÜRELER!$A:$B,2,FALSE))</f>
        <v>#N/A</v>
      </c>
      <c r="D27" s="80">
        <v>151</v>
      </c>
      <c r="E27" s="92" t="e">
        <f>IF(ISBLANK($B27),"0",VLOOKUP($B27,SÜRELER!$A:$C,3,FALSE))*(D27-F27)</f>
        <v>#N/A</v>
      </c>
      <c r="F27" s="81">
        <v>3</v>
      </c>
      <c r="G27" s="93" t="e">
        <f>VLOOKUP(B27,'R.H.'!A$3:C$3974,3,FALSE)*D27/100</f>
        <v>#N/A</v>
      </c>
      <c r="H27" s="82">
        <f t="shared" si="1"/>
        <v>1.9867549668874173E-2</v>
      </c>
      <c r="I27" s="87" t="e">
        <f>VLOOKUP(B27,'R.H.'!A$3:C$3974,3,FALSE)/100</f>
        <v>#N/A</v>
      </c>
      <c r="J27" s="83">
        <v>1</v>
      </c>
      <c r="K27" s="92" t="e">
        <f t="shared" si="2"/>
        <v>#N/A</v>
      </c>
      <c r="L27" s="84">
        <v>207</v>
      </c>
      <c r="M27" s="84"/>
      <c r="N27" s="94" t="e">
        <f t="shared" si="3"/>
        <v>#N/A</v>
      </c>
      <c r="O27" s="88" t="e">
        <f t="shared" si="0"/>
        <v>#N/A</v>
      </c>
      <c r="P27" s="164" t="s">
        <v>3405</v>
      </c>
      <c r="Q27" s="5"/>
      <c r="R27" s="5"/>
    </row>
    <row r="28" spans="1:18" s="4" customFormat="1" ht="16.5" customHeight="1" x14ac:dyDescent="0.25">
      <c r="A28" s="85">
        <v>24</v>
      </c>
      <c r="B28" s="86">
        <v>1938</v>
      </c>
      <c r="C28" s="91" t="e">
        <f>IF(ISBLANK(B28),"",VLOOKUP(B28,SÜRELER!$A:$B,2,FALSE))</f>
        <v>#N/A</v>
      </c>
      <c r="D28" s="80">
        <v>375</v>
      </c>
      <c r="E28" s="92" t="e">
        <f>IF(ISBLANK($B28),"0",VLOOKUP($B28,SÜRELER!$A:$C,3,FALSE))*(D28-F28)</f>
        <v>#N/A</v>
      </c>
      <c r="F28" s="81">
        <v>6</v>
      </c>
      <c r="G28" s="93" t="e">
        <f>VLOOKUP(B28,'R.H.'!A$3:C$3974,3,FALSE)*D28/100</f>
        <v>#N/A</v>
      </c>
      <c r="H28" s="82">
        <f t="shared" si="1"/>
        <v>1.6E-2</v>
      </c>
      <c r="I28" s="87" t="e">
        <f>VLOOKUP(B28,'R.H.'!A$3:C$3974,3,FALSE)/100</f>
        <v>#N/A</v>
      </c>
      <c r="J28" s="83">
        <v>1</v>
      </c>
      <c r="K28" s="92" t="e">
        <f t="shared" si="2"/>
        <v>#N/A</v>
      </c>
      <c r="L28" s="84">
        <v>1850</v>
      </c>
      <c r="M28" s="84"/>
      <c r="N28" s="94" t="e">
        <f t="shared" si="3"/>
        <v>#N/A</v>
      </c>
      <c r="O28" s="88" t="e">
        <f t="shared" si="0"/>
        <v>#N/A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>
        <v>1667</v>
      </c>
      <c r="C29" s="91" t="e">
        <f>IF(ISBLANK(B29),"",VLOOKUP(B29,SÜRELER!$A:$B,2,FALSE))</f>
        <v>#N/A</v>
      </c>
      <c r="D29" s="80">
        <v>397</v>
      </c>
      <c r="E29" s="92" t="e">
        <f>IF(ISBLANK($B29),"0",VLOOKUP($B29,SÜRELER!$A:$C,3,FALSE))*(D29-F29)</f>
        <v>#N/A</v>
      </c>
      <c r="F29" s="81">
        <v>5</v>
      </c>
      <c r="G29" s="93" t="e">
        <f>VLOOKUP(B29,'R.H.'!A$3:C$3974,3,FALSE)*D29/100</f>
        <v>#N/A</v>
      </c>
      <c r="H29" s="82">
        <f t="shared" si="1"/>
        <v>1.2594458438287154E-2</v>
      </c>
      <c r="I29" s="87" t="e">
        <f>VLOOKUP(B29,'R.H.'!A$3:C$3974,3,FALSE)/100</f>
        <v>#N/A</v>
      </c>
      <c r="J29" s="83">
        <v>0.5</v>
      </c>
      <c r="K29" s="92" t="e">
        <f t="shared" si="2"/>
        <v>#N/A</v>
      </c>
      <c r="L29" s="84">
        <v>430</v>
      </c>
      <c r="M29" s="84"/>
      <c r="N29" s="94" t="e">
        <f t="shared" si="3"/>
        <v>#N/A</v>
      </c>
      <c r="O29" s="88" t="e">
        <f t="shared" si="0"/>
        <v>#N/A</v>
      </c>
      <c r="P29" s="193" t="s">
        <v>3407</v>
      </c>
      <c r="Q29" s="5"/>
      <c r="R29" s="5"/>
    </row>
    <row r="30" spans="1:18" s="4" customFormat="1" ht="16.5" x14ac:dyDescent="0.25">
      <c r="A30" s="85">
        <v>26</v>
      </c>
      <c r="B30" s="86">
        <v>1669</v>
      </c>
      <c r="C30" s="91" t="e">
        <f>IF(ISBLANK(B30),"",VLOOKUP(B30,SÜRELER!$A:$B,2,FALSE))</f>
        <v>#N/A</v>
      </c>
      <c r="D30" s="80">
        <v>397</v>
      </c>
      <c r="E30" s="92" t="e">
        <f>IF(ISBLANK($B30),"0",VLOOKUP($B30,SÜRELER!$A:$C,3,FALSE))*(D30-F30)</f>
        <v>#N/A</v>
      </c>
      <c r="F30" s="81">
        <v>5</v>
      </c>
      <c r="G30" s="93" t="e">
        <f>VLOOKUP(B30,'R.H.'!A$3:C$3974,3,FALSE)*D30/100</f>
        <v>#N/A</v>
      </c>
      <c r="H30" s="82">
        <f t="shared" si="1"/>
        <v>1.2594458438287154E-2</v>
      </c>
      <c r="I30" s="87" t="e">
        <f>VLOOKUP(B30,'R.H.'!A$3:C$3974,3,FALSE)/100</f>
        <v>#N/A</v>
      </c>
      <c r="J30" s="83">
        <v>0.5</v>
      </c>
      <c r="K30" s="92" t="e">
        <f t="shared" si="2"/>
        <v>#N/A</v>
      </c>
      <c r="L30" s="84">
        <v>430</v>
      </c>
      <c r="M30" s="84"/>
      <c r="N30" s="94" t="e">
        <f t="shared" si="3"/>
        <v>#N/A</v>
      </c>
      <c r="O30" s="88" t="e">
        <f t="shared" si="0"/>
        <v>#N/A</v>
      </c>
      <c r="P30" s="194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18386</v>
      </c>
      <c r="E45" s="26" t="e">
        <f>SUM(E5:E44)</f>
        <v>#N/A</v>
      </c>
      <c r="F45" s="26">
        <f>SUM(F5:F44)</f>
        <v>131</v>
      </c>
      <c r="G45" s="26"/>
      <c r="H45" s="26"/>
      <c r="I45" s="26"/>
      <c r="J45" s="26"/>
      <c r="K45" s="26"/>
      <c r="L45" s="26">
        <f>SUM(L5:L44)</f>
        <v>17358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0.7124986402697705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5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>
        <v>19</v>
      </c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10770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>
        <v>550</v>
      </c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10220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550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18386</v>
      </c>
      <c r="F63" s="24">
        <f>F45</f>
        <v>131</v>
      </c>
      <c r="G63" s="23">
        <f>(F63*1000000)/E63</f>
        <v>7124.9864026977048</v>
      </c>
      <c r="H63" s="22">
        <f>D59</f>
        <v>550</v>
      </c>
      <c r="I63" s="17" t="e">
        <f>N1</f>
        <v>#N/A</v>
      </c>
    </row>
  </sheetData>
  <mergeCells count="19">
    <mergeCell ref="E57:N57"/>
    <mergeCell ref="E49:N49"/>
    <mergeCell ref="E50:N50"/>
    <mergeCell ref="E51:N51"/>
    <mergeCell ref="E53:N53"/>
    <mergeCell ref="E54:N54"/>
    <mergeCell ref="E55:N55"/>
    <mergeCell ref="P5:P6"/>
    <mergeCell ref="P7:P8"/>
    <mergeCell ref="N1:N3"/>
    <mergeCell ref="A2:B3"/>
    <mergeCell ref="E56:N56"/>
    <mergeCell ref="D46:D47"/>
    <mergeCell ref="E46:F47"/>
    <mergeCell ref="A1:B1"/>
    <mergeCell ref="C1:D2"/>
    <mergeCell ref="H1:H3"/>
    <mergeCell ref="P14:P15"/>
    <mergeCell ref="P29:P30"/>
  </mergeCells>
  <conditionalFormatting sqref="D3">
    <cfRule type="cellIs" dxfId="14" priority="5" stopIfTrue="1" operator="lessThan">
      <formula>0.95</formula>
    </cfRule>
  </conditionalFormatting>
  <conditionalFormatting sqref="F5:F44">
    <cfRule type="cellIs" dxfId="13" priority="1" stopIfTrue="1" operator="greaterThan">
      <formula>$G5</formula>
    </cfRule>
  </conditionalFormatting>
  <conditionalFormatting sqref="H5:H44">
    <cfRule type="cellIs" dxfId="12" priority="2" stopIfTrue="1" operator="greaterThan">
      <formula>$I$5</formula>
    </cfRule>
  </conditionalFormatting>
  <conditionalFormatting sqref="N1:N3">
    <cfRule type="cellIs" dxfId="11" priority="4" stopIfTrue="1" operator="lessThan">
      <formula>0.8</formula>
    </cfRule>
  </conditionalFormatting>
  <conditionalFormatting sqref="N5:O44">
    <cfRule type="cellIs" dxfId="10" priority="3" stopIfTrue="1" operator="lessThan">
      <formula>0.85</formula>
    </cfRule>
  </conditionalFormatting>
  <hyperlinks>
    <hyperlink ref="P1:P3" location="'Ana Sayfa'!A1" display="ANA SAYFA" xr:uid="{5138997C-4DEE-4EE6-8C45-A356CB04913A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2D79-63B4-4776-9420-6F38CF0AFE55}">
  <sheetPr codeName="Sayfa30">
    <tabColor theme="0" tint="-0.14999847407452621"/>
    <pageSetUpPr fitToPage="1"/>
  </sheetPr>
  <dimension ref="A1:W63"/>
  <sheetViews>
    <sheetView workbookViewId="0">
      <selection activeCell="I1" sqref="I1:M1048576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'29'!A1+1</f>
        <v>46233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Perşembe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13934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1332</v>
      </c>
      <c r="C5" s="91" t="e">
        <f>IF(ISBLANK(B5),"",VLOOKUP(B5,SÜRELER!$A:$B,2,FALSE))</f>
        <v>#N/A</v>
      </c>
      <c r="D5" s="80">
        <v>573</v>
      </c>
      <c r="E5" s="92" t="e">
        <f>IF(ISBLANK($B5),"0",VLOOKUP($B5,SÜRELER!$A:$C,3,FALSE))*(D5-F5)</f>
        <v>#N/A</v>
      </c>
      <c r="F5" s="81">
        <v>2</v>
      </c>
      <c r="G5" s="93" t="e">
        <f>VLOOKUP(B5,'R.H.'!A$3:C$3974,3,FALSE)*D5/100</f>
        <v>#N/A</v>
      </c>
      <c r="H5" s="82">
        <f>F5/D5</f>
        <v>3.4904013961605585E-3</v>
      </c>
      <c r="I5" s="87" t="e">
        <f>VLOOKUP(B5,'R.H.'!A$3:C$3974,3,FALSE)/100</f>
        <v>#N/A</v>
      </c>
      <c r="J5" s="83">
        <v>0.5</v>
      </c>
      <c r="K5" s="92" t="e">
        <f>E5/J5</f>
        <v>#N/A</v>
      </c>
      <c r="L5" s="84">
        <v>620</v>
      </c>
      <c r="M5" s="84"/>
      <c r="N5" s="94" t="e">
        <f>K5/L5</f>
        <v>#N/A</v>
      </c>
      <c r="O5" s="88" t="e">
        <f t="shared" ref="O5:O44" si="0">K5/(L5-M5)</f>
        <v>#N/A</v>
      </c>
      <c r="P5" s="119"/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1333</v>
      </c>
      <c r="C6" s="91" t="e">
        <f>IF(ISBLANK(B6),"",VLOOKUP(B6,SÜRELER!$A:$B,2,FALSE))</f>
        <v>#N/A</v>
      </c>
      <c r="D6" s="80">
        <v>573</v>
      </c>
      <c r="E6" s="92" t="e">
        <f>IF(ISBLANK($B6),"0",VLOOKUP($B6,SÜRELER!$A:$C,3,FALSE))*(D6-F6)</f>
        <v>#N/A</v>
      </c>
      <c r="F6" s="81">
        <v>2</v>
      </c>
      <c r="G6" s="93" t="e">
        <f>VLOOKUP(B6,'R.H.'!A$3:C$3974,3,FALSE)*D6/100</f>
        <v>#N/A</v>
      </c>
      <c r="H6" s="82">
        <f t="shared" ref="H6:H44" si="1">F6/D6</f>
        <v>3.4904013961605585E-3</v>
      </c>
      <c r="I6" s="87" t="e">
        <f>VLOOKUP(B6,'R.H.'!A$3:C$3974,3,FALSE)/100</f>
        <v>#N/A</v>
      </c>
      <c r="J6" s="83">
        <v>0.5</v>
      </c>
      <c r="K6" s="92" t="e">
        <f t="shared" ref="K6:K44" si="2">E6/J6</f>
        <v>#N/A</v>
      </c>
      <c r="L6" s="84">
        <v>620</v>
      </c>
      <c r="M6" s="84"/>
      <c r="N6" s="94" t="e">
        <f t="shared" ref="N6:N44" si="3">K6/L6</f>
        <v>#N/A</v>
      </c>
      <c r="O6" s="88" t="e">
        <f t="shared" si="0"/>
        <v>#N/A</v>
      </c>
      <c r="P6" s="119"/>
      <c r="Q6" s="5"/>
      <c r="R6" s="5"/>
    </row>
    <row r="7" spans="1:23" s="4" customFormat="1" ht="16.5" customHeight="1" x14ac:dyDescent="0.25">
      <c r="A7" s="90">
        <v>3</v>
      </c>
      <c r="B7" s="86">
        <v>1676</v>
      </c>
      <c r="C7" s="91" t="e">
        <f>IF(ISBLANK(B7),"",VLOOKUP(B7,SÜRELER!$A:$B,2,FALSE))</f>
        <v>#N/A</v>
      </c>
      <c r="D7" s="80">
        <v>250</v>
      </c>
      <c r="E7" s="92" t="e">
        <f>IF(ISBLANK($B7),"0",VLOOKUP($B7,SÜRELER!$A:$C,3,FALSE))*(D7-F7)</f>
        <v>#N/A</v>
      </c>
      <c r="F7" s="81">
        <v>119</v>
      </c>
      <c r="G7" s="93" t="e">
        <f>VLOOKUP(B7,'R.H.'!A$3:C$3974,3,FALSE)*D7/100</f>
        <v>#N/A</v>
      </c>
      <c r="H7" s="82">
        <f t="shared" si="1"/>
        <v>0.47599999999999998</v>
      </c>
      <c r="I7" s="87" t="e">
        <f>VLOOKUP(B7,'R.H.'!A$3:C$3974,3,FALSE)/100</f>
        <v>#N/A</v>
      </c>
      <c r="J7" s="83">
        <v>0.5</v>
      </c>
      <c r="K7" s="92" t="e">
        <f t="shared" si="2"/>
        <v>#N/A</v>
      </c>
      <c r="L7" s="84">
        <v>480</v>
      </c>
      <c r="M7" s="84">
        <v>240</v>
      </c>
      <c r="N7" s="94" t="e">
        <f t="shared" si="3"/>
        <v>#N/A</v>
      </c>
      <c r="O7" s="88" t="e">
        <f t="shared" si="0"/>
        <v>#N/A</v>
      </c>
      <c r="P7" s="193" t="s">
        <v>3408</v>
      </c>
      <c r="Q7" s="5"/>
      <c r="R7" s="5"/>
    </row>
    <row r="8" spans="1:23" s="4" customFormat="1" ht="16.5" customHeight="1" x14ac:dyDescent="0.25">
      <c r="A8" s="85">
        <v>4</v>
      </c>
      <c r="B8" s="86">
        <v>1677</v>
      </c>
      <c r="C8" s="91" t="e">
        <f>IF(ISBLANK(B8),"",VLOOKUP(B8,SÜRELER!$A:$B,2,FALSE))</f>
        <v>#N/A</v>
      </c>
      <c r="D8" s="80">
        <v>250</v>
      </c>
      <c r="E8" s="92" t="e">
        <f>IF(ISBLANK($B8),"0",VLOOKUP($B8,SÜRELER!$A:$C,3,FALSE))*(D8-F8)</f>
        <v>#N/A</v>
      </c>
      <c r="F8" s="81">
        <v>119</v>
      </c>
      <c r="G8" s="93" t="e">
        <f>VLOOKUP(B8,'R.H.'!A$3:C$3974,3,FALSE)*D8/100</f>
        <v>#N/A</v>
      </c>
      <c r="H8" s="82">
        <f t="shared" si="1"/>
        <v>0.47599999999999998</v>
      </c>
      <c r="I8" s="87" t="e">
        <f>VLOOKUP(B8,'R.H.'!A$3:C$3974,3,FALSE)/100</f>
        <v>#N/A</v>
      </c>
      <c r="J8" s="83">
        <v>0.5</v>
      </c>
      <c r="K8" s="92" t="e">
        <f t="shared" si="2"/>
        <v>#N/A</v>
      </c>
      <c r="L8" s="84">
        <v>480</v>
      </c>
      <c r="M8" s="84">
        <v>240</v>
      </c>
      <c r="N8" s="94" t="e">
        <f t="shared" si="3"/>
        <v>#N/A</v>
      </c>
      <c r="O8" s="88" t="e">
        <f t="shared" si="0"/>
        <v>#N/A</v>
      </c>
      <c r="P8" s="194"/>
      <c r="Q8" s="5"/>
      <c r="R8" s="5"/>
    </row>
    <row r="9" spans="1:23" s="4" customFormat="1" ht="16.5" x14ac:dyDescent="0.25">
      <c r="A9" s="90">
        <v>5</v>
      </c>
      <c r="B9" s="86">
        <v>1320</v>
      </c>
      <c r="C9" s="91" t="e">
        <f>IF(ISBLANK(B9),"",VLOOKUP(B9,SÜRELER!$A:$B,2,FALSE))</f>
        <v>#N/A</v>
      </c>
      <c r="D9" s="80">
        <v>862</v>
      </c>
      <c r="E9" s="92" t="e">
        <f>IF(ISBLANK($B9),"0",VLOOKUP($B9,SÜRELER!$A:$C,3,FALSE))*(D9-F9)</f>
        <v>#N/A</v>
      </c>
      <c r="F9" s="81">
        <v>4</v>
      </c>
      <c r="G9" s="93" t="e">
        <f>VLOOKUP(B9,'R.H.'!A$3:C$3974,3,FALSE)*D9/100</f>
        <v>#N/A</v>
      </c>
      <c r="H9" s="82">
        <f t="shared" si="1"/>
        <v>4.6403712296983757E-3</v>
      </c>
      <c r="I9" s="87" t="e">
        <f>VLOOKUP(B9,'R.H.'!A$3:C$3974,3,FALSE)/100</f>
        <v>#N/A</v>
      </c>
      <c r="J9" s="83">
        <v>0.5</v>
      </c>
      <c r="K9" s="92" t="e">
        <f t="shared" si="2"/>
        <v>#N/A</v>
      </c>
      <c r="L9" s="84">
        <v>615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1321</v>
      </c>
      <c r="C10" s="91" t="e">
        <f>IF(ISBLANK(B10),"",VLOOKUP(B10,SÜRELER!$A:$B,2,FALSE))</f>
        <v>#N/A</v>
      </c>
      <c r="D10" s="80">
        <v>862</v>
      </c>
      <c r="E10" s="92" t="e">
        <f>IF(ISBLANK($B10),"0",VLOOKUP($B10,SÜRELER!$A:$C,3,FALSE))*(D10-F10)</f>
        <v>#N/A</v>
      </c>
      <c r="F10" s="81">
        <v>4</v>
      </c>
      <c r="G10" s="93" t="e">
        <f>VLOOKUP(B10,'R.H.'!A$3:C$3974,3,FALSE)*D10/100</f>
        <v>#N/A</v>
      </c>
      <c r="H10" s="82">
        <f t="shared" si="1"/>
        <v>4.6403712296983757E-3</v>
      </c>
      <c r="I10" s="87" t="e">
        <f>VLOOKUP(B10,'R.H.'!A$3:C$3974,3,FALSE)/100</f>
        <v>#N/A</v>
      </c>
      <c r="J10" s="83">
        <v>0.5</v>
      </c>
      <c r="K10" s="92" t="e">
        <f t="shared" si="2"/>
        <v>#N/A</v>
      </c>
      <c r="L10" s="84">
        <v>615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734</v>
      </c>
      <c r="C11" s="91" t="e">
        <f>IF(ISBLANK(B11),"",VLOOKUP(B11,SÜRELER!$A:$B,2,FALSE))</f>
        <v>#N/A</v>
      </c>
      <c r="D11" s="80">
        <v>624</v>
      </c>
      <c r="E11" s="92" t="e">
        <f>IF(ISBLANK($B11),"0",VLOOKUP($B11,SÜRELER!$A:$C,3,FALSE))*(D11-F11)</f>
        <v>#N/A</v>
      </c>
      <c r="F11" s="81">
        <v>6</v>
      </c>
      <c r="G11" s="93" t="e">
        <f>VLOOKUP(B11,'R.H.'!A$3:C$3974,3,FALSE)*D11/100</f>
        <v>#N/A</v>
      </c>
      <c r="H11" s="82">
        <f t="shared" si="1"/>
        <v>9.6153846153846159E-3</v>
      </c>
      <c r="I11" s="87" t="e">
        <f>VLOOKUP(B11,'R.H.'!A$3:C$3974,3,FALSE)/100</f>
        <v>#N/A</v>
      </c>
      <c r="J11" s="83">
        <v>0.5</v>
      </c>
      <c r="K11" s="92" t="e">
        <f t="shared" si="2"/>
        <v>#N/A</v>
      </c>
      <c r="L11" s="84">
        <v>490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735</v>
      </c>
      <c r="C12" s="91" t="e">
        <f>IF(ISBLANK(B12),"",VLOOKUP(B12,SÜRELER!$A:$B,2,FALSE))</f>
        <v>#N/A</v>
      </c>
      <c r="D12" s="80">
        <v>624</v>
      </c>
      <c r="E12" s="92" t="e">
        <f>IF(ISBLANK($B12),"0",VLOOKUP($B12,SÜRELER!$A:$C,3,FALSE))*(D12-F12)</f>
        <v>#N/A</v>
      </c>
      <c r="F12" s="81">
        <v>6</v>
      </c>
      <c r="G12" s="93" t="e">
        <f>VLOOKUP(B12,'R.H.'!A$3:C$3974,3,FALSE)*D12/100</f>
        <v>#N/A</v>
      </c>
      <c r="H12" s="82">
        <f t="shared" si="1"/>
        <v>9.6153846153846159E-3</v>
      </c>
      <c r="I12" s="87" t="e">
        <f>VLOOKUP(B12,'R.H.'!A$3:C$3974,3,FALSE)/100</f>
        <v>#N/A</v>
      </c>
      <c r="J12" s="83">
        <v>0.5</v>
      </c>
      <c r="K12" s="92" t="e">
        <f t="shared" si="2"/>
        <v>#N/A</v>
      </c>
      <c r="L12" s="84">
        <v>490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283</v>
      </c>
      <c r="C13" s="91" t="e">
        <f>IF(ISBLANK(B13),"",VLOOKUP(B13,SÜRELER!$A:$B,2,FALSE))</f>
        <v>#N/A</v>
      </c>
      <c r="D13" s="80">
        <v>620</v>
      </c>
      <c r="E13" s="92" t="e">
        <f>IF(ISBLANK($B13),"0",VLOOKUP($B13,SÜRELER!$A:$C,3,FALSE))*(D13-F13)</f>
        <v>#N/A</v>
      </c>
      <c r="F13" s="81">
        <v>2</v>
      </c>
      <c r="G13" s="93" t="e">
        <f>VLOOKUP(B13,'R.H.'!A$3:C$3974,3,FALSE)*D13/100</f>
        <v>#N/A</v>
      </c>
      <c r="H13" s="82">
        <f t="shared" si="1"/>
        <v>3.2258064516129032E-3</v>
      </c>
      <c r="I13" s="87" t="e">
        <f>VLOOKUP(B13,'R.H.'!A$3:C$3974,3,FALSE)/100</f>
        <v>#N/A</v>
      </c>
      <c r="J13" s="83">
        <v>0.5</v>
      </c>
      <c r="K13" s="92" t="e">
        <f t="shared" si="2"/>
        <v>#N/A</v>
      </c>
      <c r="L13" s="84">
        <v>590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284</v>
      </c>
      <c r="C14" s="91" t="e">
        <f>IF(ISBLANK(B14),"",VLOOKUP(B14,SÜRELER!$A:$B,2,FALSE))</f>
        <v>#N/A</v>
      </c>
      <c r="D14" s="80">
        <v>620</v>
      </c>
      <c r="E14" s="92" t="e">
        <f>IF(ISBLANK($B14),"0",VLOOKUP($B14,SÜRELER!$A:$C,3,FALSE))*(D14-F14)</f>
        <v>#N/A</v>
      </c>
      <c r="F14" s="81">
        <v>2</v>
      </c>
      <c r="G14" s="93" t="e">
        <f>VLOOKUP(B14,'R.H.'!A$3:C$3974,3,FALSE)*D14/100</f>
        <v>#N/A</v>
      </c>
      <c r="H14" s="82">
        <f t="shared" si="1"/>
        <v>3.2258064516129032E-3</v>
      </c>
      <c r="I14" s="87" t="e">
        <f>VLOOKUP(B14,'R.H.'!A$3:C$3974,3,FALSE)/100</f>
        <v>#N/A</v>
      </c>
      <c r="J14" s="83">
        <v>0.5</v>
      </c>
      <c r="K14" s="92" t="e">
        <f t="shared" si="2"/>
        <v>#N/A</v>
      </c>
      <c r="L14" s="84">
        <v>590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700</v>
      </c>
      <c r="C15" s="91" t="e">
        <f>IF(ISBLANK(B15),"",VLOOKUP(B15,SÜRELER!$A:$B,2,FALSE))</f>
        <v>#N/A</v>
      </c>
      <c r="D15" s="80">
        <v>1540</v>
      </c>
      <c r="E15" s="92" t="e">
        <f>IF(ISBLANK($B15),"0",VLOOKUP($B15,SÜRELER!$A:$C,3,FALSE))*(D15-F15)</f>
        <v>#N/A</v>
      </c>
      <c r="F15" s="81">
        <v>2</v>
      </c>
      <c r="G15" s="93" t="e">
        <f>VLOOKUP(B15,'R.H.'!A$3:C$3974,3,FALSE)*D15/100</f>
        <v>#N/A</v>
      </c>
      <c r="H15" s="82">
        <f t="shared" si="1"/>
        <v>1.2987012987012987E-3</v>
      </c>
      <c r="I15" s="87" t="e">
        <f>VLOOKUP(B15,'R.H.'!A$3:C$3974,3,FALSE)/100</f>
        <v>#N/A</v>
      </c>
      <c r="J15" s="83">
        <v>1</v>
      </c>
      <c r="K15" s="92" t="e">
        <f t="shared" si="2"/>
        <v>#N/A</v>
      </c>
      <c r="L15" s="84">
        <v>770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712</v>
      </c>
      <c r="C16" s="91" t="e">
        <f>IF(ISBLANK(B16),"",VLOOKUP(B16,SÜRELER!$A:$B,2,FALSE))</f>
        <v>#N/A</v>
      </c>
      <c r="D16" s="80">
        <v>554</v>
      </c>
      <c r="E16" s="92" t="e">
        <f>IF(ISBLANK($B16),"0",VLOOKUP($B16,SÜRELER!$A:$C,3,FALSE))*(D16-F16)</f>
        <v>#N/A</v>
      </c>
      <c r="F16" s="81">
        <v>34</v>
      </c>
      <c r="G16" s="93" t="e">
        <f>VLOOKUP(B16,'R.H.'!A$3:C$3974,3,FALSE)*D16/100</f>
        <v>#N/A</v>
      </c>
      <c r="H16" s="82">
        <f t="shared" si="1"/>
        <v>6.1371841155234655E-2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715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713</v>
      </c>
      <c r="C17" s="91" t="e">
        <f>IF(ISBLANK(B17),"",VLOOKUP(B17,SÜRELER!$A:$B,2,FALSE))</f>
        <v>#N/A</v>
      </c>
      <c r="D17" s="80">
        <v>554</v>
      </c>
      <c r="E17" s="92" t="e">
        <f>IF(ISBLANK($B17),"0",VLOOKUP($B17,SÜRELER!$A:$C,3,FALSE))*(D17-F17)</f>
        <v>#N/A</v>
      </c>
      <c r="F17" s="81">
        <v>25</v>
      </c>
      <c r="G17" s="93" t="e">
        <f>VLOOKUP(B17,'R.H.'!A$3:C$3974,3,FALSE)*D17/100</f>
        <v>#N/A</v>
      </c>
      <c r="H17" s="82">
        <f t="shared" si="1"/>
        <v>4.5126353790613721E-2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715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1205</v>
      </c>
      <c r="C18" s="91" t="e">
        <f>IF(ISBLANK(B18),"",VLOOKUP(B18,SÜRELER!$A:$B,2,FALSE))</f>
        <v>#N/A</v>
      </c>
      <c r="D18" s="80">
        <v>1660</v>
      </c>
      <c r="E18" s="92" t="e">
        <f>IF(ISBLANK($B18),"0",VLOOKUP($B18,SÜRELER!$A:$C,3,FALSE))*(D18-F18)</f>
        <v>#N/A</v>
      </c>
      <c r="F18" s="81">
        <v>4</v>
      </c>
      <c r="G18" s="93" t="e">
        <f>VLOOKUP(B18,'R.H.'!A$3:C$3974,3,FALSE)*D18/100</f>
        <v>#N/A</v>
      </c>
      <c r="H18" s="82">
        <f t="shared" si="1"/>
        <v>2.4096385542168677E-3</v>
      </c>
      <c r="I18" s="87" t="e">
        <f>VLOOKUP(B18,'R.H.'!A$3:C$3974,3,FALSE)/100</f>
        <v>#N/A</v>
      </c>
      <c r="J18" s="83">
        <v>1</v>
      </c>
      <c r="K18" s="92" t="e">
        <f t="shared" si="2"/>
        <v>#N/A</v>
      </c>
      <c r="L18" s="84">
        <v>780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2074</v>
      </c>
      <c r="C19" s="91" t="e">
        <f>IF(ISBLANK(B19),"",VLOOKUP(B19,SÜRELER!$A:$B,2,FALSE))</f>
        <v>#N/A</v>
      </c>
      <c r="D19" s="80">
        <v>1146</v>
      </c>
      <c r="E19" s="92" t="e">
        <f>IF(ISBLANK($B19),"0",VLOOKUP($B19,SÜRELER!$A:$C,3,FALSE))*(D19-F19)</f>
        <v>#N/A</v>
      </c>
      <c r="F19" s="81">
        <v>8</v>
      </c>
      <c r="G19" s="93" t="e">
        <f>VLOOKUP(B19,'R.H.'!A$3:C$3974,3,FALSE)*D19/100</f>
        <v>#N/A</v>
      </c>
      <c r="H19" s="82">
        <f t="shared" si="1"/>
        <v>6.9808027923211171E-3</v>
      </c>
      <c r="I19" s="87" t="e">
        <f>VLOOKUP(B19,'R.H.'!A$3:C$3974,3,FALSE)/100</f>
        <v>#N/A</v>
      </c>
      <c r="J19" s="83">
        <v>1</v>
      </c>
      <c r="K19" s="92" t="e">
        <f t="shared" si="2"/>
        <v>#N/A</v>
      </c>
      <c r="L19" s="84">
        <v>485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886</v>
      </c>
      <c r="C20" s="91" t="e">
        <f>IF(ISBLANK(B20),"",VLOOKUP(B20,SÜRELER!$A:$B,2,FALSE))</f>
        <v>#N/A</v>
      </c>
      <c r="D20" s="80">
        <v>390</v>
      </c>
      <c r="E20" s="92" t="e">
        <f>IF(ISBLANK($B20),"0",VLOOKUP($B20,SÜRELER!$A:$C,3,FALSE))*(D20-F20)</f>
        <v>#N/A</v>
      </c>
      <c r="F20" s="81">
        <v>6</v>
      </c>
      <c r="G20" s="93" t="e">
        <f>VLOOKUP(B20,'R.H.'!A$3:C$3974,3,FALSE)*D20/100</f>
        <v>#N/A</v>
      </c>
      <c r="H20" s="82">
        <f t="shared" si="1"/>
        <v>1.5384615384615385E-2</v>
      </c>
      <c r="I20" s="87" t="e">
        <f>VLOOKUP(B20,'R.H.'!A$3:C$3974,3,FALSE)/100</f>
        <v>#N/A</v>
      </c>
      <c r="J20" s="83">
        <v>1</v>
      </c>
      <c r="K20" s="92" t="e">
        <f t="shared" si="2"/>
        <v>#N/A</v>
      </c>
      <c r="L20" s="84">
        <v>170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1485</v>
      </c>
      <c r="C21" s="91" t="e">
        <f>IF(ISBLANK(B21),"",VLOOKUP(B21,SÜRELER!$A:$B,2,FALSE))</f>
        <v>#N/A</v>
      </c>
      <c r="D21" s="80">
        <v>208</v>
      </c>
      <c r="E21" s="92" t="e">
        <f>IF(ISBLANK($B21),"0",VLOOKUP($B21,SÜRELER!$A:$C,3,FALSE))*(D21-F21)</f>
        <v>#N/A</v>
      </c>
      <c r="F21" s="81">
        <v>10</v>
      </c>
      <c r="G21" s="93" t="e">
        <f>VLOOKUP(B21,'R.H.'!A$3:C$3974,3,FALSE)*D21/100</f>
        <v>#N/A</v>
      </c>
      <c r="H21" s="82">
        <f t="shared" si="1"/>
        <v>4.807692307692308E-2</v>
      </c>
      <c r="I21" s="87" t="e">
        <f>VLOOKUP(B21,'R.H.'!A$3:C$3974,3,FALSE)/100</f>
        <v>#N/A</v>
      </c>
      <c r="J21" s="83">
        <v>0.5</v>
      </c>
      <c r="K21" s="92" t="e">
        <f t="shared" si="2"/>
        <v>#N/A</v>
      </c>
      <c r="L21" s="84">
        <v>200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1486</v>
      </c>
      <c r="C22" s="91" t="e">
        <f>IF(ISBLANK(B22),"",VLOOKUP(B22,SÜRELER!$A:$B,2,FALSE))</f>
        <v>#N/A</v>
      </c>
      <c r="D22" s="80">
        <v>208</v>
      </c>
      <c r="E22" s="92" t="e">
        <f>IF(ISBLANK($B22),"0",VLOOKUP($B22,SÜRELER!$A:$C,3,FALSE))*(D22-F22)</f>
        <v>#N/A</v>
      </c>
      <c r="F22" s="81">
        <v>10</v>
      </c>
      <c r="G22" s="93" t="e">
        <f>VLOOKUP(B22,'R.H.'!A$3:C$3974,3,FALSE)*D22/100</f>
        <v>#N/A</v>
      </c>
      <c r="H22" s="82">
        <f t="shared" si="1"/>
        <v>4.807692307692308E-2</v>
      </c>
      <c r="I22" s="87" t="e">
        <f>VLOOKUP(B22,'R.H.'!A$3:C$3974,3,FALSE)/100</f>
        <v>#N/A</v>
      </c>
      <c r="J22" s="83">
        <v>0.5</v>
      </c>
      <c r="K22" s="92" t="e">
        <f t="shared" si="2"/>
        <v>#N/A</v>
      </c>
      <c r="L22" s="84">
        <v>200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2078</v>
      </c>
      <c r="C23" s="91" t="e">
        <f>IF(ISBLANK(B23),"",VLOOKUP(B23,SÜRELER!$A:$B,2,FALSE))</f>
        <v>#N/A</v>
      </c>
      <c r="D23" s="80">
        <v>300</v>
      </c>
      <c r="E23" s="92" t="e">
        <f>IF(ISBLANK($B23),"0",VLOOKUP($B23,SÜRELER!$A:$C,3,FALSE))*(D23-F23)</f>
        <v>#N/A</v>
      </c>
      <c r="F23" s="81">
        <v>4</v>
      </c>
      <c r="G23" s="93" t="e">
        <f>VLOOKUP(B23,'R.H.'!A$3:C$3974,3,FALSE)*D23/100</f>
        <v>#N/A</v>
      </c>
      <c r="H23" s="82">
        <f t="shared" si="1"/>
        <v>1.3333333333333334E-2</v>
      </c>
      <c r="I23" s="87" t="e">
        <f>VLOOKUP(B23,'R.H.'!A$3:C$3974,3,FALSE)/100</f>
        <v>#N/A</v>
      </c>
      <c r="J23" s="83">
        <v>1</v>
      </c>
      <c r="K23" s="92" t="e">
        <f t="shared" si="2"/>
        <v>#N/A</v>
      </c>
      <c r="L23" s="84">
        <v>305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1667</v>
      </c>
      <c r="C24" s="91" t="e">
        <f>IF(ISBLANK(B24),"",VLOOKUP(B24,SÜRELER!$A:$B,2,FALSE))</f>
        <v>#N/A</v>
      </c>
      <c r="D24" s="80">
        <v>397</v>
      </c>
      <c r="E24" s="92" t="e">
        <f>IF(ISBLANK($B24),"0",VLOOKUP($B24,SÜRELER!$A:$C,3,FALSE))*(D24-F24)</f>
        <v>#N/A</v>
      </c>
      <c r="F24" s="81">
        <v>5</v>
      </c>
      <c r="G24" s="93" t="e">
        <f>VLOOKUP(B24,'R.H.'!A$3:C$3974,3,FALSE)*D24/100</f>
        <v>#N/A</v>
      </c>
      <c r="H24" s="82">
        <f t="shared" si="1"/>
        <v>1.2594458438287154E-2</v>
      </c>
      <c r="I24" s="87" t="e">
        <f>VLOOKUP(B24,'R.H.'!A$3:C$3974,3,FALSE)/100</f>
        <v>#N/A</v>
      </c>
      <c r="J24" s="83">
        <v>0.5</v>
      </c>
      <c r="K24" s="92" t="e">
        <f t="shared" si="2"/>
        <v>#N/A</v>
      </c>
      <c r="L24" s="84">
        <v>260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1669</v>
      </c>
      <c r="C25" s="91" t="e">
        <f>IF(ISBLANK(B25),"",VLOOKUP(B25,SÜRELER!$A:$B,2,FALSE))</f>
        <v>#N/A</v>
      </c>
      <c r="D25" s="80">
        <v>397</v>
      </c>
      <c r="E25" s="92" t="e">
        <f>IF(ISBLANK($B25),"0",VLOOKUP($B25,SÜRELER!$A:$C,3,FALSE))*(D25-F25)</f>
        <v>#N/A</v>
      </c>
      <c r="F25" s="81">
        <v>5</v>
      </c>
      <c r="G25" s="93" t="e">
        <f>VLOOKUP(B25,'R.H.'!A$3:C$3974,3,FALSE)*D25/100</f>
        <v>#N/A</v>
      </c>
      <c r="H25" s="82">
        <f t="shared" si="1"/>
        <v>1.2594458438287154E-2</v>
      </c>
      <c r="I25" s="87" t="e">
        <f>VLOOKUP(B25,'R.H.'!A$3:C$3974,3,FALSE)/100</f>
        <v>#N/A</v>
      </c>
      <c r="J25" s="83">
        <v>0.5</v>
      </c>
      <c r="K25" s="92" t="e">
        <f t="shared" si="2"/>
        <v>#N/A</v>
      </c>
      <c r="L25" s="84">
        <v>260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114</v>
      </c>
      <c r="C26" s="91" t="e">
        <f>IF(ISBLANK(B26),"",VLOOKUP(B26,SÜRELER!$A:$B,2,FALSE))</f>
        <v>#N/A</v>
      </c>
      <c r="D26" s="80">
        <v>288</v>
      </c>
      <c r="E26" s="92" t="e">
        <f>IF(ISBLANK($B26),"0",VLOOKUP($B26,SÜRELER!$A:$C,3,FALSE))*(D26-F26)</f>
        <v>#N/A</v>
      </c>
      <c r="F26" s="81">
        <v>2</v>
      </c>
      <c r="G26" s="93" t="e">
        <f>VLOOKUP(B26,'R.H.'!A$3:C$3974,3,FALSE)*D26/100</f>
        <v>#N/A</v>
      </c>
      <c r="H26" s="82">
        <f t="shared" si="1"/>
        <v>6.9444444444444441E-3</v>
      </c>
      <c r="I26" s="87" t="e">
        <f>VLOOKUP(B26,'R.H.'!A$3:C$3974,3,FALSE)/100</f>
        <v>#N/A</v>
      </c>
      <c r="J26" s="83">
        <v>0.5</v>
      </c>
      <c r="K26" s="92" t="e">
        <f t="shared" si="2"/>
        <v>#N/A</v>
      </c>
      <c r="L26" s="84">
        <v>295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115</v>
      </c>
      <c r="C27" s="91" t="e">
        <f>IF(ISBLANK(B27),"",VLOOKUP(B27,SÜRELER!$A:$B,2,FALSE))</f>
        <v>#N/A</v>
      </c>
      <c r="D27" s="80">
        <v>288</v>
      </c>
      <c r="E27" s="92" t="e">
        <f>IF(ISBLANK($B27),"0",VLOOKUP($B27,SÜRELER!$A:$C,3,FALSE))*(D27-F27)</f>
        <v>#N/A</v>
      </c>
      <c r="F27" s="81">
        <v>2</v>
      </c>
      <c r="G27" s="93" t="e">
        <f>VLOOKUP(B27,'R.H.'!A$3:C$3974,3,FALSE)*D27/100</f>
        <v>#N/A</v>
      </c>
      <c r="H27" s="82">
        <f t="shared" si="1"/>
        <v>6.9444444444444441E-3</v>
      </c>
      <c r="I27" s="87" t="e">
        <f>VLOOKUP(B27,'R.H.'!A$3:C$3974,3,FALSE)/100</f>
        <v>#N/A</v>
      </c>
      <c r="J27" s="83">
        <v>0.5</v>
      </c>
      <c r="K27" s="92" t="e">
        <f t="shared" si="2"/>
        <v>#N/A</v>
      </c>
      <c r="L27" s="84">
        <v>295</v>
      </c>
      <c r="M27" s="84"/>
      <c r="N27" s="94" t="e">
        <f t="shared" si="3"/>
        <v>#N/A</v>
      </c>
      <c r="O27" s="88" t="e">
        <f t="shared" si="0"/>
        <v>#N/A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>
        <v>742</v>
      </c>
      <c r="C28" s="91" t="e">
        <f>IF(ISBLANK(B28),"",VLOOKUP(B28,SÜRELER!$A:$B,2,FALSE))</f>
        <v>#N/A</v>
      </c>
      <c r="D28" s="80">
        <v>73</v>
      </c>
      <c r="E28" s="92" t="e">
        <f>IF(ISBLANK($B28),"0",VLOOKUP($B28,SÜRELER!$A:$C,3,FALSE))*(D28-F28)</f>
        <v>#N/A</v>
      </c>
      <c r="F28" s="81">
        <v>0</v>
      </c>
      <c r="G28" s="93" t="e">
        <f>VLOOKUP(B28,'R.H.'!A$3:C$3974,3,FALSE)*D28/100</f>
        <v>#N/A</v>
      </c>
      <c r="H28" s="82">
        <f t="shared" si="1"/>
        <v>0</v>
      </c>
      <c r="I28" s="87" t="e">
        <f>VLOOKUP(B28,'R.H.'!A$3:C$3974,3,FALSE)/100</f>
        <v>#N/A</v>
      </c>
      <c r="J28" s="83">
        <v>0.5</v>
      </c>
      <c r="K28" s="92" t="e">
        <f t="shared" si="2"/>
        <v>#N/A</v>
      </c>
      <c r="L28" s="84">
        <v>62</v>
      </c>
      <c r="M28" s="84"/>
      <c r="N28" s="94" t="e">
        <f t="shared" si="3"/>
        <v>#N/A</v>
      </c>
      <c r="O28" s="88" t="e">
        <f t="shared" si="0"/>
        <v>#N/A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>
        <v>743</v>
      </c>
      <c r="C29" s="91" t="e">
        <f>IF(ISBLANK(B29),"",VLOOKUP(B29,SÜRELER!$A:$B,2,FALSE))</f>
        <v>#N/A</v>
      </c>
      <c r="D29" s="80">
        <v>73</v>
      </c>
      <c r="E29" s="92" t="e">
        <f>IF(ISBLANK($B29),"0",VLOOKUP($B29,SÜRELER!$A:$C,3,FALSE))*(D29-F29)</f>
        <v>#N/A</v>
      </c>
      <c r="F29" s="81">
        <v>0</v>
      </c>
      <c r="G29" s="93" t="e">
        <f>VLOOKUP(B29,'R.H.'!A$3:C$3974,3,FALSE)*D29/100</f>
        <v>#N/A</v>
      </c>
      <c r="H29" s="82">
        <f t="shared" si="1"/>
        <v>0</v>
      </c>
      <c r="I29" s="87" t="e">
        <f>VLOOKUP(B29,'R.H.'!A$3:C$3974,3,FALSE)/100</f>
        <v>#N/A</v>
      </c>
      <c r="J29" s="83">
        <v>0.5</v>
      </c>
      <c r="K29" s="92" t="e">
        <f t="shared" si="2"/>
        <v>#N/A</v>
      </c>
      <c r="L29" s="84">
        <v>62</v>
      </c>
      <c r="M29" s="84"/>
      <c r="N29" s="94" t="e">
        <f t="shared" si="3"/>
        <v>#N/A</v>
      </c>
      <c r="O29" s="88" t="e">
        <f t="shared" si="0"/>
        <v>#N/A</v>
      </c>
      <c r="P29" s="119"/>
      <c r="Q29" s="5"/>
      <c r="R29" s="5"/>
    </row>
    <row r="30" spans="1:18" s="4" customFormat="1" ht="16.5" x14ac:dyDescent="0.25">
      <c r="A30" s="85">
        <v>26</v>
      </c>
      <c r="B30" s="86"/>
      <c r="C30" s="91" t="str">
        <f>IF(ISBLANK(B30),"",VLOOKUP(B30,SÜRELER!$A:$B,2,FALSE))</f>
        <v/>
      </c>
      <c r="D30" s="80"/>
      <c r="E30" s="92">
        <f>IF(ISBLANK($B30),"0",VLOOKUP($B30,SÜRELER!$A:$C,3,FALSE))*(D30-F30)</f>
        <v>0</v>
      </c>
      <c r="F30" s="81"/>
      <c r="G30" s="93" t="e">
        <f>VLOOKUP(B30,'R.H.'!A$3:C$3974,3,FALSE)*D30/100</f>
        <v>#N/A</v>
      </c>
      <c r="H30" s="82" t="e">
        <f t="shared" si="1"/>
        <v>#DIV/0!</v>
      </c>
      <c r="I30" s="87" t="e">
        <f>VLOOKUP(B30,'R.H.'!A$3:C$3974,3,FALSE)/100</f>
        <v>#N/A</v>
      </c>
      <c r="J30" s="83"/>
      <c r="K30" s="92" t="e">
        <f t="shared" si="2"/>
        <v>#DIV/0!</v>
      </c>
      <c r="L30" s="84"/>
      <c r="M30" s="84"/>
      <c r="N30" s="94" t="e">
        <f t="shared" si="3"/>
        <v>#DIV/0!</v>
      </c>
      <c r="O30" s="88" t="e">
        <f t="shared" si="0"/>
        <v>#DIV/0!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13934</v>
      </c>
      <c r="E45" s="26" t="e">
        <f>SUM(E5:E44)</f>
        <v>#N/A</v>
      </c>
      <c r="F45" s="26">
        <f>SUM(F5:F44)</f>
        <v>383</v>
      </c>
      <c r="G45" s="26"/>
      <c r="H45" s="26"/>
      <c r="I45" s="26"/>
      <c r="J45" s="26"/>
      <c r="K45" s="26"/>
      <c r="L45" s="26">
        <f>SUM(L5:L44)</f>
        <v>11164</v>
      </c>
      <c r="M45" s="26">
        <f>SUM(M5:M44)</f>
        <v>480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2.7486723123295533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13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/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6760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/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6760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13934</v>
      </c>
      <c r="F63" s="24">
        <f>F45</f>
        <v>383</v>
      </c>
      <c r="G63" s="23">
        <f>(F63*1000000)/E63</f>
        <v>27486.723123295535</v>
      </c>
      <c r="H63" s="22">
        <f>D59</f>
        <v>0</v>
      </c>
      <c r="I63" s="17" t="e">
        <f>N1</f>
        <v>#N/A</v>
      </c>
    </row>
  </sheetData>
  <mergeCells count="16">
    <mergeCell ref="P7:P8"/>
    <mergeCell ref="N1:N3"/>
    <mergeCell ref="A2:B3"/>
    <mergeCell ref="E56:N56"/>
    <mergeCell ref="E57:N57"/>
    <mergeCell ref="E49:N49"/>
    <mergeCell ref="E50:N50"/>
    <mergeCell ref="E51:N51"/>
    <mergeCell ref="E53:N53"/>
    <mergeCell ref="E54:N54"/>
    <mergeCell ref="E55:N55"/>
    <mergeCell ref="D46:D47"/>
    <mergeCell ref="E46:F47"/>
    <mergeCell ref="A1:B1"/>
    <mergeCell ref="C1:D2"/>
    <mergeCell ref="H1:H3"/>
  </mergeCells>
  <conditionalFormatting sqref="D3">
    <cfRule type="cellIs" dxfId="9" priority="6" stopIfTrue="1" operator="lessThan">
      <formula>0.95</formula>
    </cfRule>
  </conditionalFormatting>
  <conditionalFormatting sqref="F5:F44">
    <cfRule type="cellIs" dxfId="8" priority="1" stopIfTrue="1" operator="greaterThan">
      <formula>$G5</formula>
    </cfRule>
  </conditionalFormatting>
  <conditionalFormatting sqref="H5:H44">
    <cfRule type="cellIs" dxfId="7" priority="3" stopIfTrue="1" operator="greaterThan">
      <formula>$I$5</formula>
    </cfRule>
  </conditionalFormatting>
  <conditionalFormatting sqref="N1:N3">
    <cfRule type="cellIs" dxfId="6" priority="5" stopIfTrue="1" operator="lessThan">
      <formula>0.8</formula>
    </cfRule>
  </conditionalFormatting>
  <conditionalFormatting sqref="N5:O44">
    <cfRule type="cellIs" dxfId="5" priority="4" stopIfTrue="1" operator="lessThan">
      <formula>0.85</formula>
    </cfRule>
  </conditionalFormatting>
  <hyperlinks>
    <hyperlink ref="P1:P3" location="'Ana Sayfa'!A1" display="ANA SAYFA" xr:uid="{8A0CEE47-5BB1-45F1-AE6C-DC269C45195F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A8E5-F823-4FE1-AC30-B6EE7D5E48D6}">
  <sheetPr codeName="Sayfa31">
    <tabColor theme="0" tint="-0.14999847407452621"/>
    <pageSetUpPr fitToPage="1"/>
  </sheetPr>
  <dimension ref="A1:W63"/>
  <sheetViews>
    <sheetView workbookViewId="0">
      <selection activeCell="X13" sqref="X13"/>
    </sheetView>
  </sheetViews>
  <sheetFormatPr defaultColWidth="9.1796875" defaultRowHeight="15.5" x14ac:dyDescent="0.35"/>
  <cols>
    <col min="1" max="1" width="4.1796875" style="1" customWidth="1"/>
    <col min="2" max="2" width="14.1796875" style="2" customWidth="1"/>
    <col min="3" max="3" width="34.54296875" style="2" customWidth="1"/>
    <col min="4" max="4" width="13.26953125" style="2" customWidth="1"/>
    <col min="5" max="5" width="7.1796875" style="2" hidden="1" customWidth="1"/>
    <col min="6" max="6" width="5.1796875" style="2" hidden="1" customWidth="1"/>
    <col min="7" max="7" width="8.26953125" style="8" hidden="1" customWidth="1"/>
    <col min="8" max="8" width="11.1796875" style="15" customWidth="1"/>
    <col min="9" max="9" width="8.1796875" style="8" hidden="1" customWidth="1"/>
    <col min="10" max="10" width="6.81640625" style="66" hidden="1" customWidth="1"/>
    <col min="11" max="11" width="10.26953125" style="2" hidden="1" customWidth="1"/>
    <col min="12" max="13" width="7" style="2" hidden="1" customWidth="1"/>
    <col min="14" max="15" width="12.54296875" style="2" customWidth="1"/>
    <col min="16" max="16" width="45.54296875" style="2" customWidth="1"/>
    <col min="17" max="17" width="5.54296875" style="2" customWidth="1"/>
    <col min="18" max="18" width="5.1796875" style="2" customWidth="1"/>
    <col min="19" max="19" width="6.1796875" style="2" customWidth="1"/>
    <col min="20" max="16384" width="9.1796875" style="2"/>
  </cols>
  <sheetData>
    <row r="1" spans="1:23" s="3" customFormat="1" ht="15" customHeight="1" x14ac:dyDescent="0.25">
      <c r="A1" s="185">
        <f xml:space="preserve"> '30'!A1+1</f>
        <v>46234</v>
      </c>
      <c r="B1" s="185"/>
      <c r="C1" s="186"/>
      <c r="D1" s="187"/>
      <c r="E1" s="50"/>
      <c r="F1" s="50"/>
      <c r="G1" s="50"/>
      <c r="H1" s="190" t="s">
        <v>547</v>
      </c>
      <c r="I1" s="50"/>
      <c r="J1" s="62"/>
      <c r="K1" s="50"/>
      <c r="L1" s="50"/>
      <c r="M1" s="52"/>
      <c r="N1" s="177" t="e">
        <f>E45/D51</f>
        <v>#N/A</v>
      </c>
      <c r="O1" s="46"/>
      <c r="P1" s="27" t="s">
        <v>211</v>
      </c>
    </row>
    <row r="2" spans="1:23" s="3" customFormat="1" ht="15" customHeight="1" x14ac:dyDescent="0.25">
      <c r="A2" s="179" t="str">
        <f>TEXT(A1,"gggg")</f>
        <v>Cuma</v>
      </c>
      <c r="B2" s="179"/>
      <c r="C2" s="188"/>
      <c r="D2" s="189"/>
      <c r="H2" s="191"/>
      <c r="J2" s="63"/>
      <c r="M2" s="55"/>
      <c r="N2" s="178"/>
      <c r="O2" s="46"/>
      <c r="P2" s="27"/>
    </row>
    <row r="3" spans="1:23" s="3" customFormat="1" ht="15" customHeight="1" x14ac:dyDescent="0.25">
      <c r="A3" s="179"/>
      <c r="B3" s="179"/>
      <c r="C3" s="106" t="s">
        <v>491</v>
      </c>
      <c r="D3" s="56">
        <f>D45</f>
        <v>19032</v>
      </c>
      <c r="E3" s="51"/>
      <c r="F3" s="51"/>
      <c r="G3" s="51"/>
      <c r="H3" s="192"/>
      <c r="I3" s="51"/>
      <c r="J3" s="64"/>
      <c r="M3" s="55"/>
      <c r="N3" s="178"/>
      <c r="O3" s="46"/>
      <c r="P3" s="27"/>
    </row>
    <row r="4" spans="1:23" s="4" customFormat="1" ht="42.75" customHeight="1" x14ac:dyDescent="0.25">
      <c r="A4" s="25" t="s">
        <v>421</v>
      </c>
      <c r="B4" s="74" t="s">
        <v>373</v>
      </c>
      <c r="C4" s="28" t="s">
        <v>14</v>
      </c>
      <c r="D4" s="75" t="s">
        <v>372</v>
      </c>
      <c r="E4" s="76" t="s">
        <v>13</v>
      </c>
      <c r="F4" s="77"/>
      <c r="G4" s="76" t="s">
        <v>375</v>
      </c>
      <c r="H4" s="75" t="s">
        <v>374</v>
      </c>
      <c r="I4" s="76" t="s">
        <v>376</v>
      </c>
      <c r="J4" s="78"/>
      <c r="K4" s="79" t="s">
        <v>377</v>
      </c>
      <c r="L4" s="79" t="s">
        <v>445</v>
      </c>
      <c r="M4" s="79" t="s">
        <v>446</v>
      </c>
      <c r="N4" s="70" t="s">
        <v>210</v>
      </c>
      <c r="O4" s="70" t="s">
        <v>447</v>
      </c>
      <c r="P4" s="70" t="s">
        <v>6</v>
      </c>
    </row>
    <row r="5" spans="1:23" s="4" customFormat="1" ht="16.75" customHeight="1" x14ac:dyDescent="0.25">
      <c r="A5" s="90">
        <v>1</v>
      </c>
      <c r="B5" s="86">
        <v>2076</v>
      </c>
      <c r="C5" s="91" t="e">
        <f>IF(ISBLANK(B5),"",VLOOKUP(B5,SÜRELER!$A:$B,2,FALSE))</f>
        <v>#N/A</v>
      </c>
      <c r="D5" s="80">
        <v>1604</v>
      </c>
      <c r="E5" s="92" t="e">
        <f>IF(ISBLANK($B5),"0",VLOOKUP($B5,SÜRELER!$A:$C,3,FALSE))*(D5-F5)</f>
        <v>#N/A</v>
      </c>
      <c r="F5" s="81">
        <v>9</v>
      </c>
      <c r="G5" s="93" t="e">
        <f>VLOOKUP(B5,'R.H.'!A$3:C$3974,3,FALSE)*D5/100</f>
        <v>#N/A</v>
      </c>
      <c r="H5" s="82">
        <f>F5/D5</f>
        <v>5.6109725685785537E-3</v>
      </c>
      <c r="I5" s="87" t="e">
        <f>VLOOKUP(B5,'R.H.'!A$3:C$3974,3,FALSE)/100</f>
        <v>#N/A</v>
      </c>
      <c r="J5" s="83">
        <v>1</v>
      </c>
      <c r="K5" s="92" t="e">
        <f>E5/J5</f>
        <v>#N/A</v>
      </c>
      <c r="L5" s="84">
        <v>950</v>
      </c>
      <c r="M5" s="84"/>
      <c r="N5" s="94" t="e">
        <f>K5/L5</f>
        <v>#N/A</v>
      </c>
      <c r="O5" s="88" t="e">
        <f t="shared" ref="O5:O44" si="0">K5/(L5-M5)</f>
        <v>#N/A</v>
      </c>
      <c r="P5" s="119"/>
      <c r="Q5" s="5"/>
      <c r="R5" s="5"/>
      <c r="V5" s="4" t="s">
        <v>5</v>
      </c>
      <c r="W5" s="4" t="s">
        <v>5</v>
      </c>
    </row>
    <row r="6" spans="1:23" s="4" customFormat="1" ht="16.5" x14ac:dyDescent="0.25">
      <c r="A6" s="85">
        <v>2</v>
      </c>
      <c r="B6" s="86">
        <v>2151</v>
      </c>
      <c r="C6" s="91" t="e">
        <f>IF(ISBLANK(B6),"",VLOOKUP(B6,SÜRELER!$A:$B,2,FALSE))</f>
        <v>#N/A</v>
      </c>
      <c r="D6" s="80">
        <v>378</v>
      </c>
      <c r="E6" s="92" t="e">
        <f>IF(ISBLANK($B6),"0",VLOOKUP($B6,SÜRELER!$A:$C,3,FALSE))*(D6-F6)</f>
        <v>#N/A</v>
      </c>
      <c r="F6" s="81">
        <v>5</v>
      </c>
      <c r="G6" s="93" t="e">
        <f>VLOOKUP(B6,'R.H.'!A$3:C$3974,3,FALSE)*D6/100</f>
        <v>#N/A</v>
      </c>
      <c r="H6" s="82">
        <f t="shared" ref="H6:H44" si="1">F6/D6</f>
        <v>1.3227513227513227E-2</v>
      </c>
      <c r="I6" s="87" t="e">
        <f>VLOOKUP(B6,'R.H.'!A$3:C$3974,3,FALSE)/100</f>
        <v>#N/A</v>
      </c>
      <c r="J6" s="83">
        <v>0.25</v>
      </c>
      <c r="K6" s="92" t="e">
        <f t="shared" ref="K6:K44" si="2">E6/J6</f>
        <v>#N/A</v>
      </c>
      <c r="L6" s="84">
        <v>480</v>
      </c>
      <c r="M6" s="84"/>
      <c r="N6" s="94" t="e">
        <f t="shared" ref="N6:N44" si="3">K6/L6</f>
        <v>#N/A</v>
      </c>
      <c r="O6" s="88" t="e">
        <f t="shared" si="0"/>
        <v>#N/A</v>
      </c>
      <c r="P6" s="119"/>
      <c r="Q6" s="5"/>
      <c r="R6" s="5"/>
    </row>
    <row r="7" spans="1:23" s="4" customFormat="1" ht="16.5" customHeight="1" x14ac:dyDescent="0.25">
      <c r="A7" s="90">
        <v>3</v>
      </c>
      <c r="B7" s="86">
        <v>2152</v>
      </c>
      <c r="C7" s="91" t="e">
        <f>IF(ISBLANK(B7),"",VLOOKUP(B7,SÜRELER!$A:$B,2,FALSE))</f>
        <v>#N/A</v>
      </c>
      <c r="D7" s="80">
        <v>378</v>
      </c>
      <c r="E7" s="92" t="e">
        <f>IF(ISBLANK($B7),"0",VLOOKUP($B7,SÜRELER!$A:$C,3,FALSE))*(D7-F7)</f>
        <v>#N/A</v>
      </c>
      <c r="F7" s="81">
        <v>5</v>
      </c>
      <c r="G7" s="93" t="e">
        <f>VLOOKUP(B7,'R.H.'!A$3:C$3974,3,FALSE)*D7/100</f>
        <v>#N/A</v>
      </c>
      <c r="H7" s="82">
        <f t="shared" si="1"/>
        <v>1.3227513227513227E-2</v>
      </c>
      <c r="I7" s="87" t="e">
        <f>VLOOKUP(B7,'R.H.'!A$3:C$3974,3,FALSE)/100</f>
        <v>#N/A</v>
      </c>
      <c r="J7" s="83">
        <v>0.25</v>
      </c>
      <c r="K7" s="92" t="e">
        <f t="shared" si="2"/>
        <v>#N/A</v>
      </c>
      <c r="L7" s="84">
        <v>480</v>
      </c>
      <c r="M7" s="84"/>
      <c r="N7" s="94" t="e">
        <f t="shared" si="3"/>
        <v>#N/A</v>
      </c>
      <c r="O7" s="88" t="e">
        <f t="shared" si="0"/>
        <v>#N/A</v>
      </c>
      <c r="P7" s="119"/>
      <c r="Q7" s="5"/>
      <c r="R7" s="5"/>
    </row>
    <row r="8" spans="1:23" s="4" customFormat="1" ht="16.5" customHeight="1" x14ac:dyDescent="0.25">
      <c r="A8" s="85">
        <v>4</v>
      </c>
      <c r="B8" s="86">
        <v>2153</v>
      </c>
      <c r="C8" s="91" t="e">
        <f>IF(ISBLANK(B8),"",VLOOKUP(B8,SÜRELER!$A:$B,2,FALSE))</f>
        <v>#N/A</v>
      </c>
      <c r="D8" s="80">
        <v>378</v>
      </c>
      <c r="E8" s="92" t="e">
        <f>IF(ISBLANK($B8),"0",VLOOKUP($B8,SÜRELER!$A:$C,3,FALSE))*(D8-F8)</f>
        <v>#N/A</v>
      </c>
      <c r="F8" s="81">
        <v>5</v>
      </c>
      <c r="G8" s="93" t="e">
        <f>VLOOKUP(B8,'R.H.'!A$3:C$3974,3,FALSE)*D8/100</f>
        <v>#N/A</v>
      </c>
      <c r="H8" s="82">
        <f t="shared" si="1"/>
        <v>1.3227513227513227E-2</v>
      </c>
      <c r="I8" s="87" t="e">
        <f>VLOOKUP(B8,'R.H.'!A$3:C$3974,3,FALSE)/100</f>
        <v>#N/A</v>
      </c>
      <c r="J8" s="83">
        <v>0.25</v>
      </c>
      <c r="K8" s="92" t="e">
        <f t="shared" si="2"/>
        <v>#N/A</v>
      </c>
      <c r="L8" s="84">
        <v>480</v>
      </c>
      <c r="M8" s="84"/>
      <c r="N8" s="94" t="e">
        <f t="shared" si="3"/>
        <v>#N/A</v>
      </c>
      <c r="O8" s="88" t="e">
        <f t="shared" si="0"/>
        <v>#N/A</v>
      </c>
      <c r="P8" s="119"/>
      <c r="Q8" s="5"/>
      <c r="R8" s="5"/>
    </row>
    <row r="9" spans="1:23" s="4" customFormat="1" ht="16.5" x14ac:dyDescent="0.25">
      <c r="A9" s="90">
        <v>5</v>
      </c>
      <c r="B9" s="86">
        <v>2154</v>
      </c>
      <c r="C9" s="91" t="e">
        <f>IF(ISBLANK(B9),"",VLOOKUP(B9,SÜRELER!$A:$B,2,FALSE))</f>
        <v>#N/A</v>
      </c>
      <c r="D9" s="80">
        <v>378</v>
      </c>
      <c r="E9" s="92" t="e">
        <f>IF(ISBLANK($B9),"0",VLOOKUP($B9,SÜRELER!$A:$C,3,FALSE))*(D9-F9)</f>
        <v>#N/A</v>
      </c>
      <c r="F9" s="81">
        <v>5</v>
      </c>
      <c r="G9" s="93" t="e">
        <f>VLOOKUP(B9,'R.H.'!A$3:C$3974,3,FALSE)*D9/100</f>
        <v>#N/A</v>
      </c>
      <c r="H9" s="82">
        <f t="shared" si="1"/>
        <v>1.3227513227513227E-2</v>
      </c>
      <c r="I9" s="87" t="e">
        <f>VLOOKUP(B9,'R.H.'!A$3:C$3974,3,FALSE)/100</f>
        <v>#N/A</v>
      </c>
      <c r="J9" s="83">
        <v>0.25</v>
      </c>
      <c r="K9" s="92" t="e">
        <f t="shared" si="2"/>
        <v>#N/A</v>
      </c>
      <c r="L9" s="84">
        <v>480</v>
      </c>
      <c r="M9" s="84"/>
      <c r="N9" s="94" t="e">
        <f t="shared" si="3"/>
        <v>#N/A</v>
      </c>
      <c r="O9" s="88" t="e">
        <f t="shared" si="0"/>
        <v>#N/A</v>
      </c>
      <c r="P9" s="119"/>
      <c r="Q9" s="5"/>
      <c r="R9" s="5"/>
    </row>
    <row r="10" spans="1:23" s="4" customFormat="1" ht="16.5" customHeight="1" x14ac:dyDescent="0.25">
      <c r="A10" s="85">
        <v>6</v>
      </c>
      <c r="B10" s="86">
        <v>2070</v>
      </c>
      <c r="C10" s="91" t="e">
        <f>IF(ISBLANK(B10),"",VLOOKUP(B10,SÜRELER!$A:$B,2,FALSE))</f>
        <v>#N/A</v>
      </c>
      <c r="D10" s="80">
        <v>663</v>
      </c>
      <c r="E10" s="92" t="e">
        <f>IF(ISBLANK($B10),"0",VLOOKUP($B10,SÜRELER!$A:$C,3,FALSE))*(D10-F10)</f>
        <v>#N/A</v>
      </c>
      <c r="F10" s="81">
        <v>4</v>
      </c>
      <c r="G10" s="93" t="e">
        <f>VLOOKUP(B10,'R.H.'!A$3:C$3974,3,FALSE)*D10/100</f>
        <v>#N/A</v>
      </c>
      <c r="H10" s="82">
        <f t="shared" si="1"/>
        <v>6.0331825037707393E-3</v>
      </c>
      <c r="I10" s="87" t="e">
        <f>VLOOKUP(B10,'R.H.'!A$3:C$3974,3,FALSE)/100</f>
        <v>#N/A</v>
      </c>
      <c r="J10" s="83">
        <v>0.5</v>
      </c>
      <c r="K10" s="92" t="e">
        <f t="shared" si="2"/>
        <v>#N/A</v>
      </c>
      <c r="L10" s="84">
        <v>620</v>
      </c>
      <c r="M10" s="84"/>
      <c r="N10" s="94" t="e">
        <f t="shared" si="3"/>
        <v>#N/A</v>
      </c>
      <c r="O10" s="88" t="e">
        <f t="shared" si="0"/>
        <v>#N/A</v>
      </c>
      <c r="P10" s="119"/>
      <c r="Q10" s="5"/>
      <c r="R10" s="5"/>
    </row>
    <row r="11" spans="1:23" s="4" customFormat="1" ht="16.75" customHeight="1" x14ac:dyDescent="0.25">
      <c r="A11" s="90">
        <v>7</v>
      </c>
      <c r="B11" s="86">
        <v>2071</v>
      </c>
      <c r="C11" s="91" t="e">
        <f>IF(ISBLANK(B11),"",VLOOKUP(B11,SÜRELER!$A:$B,2,FALSE))</f>
        <v>#N/A</v>
      </c>
      <c r="D11" s="80">
        <v>663</v>
      </c>
      <c r="E11" s="92" t="e">
        <f>IF(ISBLANK($B11),"0",VLOOKUP($B11,SÜRELER!$A:$C,3,FALSE))*(D11-F11)</f>
        <v>#N/A</v>
      </c>
      <c r="F11" s="81">
        <v>4</v>
      </c>
      <c r="G11" s="93" t="e">
        <f>VLOOKUP(B11,'R.H.'!A$3:C$3974,3,FALSE)*D11/100</f>
        <v>#N/A</v>
      </c>
      <c r="H11" s="82">
        <f t="shared" si="1"/>
        <v>6.0331825037707393E-3</v>
      </c>
      <c r="I11" s="87" t="e">
        <f>VLOOKUP(B11,'R.H.'!A$3:C$3974,3,FALSE)/100</f>
        <v>#N/A</v>
      </c>
      <c r="J11" s="83">
        <v>0.5</v>
      </c>
      <c r="K11" s="92" t="e">
        <f t="shared" si="2"/>
        <v>#N/A</v>
      </c>
      <c r="L11" s="84">
        <v>620</v>
      </c>
      <c r="M11" s="84"/>
      <c r="N11" s="94" t="e">
        <f t="shared" si="3"/>
        <v>#N/A</v>
      </c>
      <c r="O11" s="88" t="e">
        <f t="shared" si="0"/>
        <v>#N/A</v>
      </c>
      <c r="P11" s="119"/>
      <c r="Q11" s="5"/>
      <c r="R11" s="5"/>
    </row>
    <row r="12" spans="1:23" s="4" customFormat="1" ht="16.5" x14ac:dyDescent="0.25">
      <c r="A12" s="85">
        <v>8</v>
      </c>
      <c r="B12" s="86">
        <v>2078</v>
      </c>
      <c r="C12" s="91" t="e">
        <f>IF(ISBLANK(B12),"",VLOOKUP(B12,SÜRELER!$A:$B,2,FALSE))</f>
        <v>#N/A</v>
      </c>
      <c r="D12" s="80">
        <v>820</v>
      </c>
      <c r="E12" s="92" t="e">
        <f>IF(ISBLANK($B12),"0",VLOOKUP($B12,SÜRELER!$A:$C,3,FALSE))*(D12-F12)</f>
        <v>#N/A</v>
      </c>
      <c r="F12" s="81">
        <v>10</v>
      </c>
      <c r="G12" s="93" t="e">
        <f>VLOOKUP(B12,'R.H.'!A$3:C$3974,3,FALSE)*D12/100</f>
        <v>#N/A</v>
      </c>
      <c r="H12" s="82">
        <f t="shared" si="1"/>
        <v>1.2195121951219513E-2</v>
      </c>
      <c r="I12" s="87" t="e">
        <f>VLOOKUP(B12,'R.H.'!A$3:C$3974,3,FALSE)/100</f>
        <v>#N/A</v>
      </c>
      <c r="J12" s="83">
        <v>1</v>
      </c>
      <c r="K12" s="92" t="e">
        <f t="shared" si="2"/>
        <v>#N/A</v>
      </c>
      <c r="L12" s="84">
        <v>820</v>
      </c>
      <c r="M12" s="84"/>
      <c r="N12" s="94" t="e">
        <f t="shared" si="3"/>
        <v>#N/A</v>
      </c>
      <c r="O12" s="88" t="e">
        <f t="shared" si="0"/>
        <v>#N/A</v>
      </c>
      <c r="P12" s="119"/>
      <c r="Q12" s="5"/>
      <c r="R12" s="5"/>
    </row>
    <row r="13" spans="1:23" s="4" customFormat="1" ht="16.5" customHeight="1" x14ac:dyDescent="0.25">
      <c r="A13" s="90">
        <v>9</v>
      </c>
      <c r="B13" s="86">
        <v>281</v>
      </c>
      <c r="C13" s="91" t="e">
        <f>IF(ISBLANK(B13),"",VLOOKUP(B13,SÜRELER!$A:$B,2,FALSE))</f>
        <v>#N/A</v>
      </c>
      <c r="D13" s="80">
        <v>1274</v>
      </c>
      <c r="E13" s="92" t="e">
        <f>IF(ISBLANK($B13),"0",VLOOKUP($B13,SÜRELER!$A:$C,3,FALSE))*(D13-F13)</f>
        <v>#N/A</v>
      </c>
      <c r="F13" s="81">
        <v>6</v>
      </c>
      <c r="G13" s="93" t="e">
        <f>VLOOKUP(B13,'R.H.'!A$3:C$3974,3,FALSE)*D13/100</f>
        <v>#N/A</v>
      </c>
      <c r="H13" s="82">
        <f t="shared" si="1"/>
        <v>4.7095761381475663E-3</v>
      </c>
      <c r="I13" s="87" t="e">
        <f>VLOOKUP(B13,'R.H.'!A$3:C$3974,3,FALSE)/100</f>
        <v>#N/A</v>
      </c>
      <c r="J13" s="83">
        <v>0.5</v>
      </c>
      <c r="K13" s="92" t="e">
        <f t="shared" si="2"/>
        <v>#N/A</v>
      </c>
      <c r="L13" s="84">
        <v>995</v>
      </c>
      <c r="M13" s="84"/>
      <c r="N13" s="94" t="e">
        <f t="shared" si="3"/>
        <v>#N/A</v>
      </c>
      <c r="O13" s="88" t="e">
        <f t="shared" si="0"/>
        <v>#N/A</v>
      </c>
      <c r="P13" s="119"/>
      <c r="Q13" s="5"/>
      <c r="R13" s="5"/>
    </row>
    <row r="14" spans="1:23" s="4" customFormat="1" ht="16.75" customHeight="1" x14ac:dyDescent="0.25">
      <c r="A14" s="85">
        <v>10</v>
      </c>
      <c r="B14" s="86">
        <v>282</v>
      </c>
      <c r="C14" s="91" t="e">
        <f>IF(ISBLANK(B14),"",VLOOKUP(B14,SÜRELER!$A:$B,2,FALSE))</f>
        <v>#N/A</v>
      </c>
      <c r="D14" s="80">
        <v>1274</v>
      </c>
      <c r="E14" s="92" t="e">
        <f>IF(ISBLANK($B14),"0",VLOOKUP($B14,SÜRELER!$A:$C,3,FALSE))*(D14-F14)</f>
        <v>#N/A</v>
      </c>
      <c r="F14" s="81">
        <v>6</v>
      </c>
      <c r="G14" s="93" t="e">
        <f>VLOOKUP(B14,'R.H.'!A$3:C$3974,3,FALSE)*D14/100</f>
        <v>#N/A</v>
      </c>
      <c r="H14" s="82">
        <f t="shared" si="1"/>
        <v>4.7095761381475663E-3</v>
      </c>
      <c r="I14" s="87" t="e">
        <f>VLOOKUP(B14,'R.H.'!A$3:C$3974,3,FALSE)/100</f>
        <v>#N/A</v>
      </c>
      <c r="J14" s="83">
        <v>0.5</v>
      </c>
      <c r="K14" s="92" t="e">
        <f t="shared" si="2"/>
        <v>#N/A</v>
      </c>
      <c r="L14" s="84">
        <v>995</v>
      </c>
      <c r="M14" s="84"/>
      <c r="N14" s="94" t="e">
        <f t="shared" si="3"/>
        <v>#N/A</v>
      </c>
      <c r="O14" s="88" t="e">
        <f t="shared" si="0"/>
        <v>#N/A</v>
      </c>
      <c r="P14" s="119"/>
      <c r="Q14" s="5"/>
      <c r="R14" s="5"/>
    </row>
    <row r="15" spans="1:23" s="4" customFormat="1" ht="16.5" x14ac:dyDescent="0.25">
      <c r="A15" s="90">
        <v>11</v>
      </c>
      <c r="B15" s="86">
        <v>700</v>
      </c>
      <c r="C15" s="91" t="e">
        <f>IF(ISBLANK(B15),"",VLOOKUP(B15,SÜRELER!$A:$B,2,FALSE))</f>
        <v>#N/A</v>
      </c>
      <c r="D15" s="80">
        <v>190</v>
      </c>
      <c r="E15" s="92" t="e">
        <f>IF(ISBLANK($B15),"0",VLOOKUP($B15,SÜRELER!$A:$C,3,FALSE))*(D15-F15)</f>
        <v>#N/A</v>
      </c>
      <c r="F15" s="81">
        <v>0</v>
      </c>
      <c r="G15" s="93" t="e">
        <f>VLOOKUP(B15,'R.H.'!A$3:C$3974,3,FALSE)*D15/100</f>
        <v>#N/A</v>
      </c>
      <c r="H15" s="82">
        <f t="shared" si="1"/>
        <v>0</v>
      </c>
      <c r="I15" s="87" t="e">
        <f>VLOOKUP(B15,'R.H.'!A$3:C$3974,3,FALSE)/100</f>
        <v>#N/A</v>
      </c>
      <c r="J15" s="83">
        <v>1</v>
      </c>
      <c r="K15" s="92" t="e">
        <f t="shared" si="2"/>
        <v>#N/A</v>
      </c>
      <c r="L15" s="84">
        <v>94</v>
      </c>
      <c r="M15" s="84"/>
      <c r="N15" s="94" t="e">
        <f t="shared" si="3"/>
        <v>#N/A</v>
      </c>
      <c r="O15" s="88" t="e">
        <f t="shared" si="0"/>
        <v>#N/A</v>
      </c>
      <c r="P15" s="119"/>
      <c r="Q15" s="5"/>
      <c r="R15" s="5"/>
    </row>
    <row r="16" spans="1:23" s="4" customFormat="1" ht="16.5" customHeight="1" x14ac:dyDescent="0.25">
      <c r="A16" s="85">
        <v>12</v>
      </c>
      <c r="B16" s="86">
        <v>1671</v>
      </c>
      <c r="C16" s="91" t="e">
        <f>IF(ISBLANK(B16),"",VLOOKUP(B16,SÜRELER!$A:$B,2,FALSE))</f>
        <v>#N/A</v>
      </c>
      <c r="D16" s="80">
        <v>682</v>
      </c>
      <c r="E16" s="92" t="e">
        <f>IF(ISBLANK($B16),"0",VLOOKUP($B16,SÜRELER!$A:$C,3,FALSE))*(D16-F16)</f>
        <v>#N/A</v>
      </c>
      <c r="F16" s="81">
        <v>4</v>
      </c>
      <c r="G16" s="93" t="e">
        <f>VLOOKUP(B16,'R.H.'!A$3:C$3974,3,FALSE)*D16/100</f>
        <v>#N/A</v>
      </c>
      <c r="H16" s="82">
        <f t="shared" si="1"/>
        <v>5.8651026392961877E-3</v>
      </c>
      <c r="I16" s="87" t="e">
        <f>VLOOKUP(B16,'R.H.'!A$3:C$3974,3,FALSE)/100</f>
        <v>#N/A</v>
      </c>
      <c r="J16" s="83">
        <v>0.5</v>
      </c>
      <c r="K16" s="92" t="e">
        <f t="shared" si="2"/>
        <v>#N/A</v>
      </c>
      <c r="L16" s="84">
        <v>390</v>
      </c>
      <c r="M16" s="84"/>
      <c r="N16" s="94" t="e">
        <f t="shared" si="3"/>
        <v>#N/A</v>
      </c>
      <c r="O16" s="88" t="e">
        <f t="shared" si="0"/>
        <v>#N/A</v>
      </c>
      <c r="P16" s="119"/>
      <c r="Q16" s="5"/>
      <c r="R16" s="5"/>
    </row>
    <row r="17" spans="1:18" s="4" customFormat="1" ht="16.75" customHeight="1" x14ac:dyDescent="0.25">
      <c r="A17" s="90">
        <v>13</v>
      </c>
      <c r="B17" s="86">
        <v>1673</v>
      </c>
      <c r="C17" s="91" t="e">
        <f>IF(ISBLANK(B17),"",VLOOKUP(B17,SÜRELER!$A:$B,2,FALSE))</f>
        <v>#N/A</v>
      </c>
      <c r="D17" s="80">
        <v>682</v>
      </c>
      <c r="E17" s="92" t="e">
        <f>IF(ISBLANK($B17),"0",VLOOKUP($B17,SÜRELER!$A:$C,3,FALSE))*(D17-F17)</f>
        <v>#N/A</v>
      </c>
      <c r="F17" s="81">
        <v>4</v>
      </c>
      <c r="G17" s="93" t="e">
        <f>VLOOKUP(B17,'R.H.'!A$3:C$3974,3,FALSE)*D17/100</f>
        <v>#N/A</v>
      </c>
      <c r="H17" s="82">
        <f t="shared" si="1"/>
        <v>5.8651026392961877E-3</v>
      </c>
      <c r="I17" s="87" t="e">
        <f>VLOOKUP(B17,'R.H.'!A$3:C$3974,3,FALSE)/100</f>
        <v>#N/A</v>
      </c>
      <c r="J17" s="83">
        <v>0.5</v>
      </c>
      <c r="K17" s="92" t="e">
        <f t="shared" si="2"/>
        <v>#N/A</v>
      </c>
      <c r="L17" s="84">
        <v>390</v>
      </c>
      <c r="M17" s="84"/>
      <c r="N17" s="94" t="e">
        <f t="shared" si="3"/>
        <v>#N/A</v>
      </c>
      <c r="O17" s="88" t="e">
        <f t="shared" si="0"/>
        <v>#N/A</v>
      </c>
      <c r="P17" s="119"/>
      <c r="Q17" s="5"/>
      <c r="R17" s="5"/>
    </row>
    <row r="18" spans="1:18" s="4" customFormat="1" ht="16.5" x14ac:dyDescent="0.25">
      <c r="A18" s="85">
        <v>14</v>
      </c>
      <c r="B18" s="86">
        <v>1908</v>
      </c>
      <c r="C18" s="91" t="e">
        <f>IF(ISBLANK(B18),"",VLOOKUP(B18,SÜRELER!$A:$B,2,FALSE))</f>
        <v>#N/A</v>
      </c>
      <c r="D18" s="80">
        <v>805</v>
      </c>
      <c r="E18" s="92" t="e">
        <f>IF(ISBLANK($B18),"0",VLOOKUP($B18,SÜRELER!$A:$C,3,FALSE))*(D18-F18)</f>
        <v>#N/A</v>
      </c>
      <c r="F18" s="81">
        <v>2</v>
      </c>
      <c r="G18" s="93" t="e">
        <f>VLOOKUP(B18,'R.H.'!A$3:C$3974,3,FALSE)*D18/100</f>
        <v>#N/A</v>
      </c>
      <c r="H18" s="82">
        <f t="shared" si="1"/>
        <v>2.4844720496894411E-3</v>
      </c>
      <c r="I18" s="87" t="e">
        <f>VLOOKUP(B18,'R.H.'!A$3:C$3974,3,FALSE)/100</f>
        <v>#N/A</v>
      </c>
      <c r="J18" s="83">
        <v>0.5</v>
      </c>
      <c r="K18" s="92" t="e">
        <f t="shared" si="2"/>
        <v>#N/A</v>
      </c>
      <c r="L18" s="84">
        <v>950</v>
      </c>
      <c r="M18" s="84"/>
      <c r="N18" s="94" t="e">
        <f t="shared" si="3"/>
        <v>#N/A</v>
      </c>
      <c r="O18" s="88" t="e">
        <f t="shared" si="0"/>
        <v>#N/A</v>
      </c>
      <c r="P18" s="119"/>
      <c r="Q18" s="5"/>
      <c r="R18" s="5"/>
    </row>
    <row r="19" spans="1:18" s="4" customFormat="1" ht="16.5" x14ac:dyDescent="0.25">
      <c r="A19" s="90">
        <v>15</v>
      </c>
      <c r="B19" s="86">
        <v>1909</v>
      </c>
      <c r="C19" s="91" t="e">
        <f>IF(ISBLANK(B19),"",VLOOKUP(B19,SÜRELER!$A:$B,2,FALSE))</f>
        <v>#N/A</v>
      </c>
      <c r="D19" s="80">
        <v>805</v>
      </c>
      <c r="E19" s="92" t="e">
        <f>IF(ISBLANK($B19),"0",VLOOKUP($B19,SÜRELER!$A:$C,3,FALSE))*(D19-F19)</f>
        <v>#N/A</v>
      </c>
      <c r="F19" s="81">
        <v>2</v>
      </c>
      <c r="G19" s="93" t="e">
        <f>VLOOKUP(B19,'R.H.'!A$3:C$3974,3,FALSE)*D19/100</f>
        <v>#N/A</v>
      </c>
      <c r="H19" s="82">
        <f t="shared" si="1"/>
        <v>2.4844720496894411E-3</v>
      </c>
      <c r="I19" s="87" t="e">
        <f>VLOOKUP(B19,'R.H.'!A$3:C$3974,3,FALSE)/100</f>
        <v>#N/A</v>
      </c>
      <c r="J19" s="83">
        <v>0.5</v>
      </c>
      <c r="K19" s="92" t="e">
        <f t="shared" si="2"/>
        <v>#N/A</v>
      </c>
      <c r="L19" s="84">
        <v>950</v>
      </c>
      <c r="M19" s="84"/>
      <c r="N19" s="94" t="e">
        <f t="shared" si="3"/>
        <v>#N/A</v>
      </c>
      <c r="O19" s="88" t="e">
        <f t="shared" si="0"/>
        <v>#N/A</v>
      </c>
      <c r="P19" s="119"/>
      <c r="Q19" s="5"/>
      <c r="R19" s="5"/>
    </row>
    <row r="20" spans="1:18" s="4" customFormat="1" ht="16.5" customHeight="1" x14ac:dyDescent="0.25">
      <c r="A20" s="85">
        <v>16</v>
      </c>
      <c r="B20" s="86">
        <v>248</v>
      </c>
      <c r="C20" s="91" t="e">
        <f>IF(ISBLANK(B20),"",VLOOKUP(B20,SÜRELER!$A:$B,2,FALSE))</f>
        <v>#N/A</v>
      </c>
      <c r="D20" s="80">
        <v>1188</v>
      </c>
      <c r="E20" s="92" t="e">
        <f>IF(ISBLANK($B20),"0",VLOOKUP($B20,SÜRELER!$A:$C,3,FALSE))*(D20-F20)</f>
        <v>#N/A</v>
      </c>
      <c r="F20" s="81">
        <v>2</v>
      </c>
      <c r="G20" s="93" t="e">
        <f>VLOOKUP(B20,'R.H.'!A$3:C$3974,3,FALSE)*D20/100</f>
        <v>#N/A</v>
      </c>
      <c r="H20" s="82">
        <f t="shared" si="1"/>
        <v>1.6835016835016834E-3</v>
      </c>
      <c r="I20" s="87" t="e">
        <f>VLOOKUP(B20,'R.H.'!A$3:C$3974,3,FALSE)/100</f>
        <v>#N/A</v>
      </c>
      <c r="J20" s="83">
        <v>0.5</v>
      </c>
      <c r="K20" s="92" t="e">
        <f t="shared" si="2"/>
        <v>#N/A</v>
      </c>
      <c r="L20" s="84">
        <v>1150</v>
      </c>
      <c r="M20" s="84"/>
      <c r="N20" s="94" t="e">
        <f t="shared" si="3"/>
        <v>#N/A</v>
      </c>
      <c r="O20" s="88" t="e">
        <f t="shared" si="0"/>
        <v>#N/A</v>
      </c>
      <c r="P20" s="119"/>
      <c r="Q20" s="5"/>
      <c r="R20" s="5"/>
    </row>
    <row r="21" spans="1:18" s="4" customFormat="1" ht="16.5" x14ac:dyDescent="0.25">
      <c r="A21" s="90">
        <v>17</v>
      </c>
      <c r="B21" s="86">
        <v>249</v>
      </c>
      <c r="C21" s="91" t="e">
        <f>IF(ISBLANK(B21),"",VLOOKUP(B21,SÜRELER!$A:$B,2,FALSE))</f>
        <v>#N/A</v>
      </c>
      <c r="D21" s="80">
        <v>1188</v>
      </c>
      <c r="E21" s="92" t="e">
        <f>IF(ISBLANK($B21),"0",VLOOKUP($B21,SÜRELER!$A:$C,3,FALSE))*(D21-F21)</f>
        <v>#N/A</v>
      </c>
      <c r="F21" s="81">
        <v>2</v>
      </c>
      <c r="G21" s="93" t="e">
        <f>VLOOKUP(B21,'R.H.'!A$3:C$3974,3,FALSE)*D21/100</f>
        <v>#N/A</v>
      </c>
      <c r="H21" s="82">
        <f t="shared" si="1"/>
        <v>1.6835016835016834E-3</v>
      </c>
      <c r="I21" s="87" t="e">
        <f>VLOOKUP(B21,'R.H.'!A$3:C$3974,3,FALSE)/100</f>
        <v>#N/A</v>
      </c>
      <c r="J21" s="83">
        <v>0.5</v>
      </c>
      <c r="K21" s="92" t="e">
        <f t="shared" si="2"/>
        <v>#N/A</v>
      </c>
      <c r="L21" s="84">
        <v>1150</v>
      </c>
      <c r="M21" s="84"/>
      <c r="N21" s="94" t="e">
        <f t="shared" si="3"/>
        <v>#N/A</v>
      </c>
      <c r="O21" s="88" t="e">
        <f t="shared" si="0"/>
        <v>#N/A</v>
      </c>
      <c r="P21" s="119"/>
      <c r="Q21" s="5"/>
      <c r="R21" s="5"/>
    </row>
    <row r="22" spans="1:18" s="4" customFormat="1" ht="16.5" customHeight="1" x14ac:dyDescent="0.25">
      <c r="A22" s="85">
        <v>18</v>
      </c>
      <c r="B22" s="86">
        <v>1676</v>
      </c>
      <c r="C22" s="91" t="e">
        <f>IF(ISBLANK(B22),"",VLOOKUP(B22,SÜRELER!$A:$B,2,FALSE))</f>
        <v>#N/A</v>
      </c>
      <c r="D22" s="80">
        <v>199</v>
      </c>
      <c r="E22" s="92" t="e">
        <f>IF(ISBLANK($B22),"0",VLOOKUP($B22,SÜRELER!$A:$C,3,FALSE))*(D22-F22)</f>
        <v>#N/A</v>
      </c>
      <c r="F22" s="81">
        <v>31</v>
      </c>
      <c r="G22" s="93" t="e">
        <f>VLOOKUP(B22,'R.H.'!A$3:C$3974,3,FALSE)*D22/100</f>
        <v>#N/A</v>
      </c>
      <c r="H22" s="82">
        <f t="shared" si="1"/>
        <v>0.15577889447236182</v>
      </c>
      <c r="I22" s="87" t="e">
        <f>VLOOKUP(B22,'R.H.'!A$3:C$3974,3,FALSE)/100</f>
        <v>#N/A</v>
      </c>
      <c r="J22" s="83">
        <v>0.5</v>
      </c>
      <c r="K22" s="92" t="e">
        <f t="shared" si="2"/>
        <v>#N/A</v>
      </c>
      <c r="L22" s="84">
        <v>345</v>
      </c>
      <c r="M22" s="84"/>
      <c r="N22" s="94" t="e">
        <f t="shared" si="3"/>
        <v>#N/A</v>
      </c>
      <c r="O22" s="88" t="e">
        <f t="shared" si="0"/>
        <v>#N/A</v>
      </c>
      <c r="P22" s="119"/>
      <c r="Q22" s="5"/>
      <c r="R22" s="5"/>
    </row>
    <row r="23" spans="1:18" s="4" customFormat="1" ht="16.5" customHeight="1" x14ac:dyDescent="0.25">
      <c r="A23" s="90">
        <v>19</v>
      </c>
      <c r="B23" s="86">
        <v>1677</v>
      </c>
      <c r="C23" s="91" t="e">
        <f>IF(ISBLANK(B23),"",VLOOKUP(B23,SÜRELER!$A:$B,2,FALSE))</f>
        <v>#N/A</v>
      </c>
      <c r="D23" s="80">
        <v>209</v>
      </c>
      <c r="E23" s="92" t="e">
        <f>IF(ISBLANK($B23),"0",VLOOKUP($B23,SÜRELER!$A:$C,3,FALSE))*(D23-F23)</f>
        <v>#N/A</v>
      </c>
      <c r="F23" s="81">
        <v>21</v>
      </c>
      <c r="G23" s="93" t="e">
        <f>VLOOKUP(B23,'R.H.'!A$3:C$3974,3,FALSE)*D23/100</f>
        <v>#N/A</v>
      </c>
      <c r="H23" s="82">
        <f t="shared" si="1"/>
        <v>0.10047846889952153</v>
      </c>
      <c r="I23" s="87" t="e">
        <f>VLOOKUP(B23,'R.H.'!A$3:C$3974,3,FALSE)/100</f>
        <v>#N/A</v>
      </c>
      <c r="J23" s="83">
        <v>0.5</v>
      </c>
      <c r="K23" s="92" t="e">
        <f t="shared" si="2"/>
        <v>#N/A</v>
      </c>
      <c r="L23" s="84">
        <v>345</v>
      </c>
      <c r="M23" s="84"/>
      <c r="N23" s="94" t="e">
        <f t="shared" si="3"/>
        <v>#N/A</v>
      </c>
      <c r="O23" s="88" t="e">
        <f t="shared" si="0"/>
        <v>#N/A</v>
      </c>
      <c r="P23" s="119"/>
      <c r="Q23" s="5"/>
      <c r="R23" s="5"/>
    </row>
    <row r="24" spans="1:18" s="4" customFormat="1" ht="16.75" customHeight="1" x14ac:dyDescent="0.25">
      <c r="A24" s="85">
        <v>20</v>
      </c>
      <c r="B24" s="86">
        <v>2074</v>
      </c>
      <c r="C24" s="91" t="e">
        <f>IF(ISBLANK(B24),"",VLOOKUP(B24,SÜRELER!$A:$B,2,FALSE))</f>
        <v>#N/A</v>
      </c>
      <c r="D24" s="80">
        <v>1606</v>
      </c>
      <c r="E24" s="92" t="e">
        <f>IF(ISBLANK($B24),"0",VLOOKUP($B24,SÜRELER!$A:$C,3,FALSE))*(D24-F24)</f>
        <v>#N/A</v>
      </c>
      <c r="F24" s="81">
        <v>6</v>
      </c>
      <c r="G24" s="93" t="e">
        <f>VLOOKUP(B24,'R.H.'!A$3:C$3974,3,FALSE)*D24/100</f>
        <v>#N/A</v>
      </c>
      <c r="H24" s="82">
        <f t="shared" si="1"/>
        <v>3.7359900373599006E-3</v>
      </c>
      <c r="I24" s="87" t="e">
        <f>VLOOKUP(B24,'R.H.'!A$3:C$3974,3,FALSE)/100</f>
        <v>#N/A</v>
      </c>
      <c r="J24" s="83">
        <v>1</v>
      </c>
      <c r="K24" s="92" t="e">
        <f t="shared" si="2"/>
        <v>#N/A</v>
      </c>
      <c r="L24" s="84">
        <v>690</v>
      </c>
      <c r="M24" s="84"/>
      <c r="N24" s="94" t="e">
        <f t="shared" si="3"/>
        <v>#N/A</v>
      </c>
      <c r="O24" s="88" t="e">
        <f t="shared" si="0"/>
        <v>#N/A</v>
      </c>
      <c r="P24" s="119"/>
      <c r="Q24" s="5"/>
      <c r="R24" s="5"/>
    </row>
    <row r="25" spans="1:18" s="4" customFormat="1" ht="16.75" customHeight="1" x14ac:dyDescent="0.25">
      <c r="A25" s="90">
        <v>21</v>
      </c>
      <c r="B25" s="86">
        <v>283</v>
      </c>
      <c r="C25" s="91" t="e">
        <f>IF(ISBLANK(B25),"",VLOOKUP(B25,SÜRELER!$A:$B,2,FALSE))</f>
        <v>#N/A</v>
      </c>
      <c r="D25" s="80">
        <v>100</v>
      </c>
      <c r="E25" s="92" t="e">
        <f>IF(ISBLANK($B25),"0",VLOOKUP($B25,SÜRELER!$A:$C,3,FALSE))*(D25-F25)</f>
        <v>#N/A</v>
      </c>
      <c r="F25" s="81">
        <v>2</v>
      </c>
      <c r="G25" s="93" t="e">
        <f>VLOOKUP(B25,'R.H.'!A$3:C$3974,3,FALSE)*D25/100</f>
        <v>#N/A</v>
      </c>
      <c r="H25" s="82">
        <f t="shared" si="1"/>
        <v>0.02</v>
      </c>
      <c r="I25" s="87" t="e">
        <f>VLOOKUP(B25,'R.H.'!A$3:C$3974,3,FALSE)/100</f>
        <v>#N/A</v>
      </c>
      <c r="J25" s="83">
        <v>0.5</v>
      </c>
      <c r="K25" s="92" t="e">
        <f t="shared" si="2"/>
        <v>#N/A</v>
      </c>
      <c r="L25" s="84">
        <v>91</v>
      </c>
      <c r="M25" s="84"/>
      <c r="N25" s="94" t="e">
        <f t="shared" si="3"/>
        <v>#N/A</v>
      </c>
      <c r="O25" s="88" t="e">
        <f t="shared" si="0"/>
        <v>#N/A</v>
      </c>
      <c r="P25" s="119"/>
      <c r="Q25" s="5"/>
      <c r="R25" s="5"/>
    </row>
    <row r="26" spans="1:18" s="4" customFormat="1" ht="16.75" customHeight="1" x14ac:dyDescent="0.25">
      <c r="A26" s="85">
        <v>22</v>
      </c>
      <c r="B26" s="86">
        <v>284</v>
      </c>
      <c r="C26" s="91" t="e">
        <f>IF(ISBLANK(B26),"",VLOOKUP(B26,SÜRELER!$A:$B,2,FALSE))</f>
        <v>#N/A</v>
      </c>
      <c r="D26" s="80">
        <v>100</v>
      </c>
      <c r="E26" s="92" t="e">
        <f>IF(ISBLANK($B26),"0",VLOOKUP($B26,SÜRELER!$A:$C,3,FALSE))*(D26-F26)</f>
        <v>#N/A</v>
      </c>
      <c r="F26" s="81">
        <v>2</v>
      </c>
      <c r="G26" s="93" t="e">
        <f>VLOOKUP(B26,'R.H.'!A$3:C$3974,3,FALSE)*D26/100</f>
        <v>#N/A</v>
      </c>
      <c r="H26" s="82">
        <f t="shared" si="1"/>
        <v>0.02</v>
      </c>
      <c r="I26" s="87" t="e">
        <f>VLOOKUP(B26,'R.H.'!A$3:C$3974,3,FALSE)/100</f>
        <v>#N/A</v>
      </c>
      <c r="J26" s="83">
        <v>0.5</v>
      </c>
      <c r="K26" s="92" t="e">
        <f t="shared" si="2"/>
        <v>#N/A</v>
      </c>
      <c r="L26" s="84">
        <v>91</v>
      </c>
      <c r="M26" s="84"/>
      <c r="N26" s="94" t="e">
        <f t="shared" si="3"/>
        <v>#N/A</v>
      </c>
      <c r="O26" s="88" t="e">
        <f t="shared" si="0"/>
        <v>#N/A</v>
      </c>
      <c r="P26" s="119"/>
      <c r="Q26" s="5"/>
      <c r="R26" s="5"/>
    </row>
    <row r="27" spans="1:18" s="4" customFormat="1" ht="16.5" x14ac:dyDescent="0.25">
      <c r="A27" s="90">
        <v>23</v>
      </c>
      <c r="B27" s="86">
        <v>1830</v>
      </c>
      <c r="C27" s="91" t="e">
        <f>IF(ISBLANK(B27),"",VLOOKUP(B27,SÜRELER!$A:$B,2,FALSE))</f>
        <v>#N/A</v>
      </c>
      <c r="D27" s="80">
        <v>2268</v>
      </c>
      <c r="E27" s="92" t="e">
        <f>IF(ISBLANK($B27),"0",VLOOKUP($B27,SÜRELER!$A:$C,3,FALSE))*(D27-F27)</f>
        <v>#N/A</v>
      </c>
      <c r="F27" s="81">
        <v>4</v>
      </c>
      <c r="G27" s="93" t="e">
        <f>VLOOKUP(B27,'R.H.'!A$3:C$3974,3,FALSE)*D27/100</f>
        <v>#N/A</v>
      </c>
      <c r="H27" s="82">
        <f t="shared" si="1"/>
        <v>1.7636684303350969E-3</v>
      </c>
      <c r="I27" s="87" t="e">
        <f>VLOOKUP(B27,'R.H.'!A$3:C$3974,3,FALSE)/100</f>
        <v>#N/A</v>
      </c>
      <c r="J27" s="83">
        <v>1</v>
      </c>
      <c r="K27" s="92" t="e">
        <f t="shared" si="2"/>
        <v>#N/A</v>
      </c>
      <c r="L27" s="84">
        <v>585</v>
      </c>
      <c r="M27" s="84"/>
      <c r="N27" s="94" t="e">
        <f t="shared" si="3"/>
        <v>#N/A</v>
      </c>
      <c r="O27" s="88" t="e">
        <f t="shared" si="0"/>
        <v>#N/A</v>
      </c>
      <c r="P27" s="119"/>
      <c r="Q27" s="5"/>
      <c r="R27" s="5"/>
    </row>
    <row r="28" spans="1:18" s="4" customFormat="1" ht="16.5" customHeight="1" x14ac:dyDescent="0.25">
      <c r="A28" s="85">
        <v>24</v>
      </c>
      <c r="B28" s="86">
        <v>9110</v>
      </c>
      <c r="C28" s="91" t="e">
        <f>IF(ISBLANK(B28),"",VLOOKUP(B28,SÜRELER!$A:$B,2,FALSE))</f>
        <v>#N/A</v>
      </c>
      <c r="D28" s="80">
        <v>600</v>
      </c>
      <c r="E28" s="92" t="e">
        <f>IF(ISBLANK($B28),"0",VLOOKUP($B28,SÜRELER!$A:$C,3,FALSE))*(D28-F28)</f>
        <v>#N/A</v>
      </c>
      <c r="F28" s="81">
        <v>3</v>
      </c>
      <c r="G28" s="93" t="e">
        <f>VLOOKUP(B28,'R.H.'!A$3:C$3974,3,FALSE)*D28/100</f>
        <v>#N/A</v>
      </c>
      <c r="H28" s="82">
        <f t="shared" si="1"/>
        <v>5.0000000000000001E-3</v>
      </c>
      <c r="I28" s="87" t="e">
        <f>VLOOKUP(B28,'R.H.'!A$3:C$3974,3,FALSE)/100</f>
        <v>#N/A</v>
      </c>
      <c r="J28" s="83">
        <v>0.5</v>
      </c>
      <c r="K28" s="92" t="e">
        <f t="shared" si="2"/>
        <v>#N/A</v>
      </c>
      <c r="L28" s="84">
        <v>490</v>
      </c>
      <c r="M28" s="84"/>
      <c r="N28" s="94" t="e">
        <f t="shared" si="3"/>
        <v>#N/A</v>
      </c>
      <c r="O28" s="88" t="e">
        <f t="shared" si="0"/>
        <v>#N/A</v>
      </c>
      <c r="P28" s="119"/>
      <c r="Q28" s="5"/>
      <c r="R28" s="5"/>
    </row>
    <row r="29" spans="1:18" s="4" customFormat="1" ht="16.5" customHeight="1" x14ac:dyDescent="0.25">
      <c r="A29" s="90">
        <v>25</v>
      </c>
      <c r="B29" s="86">
        <v>9120</v>
      </c>
      <c r="C29" s="91" t="e">
        <f>IF(ISBLANK(B29),"",VLOOKUP(B29,SÜRELER!$A:$B,2,FALSE))</f>
        <v>#N/A</v>
      </c>
      <c r="D29" s="80">
        <v>600</v>
      </c>
      <c r="E29" s="92" t="e">
        <f>IF(ISBLANK($B29),"0",VLOOKUP($B29,SÜRELER!$A:$C,3,FALSE))*(D29-F29)</f>
        <v>#N/A</v>
      </c>
      <c r="F29" s="81">
        <v>3</v>
      </c>
      <c r="G29" s="93" t="e">
        <f>VLOOKUP(B29,'R.H.'!A$3:C$3974,3,FALSE)*D29/100</f>
        <v>#N/A</v>
      </c>
      <c r="H29" s="82">
        <f t="shared" si="1"/>
        <v>5.0000000000000001E-3</v>
      </c>
      <c r="I29" s="87" t="e">
        <f>VLOOKUP(B29,'R.H.'!A$3:C$3974,3,FALSE)/100</f>
        <v>#N/A</v>
      </c>
      <c r="J29" s="83">
        <v>0.5</v>
      </c>
      <c r="K29" s="92" t="e">
        <f t="shared" si="2"/>
        <v>#N/A</v>
      </c>
      <c r="L29" s="84">
        <v>490</v>
      </c>
      <c r="M29" s="84"/>
      <c r="N29" s="94" t="e">
        <f t="shared" si="3"/>
        <v>#N/A</v>
      </c>
      <c r="O29" s="88" t="e">
        <f t="shared" si="0"/>
        <v>#N/A</v>
      </c>
      <c r="P29" s="119"/>
      <c r="Q29" s="5"/>
      <c r="R29" s="5"/>
    </row>
    <row r="30" spans="1:18" s="4" customFormat="1" ht="16.5" x14ac:dyDescent="0.25">
      <c r="A30" s="85">
        <v>26</v>
      </c>
      <c r="B30" s="86"/>
      <c r="C30" s="91" t="str">
        <f>IF(ISBLANK(B30),"",VLOOKUP(B30,SÜRELER!$A:$B,2,FALSE))</f>
        <v/>
      </c>
      <c r="D30" s="80"/>
      <c r="E30" s="92">
        <f>IF(ISBLANK($B30),"0",VLOOKUP($B30,SÜRELER!$A:$C,3,FALSE))*(D30-F30)</f>
        <v>0</v>
      </c>
      <c r="F30" s="81"/>
      <c r="G30" s="93" t="e">
        <f>VLOOKUP(B30,'R.H.'!A$3:C$3974,3,FALSE)*D30/100</f>
        <v>#N/A</v>
      </c>
      <c r="H30" s="82" t="e">
        <f t="shared" si="1"/>
        <v>#DIV/0!</v>
      </c>
      <c r="I30" s="87" t="e">
        <f>VLOOKUP(B30,'R.H.'!A$3:C$3974,3,FALSE)/100</f>
        <v>#N/A</v>
      </c>
      <c r="J30" s="83"/>
      <c r="K30" s="92" t="e">
        <f t="shared" si="2"/>
        <v>#DIV/0!</v>
      </c>
      <c r="L30" s="84"/>
      <c r="M30" s="84"/>
      <c r="N30" s="94" t="e">
        <f t="shared" si="3"/>
        <v>#DIV/0!</v>
      </c>
      <c r="O30" s="88" t="e">
        <f t="shared" si="0"/>
        <v>#DIV/0!</v>
      </c>
      <c r="P30" s="119"/>
      <c r="Q30" s="5"/>
      <c r="R30" s="5"/>
    </row>
    <row r="31" spans="1:18" s="4" customFormat="1" ht="16.5" customHeight="1" x14ac:dyDescent="0.25">
      <c r="A31" s="90">
        <v>27</v>
      </c>
      <c r="B31" s="86"/>
      <c r="C31" s="91" t="str">
        <f>IF(ISBLANK(B31),"",VLOOKUP(B31,SÜRELER!$A:$B,2,FALSE))</f>
        <v/>
      </c>
      <c r="D31" s="80"/>
      <c r="E31" s="92">
        <f>IF(ISBLANK($B31),"0",VLOOKUP($B31,SÜRELER!$A:$C,3,FALSE))*(D31-F31)</f>
        <v>0</v>
      </c>
      <c r="F31" s="81"/>
      <c r="G31" s="93" t="e">
        <f>VLOOKUP(B31,'R.H.'!A$3:C$3974,3,FALSE)*D31/100</f>
        <v>#N/A</v>
      </c>
      <c r="H31" s="82" t="e">
        <f t="shared" si="1"/>
        <v>#DIV/0!</v>
      </c>
      <c r="I31" s="87" t="e">
        <f>VLOOKUP(B31,'R.H.'!A$3:C$3974,3,FALSE)/100</f>
        <v>#N/A</v>
      </c>
      <c r="J31" s="83"/>
      <c r="K31" s="92" t="e">
        <f t="shared" si="2"/>
        <v>#DIV/0!</v>
      </c>
      <c r="L31" s="84"/>
      <c r="M31" s="84"/>
      <c r="N31" s="94" t="e">
        <f t="shared" si="3"/>
        <v>#DIV/0!</v>
      </c>
      <c r="O31" s="88" t="e">
        <f t="shared" si="0"/>
        <v>#DIV/0!</v>
      </c>
      <c r="P31" s="119"/>
      <c r="Q31" s="5"/>
      <c r="R31" s="5"/>
    </row>
    <row r="32" spans="1:18" s="4" customFormat="1" ht="16.5" customHeight="1" x14ac:dyDescent="0.25">
      <c r="A32" s="85">
        <v>28</v>
      </c>
      <c r="B32" s="86"/>
      <c r="C32" s="91" t="str">
        <f>IF(ISBLANK(B32),"",VLOOKUP(B32,SÜRELER!$A:$B,2,FALSE))</f>
        <v/>
      </c>
      <c r="D32" s="80"/>
      <c r="E32" s="92">
        <f>IF(ISBLANK($B32),"0",VLOOKUP($B32,SÜRELER!$A:$C,3,FALSE))*(D32-F32)</f>
        <v>0</v>
      </c>
      <c r="F32" s="81"/>
      <c r="G32" s="93" t="e">
        <f>VLOOKUP(B32,'R.H.'!A$3:C$3974,3,FALSE)*D32/100</f>
        <v>#N/A</v>
      </c>
      <c r="H32" s="82" t="e">
        <f t="shared" si="1"/>
        <v>#DIV/0!</v>
      </c>
      <c r="I32" s="87" t="e">
        <f>VLOOKUP(B32,'R.H.'!A$3:C$3974,3,FALSE)/100</f>
        <v>#N/A</v>
      </c>
      <c r="J32" s="83"/>
      <c r="K32" s="92" t="e">
        <f t="shared" si="2"/>
        <v>#DIV/0!</v>
      </c>
      <c r="L32" s="84"/>
      <c r="M32" s="84"/>
      <c r="N32" s="94" t="e">
        <f t="shared" si="3"/>
        <v>#DIV/0!</v>
      </c>
      <c r="O32" s="88" t="e">
        <f t="shared" si="0"/>
        <v>#DIV/0!</v>
      </c>
      <c r="P32" s="119"/>
      <c r="Q32" s="5"/>
      <c r="R32" s="5"/>
    </row>
    <row r="33" spans="1:18" s="4" customFormat="1" ht="16.5" x14ac:dyDescent="0.25">
      <c r="A33" s="90">
        <v>29</v>
      </c>
      <c r="B33" s="86"/>
      <c r="C33" s="91" t="str">
        <f>IF(ISBLANK(B33),"",VLOOKUP(B33,SÜRELER!$A:$B,2,FALSE))</f>
        <v/>
      </c>
      <c r="D33" s="80"/>
      <c r="E33" s="92">
        <f>IF(ISBLANK($B33),"0",VLOOKUP($B33,SÜRELER!$A:$C,3,FALSE))*(D33-F33)</f>
        <v>0</v>
      </c>
      <c r="F33" s="81"/>
      <c r="G33" s="93" t="e">
        <f>VLOOKUP(B33,'R.H.'!A$3:C$3974,3,FALSE)*D33/100</f>
        <v>#N/A</v>
      </c>
      <c r="H33" s="82" t="e">
        <f t="shared" si="1"/>
        <v>#DIV/0!</v>
      </c>
      <c r="I33" s="87" t="e">
        <f>VLOOKUP(B33,'R.H.'!A$3:C$3974,3,FALSE)/100</f>
        <v>#N/A</v>
      </c>
      <c r="J33" s="83"/>
      <c r="K33" s="92" t="e">
        <f t="shared" si="2"/>
        <v>#DIV/0!</v>
      </c>
      <c r="L33" s="84"/>
      <c r="M33" s="84"/>
      <c r="N33" s="94" t="e">
        <f t="shared" si="3"/>
        <v>#DIV/0!</v>
      </c>
      <c r="O33" s="88" t="e">
        <f t="shared" si="0"/>
        <v>#DIV/0!</v>
      </c>
      <c r="P33" s="119"/>
      <c r="Q33" s="5"/>
      <c r="R33" s="5"/>
    </row>
    <row r="34" spans="1:18" s="4" customFormat="1" ht="16.5" customHeight="1" x14ac:dyDescent="0.25">
      <c r="A34" s="85">
        <v>30</v>
      </c>
      <c r="B34" s="86"/>
      <c r="C34" s="91" t="str">
        <f>IF(ISBLANK(B34),"",VLOOKUP(B34,SÜRELER!$A:$B,2,FALSE))</f>
        <v/>
      </c>
      <c r="D34" s="80"/>
      <c r="E34" s="92">
        <f>IF(ISBLANK($B34),"0",VLOOKUP($B34,SÜRELER!$A:$C,3,FALSE))*(D34-F34)</f>
        <v>0</v>
      </c>
      <c r="F34" s="81"/>
      <c r="G34" s="93" t="e">
        <f>VLOOKUP(B34,'R.H.'!A$3:C$3974,3,FALSE)*D34/100</f>
        <v>#N/A</v>
      </c>
      <c r="H34" s="82" t="e">
        <f t="shared" si="1"/>
        <v>#DIV/0!</v>
      </c>
      <c r="I34" s="87" t="e">
        <f>VLOOKUP(B34,'R.H.'!A$3:C$3974,3,FALSE)/100</f>
        <v>#N/A</v>
      </c>
      <c r="J34" s="83"/>
      <c r="K34" s="92" t="e">
        <f t="shared" si="2"/>
        <v>#DIV/0!</v>
      </c>
      <c r="L34" s="84"/>
      <c r="M34" s="84"/>
      <c r="N34" s="94" t="e">
        <f t="shared" si="3"/>
        <v>#DIV/0!</v>
      </c>
      <c r="O34" s="88" t="e">
        <f t="shared" si="0"/>
        <v>#DIV/0!</v>
      </c>
      <c r="P34" s="119"/>
      <c r="Q34" s="5"/>
      <c r="R34" s="5"/>
    </row>
    <row r="35" spans="1:18" s="4" customFormat="1" ht="16.5" customHeight="1" x14ac:dyDescent="0.25">
      <c r="A35" s="90">
        <v>31</v>
      </c>
      <c r="B35" s="86"/>
      <c r="C35" s="91" t="str">
        <f>IF(ISBLANK(B35),"",VLOOKUP(B35,SÜRELER!$A:$B,2,FALSE))</f>
        <v/>
      </c>
      <c r="D35" s="80"/>
      <c r="E35" s="92">
        <f>IF(ISBLANK($B35),"0",VLOOKUP($B35,SÜRELER!$A:$C,3,FALSE))*(D35-F35)</f>
        <v>0</v>
      </c>
      <c r="F35" s="81"/>
      <c r="G35" s="93" t="e">
        <f>VLOOKUP(B35,'R.H.'!A$3:C$3974,3,FALSE)*D35/100</f>
        <v>#N/A</v>
      </c>
      <c r="H35" s="82" t="e">
        <f t="shared" si="1"/>
        <v>#DIV/0!</v>
      </c>
      <c r="I35" s="87" t="e">
        <f>VLOOKUP(B35,'R.H.'!A$3:C$3974,3,FALSE)/100</f>
        <v>#N/A</v>
      </c>
      <c r="J35" s="83"/>
      <c r="K35" s="92" t="e">
        <f t="shared" si="2"/>
        <v>#DIV/0!</v>
      </c>
      <c r="L35" s="84"/>
      <c r="M35" s="84"/>
      <c r="N35" s="94" t="e">
        <f t="shared" si="3"/>
        <v>#DIV/0!</v>
      </c>
      <c r="O35" s="88" t="e">
        <f t="shared" si="0"/>
        <v>#DIV/0!</v>
      </c>
      <c r="P35" s="119"/>
      <c r="Q35" s="5"/>
      <c r="R35" s="5"/>
    </row>
    <row r="36" spans="1:18" s="4" customFormat="1" ht="16.5" x14ac:dyDescent="0.25">
      <c r="A36" s="85">
        <v>32</v>
      </c>
      <c r="B36" s="86"/>
      <c r="C36" s="91" t="str">
        <f>IF(ISBLANK(B36),"",VLOOKUP(B36,SÜRELER!$A:$B,2,FALSE))</f>
        <v/>
      </c>
      <c r="D36" s="80"/>
      <c r="E36" s="92">
        <f>IF(ISBLANK($B36),"0",VLOOKUP($B36,SÜRELER!$A:$C,3,FALSE))*(D36-F36)</f>
        <v>0</v>
      </c>
      <c r="F36" s="81"/>
      <c r="G36" s="93" t="e">
        <f>VLOOKUP(B36,'R.H.'!A$3:C$3974,3,FALSE)*D36/100</f>
        <v>#N/A</v>
      </c>
      <c r="H36" s="82" t="e">
        <f t="shared" si="1"/>
        <v>#DIV/0!</v>
      </c>
      <c r="I36" s="87" t="e">
        <f>VLOOKUP(B36,'R.H.'!A$3:C$3974,3,FALSE)/100</f>
        <v>#N/A</v>
      </c>
      <c r="J36" s="83"/>
      <c r="K36" s="92" t="e">
        <f t="shared" si="2"/>
        <v>#DIV/0!</v>
      </c>
      <c r="L36" s="84"/>
      <c r="M36" s="84"/>
      <c r="N36" s="94" t="e">
        <f t="shared" si="3"/>
        <v>#DIV/0!</v>
      </c>
      <c r="O36" s="88" t="e">
        <f t="shared" si="0"/>
        <v>#DIV/0!</v>
      </c>
      <c r="P36" s="119"/>
      <c r="Q36" s="5"/>
      <c r="R36" s="5"/>
    </row>
    <row r="37" spans="1:18" s="4" customFormat="1" ht="16.5" customHeight="1" x14ac:dyDescent="0.25">
      <c r="A37" s="90">
        <v>33</v>
      </c>
      <c r="B37" s="86"/>
      <c r="C37" s="91" t="str">
        <f>IF(ISBLANK(B37),"",VLOOKUP(B37,SÜRELER!$A:$B,2,FALSE))</f>
        <v/>
      </c>
      <c r="D37" s="80"/>
      <c r="E37" s="92">
        <f>IF(ISBLANK($B37),"0",VLOOKUP($B37,SÜRELER!$A:$C,3,FALSE))*(D37-F37)</f>
        <v>0</v>
      </c>
      <c r="F37" s="81"/>
      <c r="G37" s="93" t="e">
        <f>VLOOKUP(B37,'R.H.'!A$3:C$3974,3,FALSE)*D37/100</f>
        <v>#N/A</v>
      </c>
      <c r="H37" s="82" t="e">
        <f t="shared" si="1"/>
        <v>#DIV/0!</v>
      </c>
      <c r="I37" s="87" t="e">
        <f>VLOOKUP(B37,'R.H.'!A$3:C$3974,3,FALSE)/100</f>
        <v>#N/A</v>
      </c>
      <c r="J37" s="83"/>
      <c r="K37" s="92" t="e">
        <f t="shared" si="2"/>
        <v>#DIV/0!</v>
      </c>
      <c r="L37" s="84"/>
      <c r="M37" s="84"/>
      <c r="N37" s="94" t="e">
        <f t="shared" si="3"/>
        <v>#DIV/0!</v>
      </c>
      <c r="O37" s="88" t="e">
        <f t="shared" si="0"/>
        <v>#DIV/0!</v>
      </c>
      <c r="P37" s="119"/>
      <c r="Q37" s="5"/>
      <c r="R37" s="5"/>
    </row>
    <row r="38" spans="1:18" s="4" customFormat="1" ht="16.5" customHeight="1" x14ac:dyDescent="0.25">
      <c r="A38" s="85">
        <v>34</v>
      </c>
      <c r="B38" s="86"/>
      <c r="C38" s="91" t="str">
        <f>IF(ISBLANK(B38),"",VLOOKUP(B38,SÜRELER!$A:$B,2,FALSE))</f>
        <v/>
      </c>
      <c r="D38" s="80"/>
      <c r="E38" s="92">
        <f>IF(ISBLANK($B38),"0",VLOOKUP($B38,SÜRELER!$A:$C,3,FALSE))*(D38-F38)</f>
        <v>0</v>
      </c>
      <c r="F38" s="81"/>
      <c r="G38" s="93" t="e">
        <f>VLOOKUP(B38,'R.H.'!A$3:C$3974,3,FALSE)*D38/100</f>
        <v>#N/A</v>
      </c>
      <c r="H38" s="82" t="e">
        <f t="shared" si="1"/>
        <v>#DIV/0!</v>
      </c>
      <c r="I38" s="87" t="e">
        <f>VLOOKUP(B38,'R.H.'!A$3:C$3974,3,FALSE)/100</f>
        <v>#N/A</v>
      </c>
      <c r="J38" s="83"/>
      <c r="K38" s="92" t="e">
        <f t="shared" si="2"/>
        <v>#DIV/0!</v>
      </c>
      <c r="L38" s="84"/>
      <c r="M38" s="84"/>
      <c r="N38" s="94" t="e">
        <f t="shared" si="3"/>
        <v>#DIV/0!</v>
      </c>
      <c r="O38" s="88" t="e">
        <f t="shared" si="0"/>
        <v>#DIV/0!</v>
      </c>
      <c r="P38" s="119"/>
      <c r="Q38" s="5"/>
      <c r="R38" s="5"/>
    </row>
    <row r="39" spans="1:18" s="4" customFormat="1" ht="16.5" x14ac:dyDescent="0.25">
      <c r="A39" s="90">
        <v>35</v>
      </c>
      <c r="B39" s="86"/>
      <c r="C39" s="91" t="str">
        <f>IF(ISBLANK(B39),"",VLOOKUP(B39,SÜRELER!$A:$B,2,FALSE))</f>
        <v/>
      </c>
      <c r="D39" s="80"/>
      <c r="E39" s="92">
        <f>IF(ISBLANK($B39),"0",VLOOKUP($B39,SÜRELER!$A:$C,3,FALSE))*(D39-F39)</f>
        <v>0</v>
      </c>
      <c r="F39" s="81"/>
      <c r="G39" s="93" t="e">
        <f>VLOOKUP(B39,'R.H.'!A$3:C$3974,3,FALSE)*D39/100</f>
        <v>#N/A</v>
      </c>
      <c r="H39" s="82" t="e">
        <f t="shared" si="1"/>
        <v>#DIV/0!</v>
      </c>
      <c r="I39" s="87" t="e">
        <f>VLOOKUP(B39,'R.H.'!A$3:C$3974,3,FALSE)/100</f>
        <v>#N/A</v>
      </c>
      <c r="J39" s="83"/>
      <c r="K39" s="92" t="e">
        <f t="shared" si="2"/>
        <v>#DIV/0!</v>
      </c>
      <c r="L39" s="84"/>
      <c r="M39" s="84"/>
      <c r="N39" s="94" t="e">
        <f t="shared" si="3"/>
        <v>#DIV/0!</v>
      </c>
      <c r="O39" s="88" t="e">
        <f t="shared" si="0"/>
        <v>#DIV/0!</v>
      </c>
      <c r="P39" s="119"/>
      <c r="Q39" s="5"/>
      <c r="R39" s="5"/>
    </row>
    <row r="40" spans="1:18" s="4" customFormat="1" ht="16.5" customHeight="1" x14ac:dyDescent="0.25">
      <c r="A40" s="85">
        <v>36</v>
      </c>
      <c r="B40" s="86"/>
      <c r="C40" s="91" t="str">
        <f>IF(ISBLANK(B40),"",VLOOKUP(B40,SÜRELER!$A:$B,2,FALSE))</f>
        <v/>
      </c>
      <c r="D40" s="80"/>
      <c r="E40" s="92">
        <f>IF(ISBLANK($B40),"0",VLOOKUP($B40,SÜRELER!$A:$C,3,FALSE))*(D40-F40)</f>
        <v>0</v>
      </c>
      <c r="F40" s="81"/>
      <c r="G40" s="93" t="e">
        <f>VLOOKUP(B40,'R.H.'!A$3:C$3974,3,FALSE)*D40/100</f>
        <v>#N/A</v>
      </c>
      <c r="H40" s="82" t="e">
        <f t="shared" si="1"/>
        <v>#DIV/0!</v>
      </c>
      <c r="I40" s="87" t="e">
        <f>VLOOKUP(B40,'R.H.'!A$3:C$3974,3,FALSE)/100</f>
        <v>#N/A</v>
      </c>
      <c r="J40" s="83"/>
      <c r="K40" s="92" t="e">
        <f t="shared" si="2"/>
        <v>#DIV/0!</v>
      </c>
      <c r="L40" s="84"/>
      <c r="M40" s="84"/>
      <c r="N40" s="94" t="e">
        <f t="shared" si="3"/>
        <v>#DIV/0!</v>
      </c>
      <c r="O40" s="88" t="e">
        <f t="shared" si="0"/>
        <v>#DIV/0!</v>
      </c>
      <c r="P40" s="119"/>
      <c r="Q40" s="5"/>
      <c r="R40" s="5"/>
    </row>
    <row r="41" spans="1:18" s="4" customFormat="1" ht="16.5" customHeight="1" x14ac:dyDescent="0.25">
      <c r="A41" s="90">
        <v>37</v>
      </c>
      <c r="B41" s="86"/>
      <c r="C41" s="91" t="str">
        <f>IF(ISBLANK(B41),"",VLOOKUP(B41,SÜRELER!$A:$B,2,FALSE))</f>
        <v/>
      </c>
      <c r="D41" s="80"/>
      <c r="E41" s="92">
        <f>IF(ISBLANK($B41),"0",VLOOKUP($B41,SÜRELER!$A:$C,3,FALSE))*(D41-F41)</f>
        <v>0</v>
      </c>
      <c r="F41" s="81"/>
      <c r="G41" s="93" t="e">
        <f>VLOOKUP(B41,'R.H.'!A$3:C$3974,3,FALSE)*D41/100</f>
        <v>#N/A</v>
      </c>
      <c r="H41" s="82" t="e">
        <f t="shared" si="1"/>
        <v>#DIV/0!</v>
      </c>
      <c r="I41" s="87" t="e">
        <f>VLOOKUP(B41,'R.H.'!A$3:C$3974,3,FALSE)/100</f>
        <v>#N/A</v>
      </c>
      <c r="J41" s="83"/>
      <c r="K41" s="92" t="e">
        <f t="shared" si="2"/>
        <v>#DIV/0!</v>
      </c>
      <c r="L41" s="84"/>
      <c r="M41" s="84"/>
      <c r="N41" s="94" t="e">
        <f t="shared" si="3"/>
        <v>#DIV/0!</v>
      </c>
      <c r="O41" s="88" t="e">
        <f>K41/(L41-M41)</f>
        <v>#DIV/0!</v>
      </c>
      <c r="P41" s="119"/>
      <c r="Q41" s="5"/>
      <c r="R41" s="5"/>
    </row>
    <row r="42" spans="1:18" s="4" customFormat="1" ht="16.5" x14ac:dyDescent="0.25">
      <c r="A42" s="85">
        <v>38</v>
      </c>
      <c r="B42" s="86"/>
      <c r="C42" s="91" t="str">
        <f>IF(ISBLANK(B42),"",VLOOKUP(B42,SÜRELER!$A:$B,2,FALSE))</f>
        <v/>
      </c>
      <c r="D42" s="80"/>
      <c r="E42" s="92">
        <f>IF(ISBLANK($B42),"0",VLOOKUP($B42,SÜRELER!$A:$C,3,FALSE))*(D42-F42)</f>
        <v>0</v>
      </c>
      <c r="F42" s="81"/>
      <c r="G42" s="93" t="e">
        <f>VLOOKUP(B42,'R.H.'!A$3:C$3974,3,FALSE)*D42/100</f>
        <v>#N/A</v>
      </c>
      <c r="H42" s="82" t="e">
        <f t="shared" si="1"/>
        <v>#DIV/0!</v>
      </c>
      <c r="I42" s="87" t="e">
        <f>VLOOKUP(B42,'R.H.'!A$3:C$3974,3,FALSE)/100</f>
        <v>#N/A</v>
      </c>
      <c r="J42" s="83"/>
      <c r="K42" s="92" t="e">
        <f t="shared" si="2"/>
        <v>#DIV/0!</v>
      </c>
      <c r="L42" s="84"/>
      <c r="M42" s="84"/>
      <c r="N42" s="94" t="e">
        <f t="shared" si="3"/>
        <v>#DIV/0!</v>
      </c>
      <c r="O42" s="88" t="e">
        <f t="shared" si="0"/>
        <v>#DIV/0!</v>
      </c>
      <c r="P42" s="119"/>
      <c r="Q42" s="5"/>
      <c r="R42" s="5"/>
    </row>
    <row r="43" spans="1:18" s="4" customFormat="1" ht="16.5" customHeight="1" x14ac:dyDescent="0.25">
      <c r="A43" s="90">
        <v>39</v>
      </c>
      <c r="B43" s="86"/>
      <c r="C43" s="91" t="str">
        <f>IF(ISBLANK(B43),"",VLOOKUP(B43,SÜRELER!$A:$B,2,FALSE))</f>
        <v/>
      </c>
      <c r="D43" s="80"/>
      <c r="E43" s="92">
        <f>IF(ISBLANK($B43),"0",VLOOKUP($B43,SÜRELER!$A:$C,3,FALSE))*(D43-F43)</f>
        <v>0</v>
      </c>
      <c r="F43" s="81"/>
      <c r="G43" s="93" t="e">
        <f>VLOOKUP(B43,'R.H.'!A$3:C$3974,3,FALSE)*D43/100</f>
        <v>#N/A</v>
      </c>
      <c r="H43" s="82" t="e">
        <f t="shared" si="1"/>
        <v>#DIV/0!</v>
      </c>
      <c r="I43" s="87" t="e">
        <f>VLOOKUP(B43,'R.H.'!A$3:C$3974,3,FALSE)/100</f>
        <v>#N/A</v>
      </c>
      <c r="J43" s="83"/>
      <c r="K43" s="92" t="e">
        <f t="shared" si="2"/>
        <v>#DIV/0!</v>
      </c>
      <c r="L43" s="84"/>
      <c r="M43" s="84"/>
      <c r="N43" s="94" t="e">
        <f t="shared" si="3"/>
        <v>#DIV/0!</v>
      </c>
      <c r="O43" s="88" t="e">
        <f t="shared" si="0"/>
        <v>#DIV/0!</v>
      </c>
      <c r="P43" s="119"/>
      <c r="Q43" s="5"/>
      <c r="R43" s="5"/>
    </row>
    <row r="44" spans="1:18" s="4" customFormat="1" ht="16.5" customHeight="1" x14ac:dyDescent="0.25">
      <c r="A44" s="85">
        <v>40</v>
      </c>
      <c r="B44" s="86"/>
      <c r="C44" s="91" t="str">
        <f>IF(ISBLANK(B44),"",VLOOKUP(B44,SÜRELER!$A:$B,2,FALSE))</f>
        <v/>
      </c>
      <c r="D44" s="80"/>
      <c r="E44" s="92">
        <f>IF(ISBLANK($B44),"0",VLOOKUP($B44,SÜRELER!$A:$C,3,FALSE))*(D44-F44)</f>
        <v>0</v>
      </c>
      <c r="F44" s="81"/>
      <c r="G44" s="93" t="e">
        <f>VLOOKUP(B44,'R.H.'!A$3:C$3974,3,FALSE)*D44/100</f>
        <v>#N/A</v>
      </c>
      <c r="H44" s="82" t="e">
        <f t="shared" si="1"/>
        <v>#DIV/0!</v>
      </c>
      <c r="I44" s="87" t="e">
        <f>VLOOKUP(B44,'R.H.'!A$3:C$3974,3,FALSE)/100</f>
        <v>#N/A</v>
      </c>
      <c r="J44" s="83"/>
      <c r="K44" s="92" t="e">
        <f t="shared" si="2"/>
        <v>#DIV/0!</v>
      </c>
      <c r="L44" s="84"/>
      <c r="M44" s="84"/>
      <c r="N44" s="94" t="e">
        <f t="shared" si="3"/>
        <v>#DIV/0!</v>
      </c>
      <c r="O44" s="88" t="e">
        <f t="shared" si="0"/>
        <v>#DIV/0!</v>
      </c>
      <c r="P44" s="119"/>
      <c r="Q44" s="5"/>
      <c r="R44" s="5"/>
    </row>
    <row r="45" spans="1:18" s="4" customFormat="1" ht="18.75" customHeight="1" x14ac:dyDescent="0.25">
      <c r="A45" s="26"/>
      <c r="B45" s="26"/>
      <c r="C45" s="26"/>
      <c r="D45" s="26">
        <f>SUM(D5:D44)</f>
        <v>19032</v>
      </c>
      <c r="E45" s="26" t="e">
        <f>SUM(E5:E44)</f>
        <v>#N/A</v>
      </c>
      <c r="F45" s="26">
        <f>SUM(F5:F44)</f>
        <v>147</v>
      </c>
      <c r="G45" s="26"/>
      <c r="H45" s="26"/>
      <c r="I45" s="26"/>
      <c r="J45" s="26"/>
      <c r="K45" s="26"/>
      <c r="L45" s="26">
        <f>SUM(L5:L44)</f>
        <v>15121</v>
      </c>
      <c r="M45" s="26">
        <f>SUM(M5:M44)</f>
        <v>0</v>
      </c>
      <c r="N45" s="26"/>
      <c r="O45" s="26"/>
      <c r="P45" s="26"/>
      <c r="Q45" s="5"/>
      <c r="R45" s="5"/>
    </row>
    <row r="46" spans="1:18" ht="15" customHeight="1" x14ac:dyDescent="0.35">
      <c r="D46" s="180" t="s">
        <v>386</v>
      </c>
      <c r="E46" s="181">
        <f>F45/D45*100</f>
        <v>0.77238335435056749</v>
      </c>
      <c r="F46" s="182"/>
    </row>
    <row r="47" spans="1:18" ht="15" customHeight="1" x14ac:dyDescent="0.35">
      <c r="D47" s="180"/>
      <c r="E47" s="183"/>
      <c r="F47" s="184"/>
    </row>
    <row r="48" spans="1:18" customFormat="1" ht="15" customHeight="1" x14ac:dyDescent="0.25"/>
    <row r="49" spans="1:15" customFormat="1" ht="15" customHeight="1" x14ac:dyDescent="0.25">
      <c r="C49" s="18" t="s">
        <v>7</v>
      </c>
      <c r="D49" s="120">
        <v>17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9"/>
    </row>
    <row r="50" spans="1:15" ht="14.15" customHeight="1" x14ac:dyDescent="0.2">
      <c r="A50" s="3"/>
      <c r="B50" s="3"/>
      <c r="C50" s="18" t="s">
        <v>3353</v>
      </c>
      <c r="D50" s="105"/>
      <c r="E50" s="167"/>
      <c r="F50" s="168"/>
      <c r="G50" s="168"/>
      <c r="H50" s="168"/>
      <c r="I50" s="168"/>
      <c r="J50" s="168"/>
      <c r="K50" s="168"/>
      <c r="L50" s="168"/>
      <c r="M50" s="168"/>
      <c r="N50" s="169"/>
      <c r="O50" s="47"/>
    </row>
    <row r="51" spans="1:15" ht="14.15" customHeight="1" x14ac:dyDescent="0.2">
      <c r="A51" s="3"/>
      <c r="B51" s="3"/>
      <c r="C51" s="18" t="s">
        <v>11</v>
      </c>
      <c r="D51" s="121">
        <f>(IF(A2="Cuma",D49*470,D49*520))+(D50*430)</f>
        <v>7990</v>
      </c>
      <c r="E51" s="167"/>
      <c r="F51" s="168"/>
      <c r="G51" s="168"/>
      <c r="H51" s="168"/>
      <c r="I51" s="168"/>
      <c r="J51" s="168"/>
      <c r="K51" s="168"/>
      <c r="L51" s="168"/>
      <c r="M51" s="168"/>
      <c r="N51" s="169"/>
      <c r="O51" s="47"/>
    </row>
    <row r="52" spans="1:15" ht="36" customHeight="1" x14ac:dyDescent="0.2">
      <c r="A52" s="3"/>
      <c r="B52" s="3"/>
      <c r="C52" s="18" t="s">
        <v>208</v>
      </c>
      <c r="D52" s="13"/>
      <c r="E52" s="96"/>
      <c r="F52" s="97"/>
      <c r="G52" s="97"/>
      <c r="H52" s="97"/>
      <c r="I52" s="97"/>
      <c r="J52" s="97"/>
      <c r="K52" s="97"/>
      <c r="L52" s="97"/>
      <c r="M52" s="97"/>
      <c r="N52" s="98"/>
      <c r="O52" s="48"/>
    </row>
    <row r="53" spans="1:15" ht="48" customHeight="1" x14ac:dyDescent="0.2">
      <c r="A53" s="3"/>
      <c r="B53" s="3"/>
      <c r="C53" s="18" t="s">
        <v>209</v>
      </c>
      <c r="D53" s="61"/>
      <c r="E53" s="170"/>
      <c r="F53" s="171"/>
      <c r="G53" s="171"/>
      <c r="H53" s="171"/>
      <c r="I53" s="171"/>
      <c r="J53" s="171"/>
      <c r="K53" s="171"/>
      <c r="L53" s="171"/>
      <c r="M53" s="171"/>
      <c r="N53" s="172"/>
      <c r="O53" s="48"/>
    </row>
    <row r="54" spans="1:15" ht="14.15" customHeight="1" x14ac:dyDescent="0.2">
      <c r="A54" s="3"/>
      <c r="B54" s="3"/>
      <c r="C54" s="18" t="s">
        <v>15</v>
      </c>
      <c r="D54" s="13"/>
      <c r="E54" s="170"/>
      <c r="F54" s="171"/>
      <c r="G54" s="171"/>
      <c r="H54" s="171"/>
      <c r="I54" s="171"/>
      <c r="J54" s="171"/>
      <c r="K54" s="171"/>
      <c r="L54" s="171"/>
      <c r="M54" s="171"/>
      <c r="N54" s="172"/>
      <c r="O54" s="47"/>
    </row>
    <row r="55" spans="1:15" ht="14.15" customHeight="1" x14ac:dyDescent="0.2">
      <c r="A55" s="3"/>
      <c r="B55" s="3"/>
      <c r="C55" s="18" t="s">
        <v>8</v>
      </c>
      <c r="D55" s="13"/>
      <c r="E55" s="167"/>
      <c r="F55" s="168"/>
      <c r="G55" s="168"/>
      <c r="H55" s="168"/>
      <c r="I55" s="168"/>
      <c r="J55" s="168"/>
      <c r="K55" s="168"/>
      <c r="L55" s="168"/>
      <c r="M55" s="168"/>
      <c r="N55" s="169"/>
      <c r="O55" s="47"/>
    </row>
    <row r="56" spans="1:15" ht="14.15" customHeight="1" x14ac:dyDescent="0.2">
      <c r="A56" s="3"/>
      <c r="B56" s="3"/>
      <c r="C56" s="18" t="s">
        <v>10</v>
      </c>
      <c r="D56" s="13"/>
      <c r="E56" s="167"/>
      <c r="F56" s="168"/>
      <c r="G56" s="168"/>
      <c r="H56" s="168"/>
      <c r="I56" s="168"/>
      <c r="J56" s="168"/>
      <c r="K56" s="168"/>
      <c r="L56" s="168"/>
      <c r="M56" s="168"/>
      <c r="N56" s="169"/>
      <c r="O56" s="47"/>
    </row>
    <row r="57" spans="1:15" ht="14.15" customHeight="1" x14ac:dyDescent="0.2">
      <c r="A57" s="3"/>
      <c r="B57" s="3"/>
      <c r="C57" s="19" t="s">
        <v>9</v>
      </c>
      <c r="D57" s="13"/>
      <c r="E57" s="167"/>
      <c r="F57" s="168"/>
      <c r="G57" s="168"/>
      <c r="H57" s="168"/>
      <c r="I57" s="168"/>
      <c r="J57" s="168"/>
      <c r="K57" s="168"/>
      <c r="L57" s="168"/>
      <c r="M57" s="168"/>
      <c r="N57" s="169"/>
      <c r="O57" s="47"/>
    </row>
    <row r="58" spans="1:15" ht="14.15" customHeight="1" x14ac:dyDescent="0.35">
      <c r="A58" s="3"/>
      <c r="B58" s="3"/>
      <c r="C58" s="18" t="s">
        <v>12</v>
      </c>
      <c r="D58" s="9">
        <f>D51-SUM(D52:E57)</f>
        <v>7990</v>
      </c>
      <c r="E58" s="11"/>
      <c r="F58" s="12"/>
      <c r="G58" s="12"/>
      <c r="H58" s="14"/>
      <c r="I58" s="12"/>
      <c r="J58" s="65"/>
      <c r="K58" s="12"/>
      <c r="L58" s="12"/>
      <c r="M58" s="12"/>
      <c r="N58" s="12"/>
      <c r="O58" s="49"/>
    </row>
    <row r="59" spans="1:15" x14ac:dyDescent="0.35">
      <c r="C59" s="20" t="s">
        <v>387</v>
      </c>
      <c r="D59" s="10">
        <f>SUM(D52:D56)</f>
        <v>0</v>
      </c>
    </row>
    <row r="62" spans="1:15" ht="31.5" customHeight="1" x14ac:dyDescent="0.2">
      <c r="A62" s="2"/>
      <c r="D62" s="122" t="s">
        <v>381</v>
      </c>
      <c r="E62" s="122" t="s">
        <v>382</v>
      </c>
      <c r="F62" s="122" t="s">
        <v>383</v>
      </c>
      <c r="G62" s="122" t="s">
        <v>384</v>
      </c>
      <c r="H62" s="122" t="s">
        <v>385</v>
      </c>
      <c r="I62" s="122" t="s">
        <v>386</v>
      </c>
    </row>
    <row r="63" spans="1:15" ht="20.25" customHeight="1" x14ac:dyDescent="0.2">
      <c r="A63" s="2"/>
      <c r="D63" s="16" t="e">
        <f>E63/I63</f>
        <v>#N/A</v>
      </c>
      <c r="E63" s="21">
        <f>D45</f>
        <v>19032</v>
      </c>
      <c r="F63" s="24">
        <f>F45</f>
        <v>147</v>
      </c>
      <c r="G63" s="23">
        <f>(F63*1000000)/E63</f>
        <v>7723.8335435056742</v>
      </c>
      <c r="H63" s="22">
        <f>D59</f>
        <v>0</v>
      </c>
      <c r="I63" s="17" t="e">
        <f>N1</f>
        <v>#N/A</v>
      </c>
    </row>
  </sheetData>
  <mergeCells count="15">
    <mergeCell ref="N1:N3"/>
    <mergeCell ref="A2:B3"/>
    <mergeCell ref="E56:N56"/>
    <mergeCell ref="E57:N57"/>
    <mergeCell ref="E49:N49"/>
    <mergeCell ref="E50:N50"/>
    <mergeCell ref="E51:N51"/>
    <mergeCell ref="E53:N53"/>
    <mergeCell ref="E54:N54"/>
    <mergeCell ref="E55:N55"/>
    <mergeCell ref="D46:D47"/>
    <mergeCell ref="E46:F47"/>
    <mergeCell ref="A1:B1"/>
    <mergeCell ref="C1:D2"/>
    <mergeCell ref="H1:H3"/>
  </mergeCells>
  <conditionalFormatting sqref="D3">
    <cfRule type="cellIs" dxfId="4" priority="5" stopIfTrue="1" operator="lessThan">
      <formula>0.95</formula>
    </cfRule>
  </conditionalFormatting>
  <conditionalFormatting sqref="F5:F44">
    <cfRule type="cellIs" dxfId="3" priority="1" stopIfTrue="1" operator="greaterThan">
      <formula>$G5</formula>
    </cfRule>
  </conditionalFormatting>
  <conditionalFormatting sqref="H5:H44">
    <cfRule type="cellIs" dxfId="2" priority="2" stopIfTrue="1" operator="greaterThan">
      <formula>$I$5</formula>
    </cfRule>
  </conditionalFormatting>
  <conditionalFormatting sqref="N1:N3">
    <cfRule type="cellIs" dxfId="1" priority="4" stopIfTrue="1" operator="lessThan">
      <formula>0.8</formula>
    </cfRule>
  </conditionalFormatting>
  <conditionalFormatting sqref="N5:O44">
    <cfRule type="cellIs" dxfId="0" priority="3" stopIfTrue="1" operator="lessThan">
      <formula>0.85</formula>
    </cfRule>
  </conditionalFormatting>
  <hyperlinks>
    <hyperlink ref="P1:P3" location="'Ana Sayfa'!A1" display="ANA SAYFA" xr:uid="{532ADF5F-8637-45B0-8F91-A4F6B6865959}"/>
  </hyperlinks>
  <printOptions horizontalCentered="1"/>
  <pageMargins left="0.59055118110236227" right="0.39370078740157483" top="0.39370078740157483" bottom="0.31496062992125984" header="0" footer="0"/>
  <pageSetup paperSize="9" scale="89" firstPageNumber="0" orientation="landscape" horizontalDpi="300" verticalDpi="300" r:id="rId1"/>
  <headerFooter scaleWithDoc="0" alignWithMargins="0">
    <oddHeader xml:space="preserve">&amp;R </oddHeader>
    <oddFooter>&amp;L&amp;"Tahoma,Regular"
&amp;8&amp;K58A121Sınıflandırma / Classification: &amp;"Tahoma,Bold"Halka Açık / Public&amp;"Microsoft Sans Serif,Regular"&amp;8&amp;K000000
 &amp;C&amp;8Rev.No: 01/16.11.07&amp;R&amp;8ÜP-FR-002/1&amp;L&amp;"Tahoma,Regular"
&amp;8&amp;K58A121Sınıflandırma / Classification: &amp;"Tahoma,Bold"Hal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XMLData TextToDisplay="%CLASSIFICATIONDATETIME%">04:36 12/08/2021</XMLData>
</file>

<file path=customXml/item2.xml><?xml version="1.0" encoding="utf-8"?>
<XMLData TextToDisplay="%DOCUMENTGUID%">{00000000-0000-0000-0000-000000000000}</XMLData>
</file>

<file path=customXml/item3.xml><?xml version="1.0" encoding="utf-8"?>
<XMLData TextToDisplay="RightsWATCHMark">3|AYGERSAN-AYGERSAN-Gizli / Confidental|{00000000-0000-0000-0000-000000000000}</XMLData>
</file>

<file path=customXml/itemProps1.xml><?xml version="1.0" encoding="utf-8"?>
<ds:datastoreItem xmlns:ds="http://schemas.openxmlformats.org/officeDocument/2006/customXml" ds:itemID="{C343C368-72F8-47E4-A3DE-870CA41B3778}">
  <ds:schemaRefs/>
</ds:datastoreItem>
</file>

<file path=customXml/itemProps2.xml><?xml version="1.0" encoding="utf-8"?>
<ds:datastoreItem xmlns:ds="http://schemas.openxmlformats.org/officeDocument/2006/customXml" ds:itemID="{444B7E79-2F62-4EFB-ACCD-8D096454E3BB}">
  <ds:schemaRefs/>
</ds:datastoreItem>
</file>

<file path=customXml/itemProps3.xml><?xml version="1.0" encoding="utf-8"?>
<ds:datastoreItem xmlns:ds="http://schemas.openxmlformats.org/officeDocument/2006/customXml" ds:itemID="{D25BC175-D10B-4F56-AF7A-7FDD196D178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35</vt:i4>
      </vt:variant>
      <vt:variant>
        <vt:lpstr>Adlandırılmış Aralıklar</vt:lpstr>
      </vt:variant>
      <vt:variant>
        <vt:i4>32</vt:i4>
      </vt:variant>
    </vt:vector>
  </HeadingPairs>
  <TitlesOfParts>
    <vt:vector size="67" baseType="lpstr">
      <vt:lpstr>R.H.</vt:lpstr>
      <vt:lpstr>SÜRELER</vt:lpstr>
      <vt:lpstr>ASAKAİ</vt:lpstr>
      <vt:lpstr>Sayfa2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Kodlar</vt:lpstr>
      <vt:lpstr>'1'!Yazdırma_Alanı</vt:lpstr>
      <vt:lpstr>'10'!Yazdırma_Alanı</vt:lpstr>
      <vt:lpstr>'11'!Yazdırma_Alanı</vt:lpstr>
      <vt:lpstr>'12'!Yazdırma_Alanı</vt:lpstr>
      <vt:lpstr>'13'!Yazdırma_Alanı</vt:lpstr>
      <vt:lpstr>'14'!Yazdırma_Alanı</vt:lpstr>
      <vt:lpstr>'15'!Yazdırma_Alanı</vt:lpstr>
      <vt:lpstr>'16'!Yazdırma_Alanı</vt:lpstr>
      <vt:lpstr>'17'!Yazdırma_Alanı</vt:lpstr>
      <vt:lpstr>'18'!Yazdırma_Alanı</vt:lpstr>
      <vt:lpstr>'19'!Yazdırma_Alanı</vt:lpstr>
      <vt:lpstr>'2'!Yazdırma_Alanı</vt:lpstr>
      <vt:lpstr>'20'!Yazdırma_Alanı</vt:lpstr>
      <vt:lpstr>'21'!Yazdırma_Alanı</vt:lpstr>
      <vt:lpstr>'22'!Yazdırma_Alanı</vt:lpstr>
      <vt:lpstr>'23'!Yazdırma_Alanı</vt:lpstr>
      <vt:lpstr>'24'!Yazdırma_Alanı</vt:lpstr>
      <vt:lpstr>'25'!Yazdırma_Alanı</vt:lpstr>
      <vt:lpstr>'26'!Yazdırma_Alanı</vt:lpstr>
      <vt:lpstr>'27'!Yazdırma_Alanı</vt:lpstr>
      <vt:lpstr>'28'!Yazdırma_Alanı</vt:lpstr>
      <vt:lpstr>'29'!Yazdırma_Alanı</vt:lpstr>
      <vt:lpstr>'3'!Yazdırma_Alanı</vt:lpstr>
      <vt:lpstr>'30'!Yazdırma_Alanı</vt:lpstr>
      <vt:lpstr>'31'!Yazdırma_Alanı</vt:lpstr>
      <vt:lpstr>'4'!Yazdırma_Alanı</vt:lpstr>
      <vt:lpstr>'5'!Yazdırma_Alanı</vt:lpstr>
      <vt:lpstr>'6'!Yazdırma_Alanı</vt:lpstr>
      <vt:lpstr>'7'!Yazdırma_Alanı</vt:lpstr>
      <vt:lpstr>'8'!Yazdırma_Alanı</vt:lpstr>
      <vt:lpstr>'9'!Yazdırma_Alanı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Haftalık program</dc:title>
  <dc:creator>Sadık</dc:creator>
  <cp:keywords>Halka Açık</cp:keywords>
  <cp:lastModifiedBy>Office</cp:lastModifiedBy>
  <cp:revision>1</cp:revision>
  <cp:lastPrinted>2023-08-21T02:27:36Z</cp:lastPrinted>
  <dcterms:created xsi:type="dcterms:W3CDTF">2004-01-08T12:08:09Z</dcterms:created>
  <dcterms:modified xsi:type="dcterms:W3CDTF">2026-07-18T20:54:49Z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3|AYGERSAN-AYGERSAN-Gizli / Confidental|{00000000-0000-0000-0000-000000000000}</vt:lpwstr>
  </property>
  <property fmtid="{D5CDD505-2E9C-101B-9397-08002B2CF9AE}" pid="3" name="TitusGUID">
    <vt:lpwstr>2531f95f-f60f-46a7-80d2-be46ffc0ae2b</vt:lpwstr>
  </property>
  <property fmtid="{D5CDD505-2E9C-101B-9397-08002B2CF9AE}" pid="4" name="Classification">
    <vt:lpwstr>G-4z7apxkwfb</vt:lpwstr>
  </property>
  <property fmtid="{D5CDD505-2E9C-101B-9397-08002B2CF9AE}" pid="5" name="VisualMarking">
    <vt:lpwstr>ApplyTag</vt:lpwstr>
  </property>
  <property fmtid="{D5CDD505-2E9C-101B-9397-08002B2CF9AE}" pid="6" name="MSIP_Label_29086d6f-0f0e-4957-8f1a-6a04946f3fb8_Enabled">
    <vt:lpwstr>true</vt:lpwstr>
  </property>
  <property fmtid="{D5CDD505-2E9C-101B-9397-08002B2CF9AE}" pid="7" name="MSIP_Label_29086d6f-0f0e-4957-8f1a-6a04946f3fb8_SetDate">
    <vt:lpwstr>2025-10-06T06:55:02Z</vt:lpwstr>
  </property>
  <property fmtid="{D5CDD505-2E9C-101B-9397-08002B2CF9AE}" pid="8" name="MSIP_Label_29086d6f-0f0e-4957-8f1a-6a04946f3fb8_Method">
    <vt:lpwstr>Privileged</vt:lpwstr>
  </property>
  <property fmtid="{D5CDD505-2E9C-101B-9397-08002B2CF9AE}" pid="9" name="MSIP_Label_29086d6f-0f0e-4957-8f1a-6a04946f3fb8_Name">
    <vt:lpwstr>Hizmet İçi (Özel) - Orta - Files_Footer</vt:lpwstr>
  </property>
  <property fmtid="{D5CDD505-2E9C-101B-9397-08002B2CF9AE}" pid="10" name="MSIP_Label_29086d6f-0f0e-4957-8f1a-6a04946f3fb8_SiteId">
    <vt:lpwstr>79419e3b-f45a-43c3-b1ce-e6516e29fcf4</vt:lpwstr>
  </property>
  <property fmtid="{D5CDD505-2E9C-101B-9397-08002B2CF9AE}" pid="11" name="MSIP_Label_29086d6f-0f0e-4957-8f1a-6a04946f3fb8_ActionId">
    <vt:lpwstr>3d5e88c5-a629-43d3-aae5-bed78c34f20e</vt:lpwstr>
  </property>
  <property fmtid="{D5CDD505-2E9C-101B-9397-08002B2CF9AE}" pid="12" name="MSIP_Label_29086d6f-0f0e-4957-8f1a-6a04946f3fb8_ContentBits">
    <vt:lpwstr>0</vt:lpwstr>
  </property>
</Properties>
</file>